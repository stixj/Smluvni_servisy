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jindrich.stix\Desktop\Smluvní servisy\"/>
    </mc:Choice>
  </mc:AlternateContent>
  <xr:revisionPtr revIDLastSave="0" documentId="8_{41446EBF-9A94-445C-90E7-281C6F765636}" xr6:coauthVersionLast="47" xr6:coauthVersionMax="47" xr10:uidLastSave="{00000000-0000-0000-0000-000000000000}"/>
  <bookViews>
    <workbookView xWindow="-108" yWindow="-108" windowWidth="30936" windowHeight="16776" xr2:uid="{70F16C87-0FDB-42F3-A15D-034827715D10}"/>
  </bookViews>
  <sheets>
    <sheet name="List2" sheetId="2" r:id="rId1"/>
    <sheet name="seznampsc" sheetId="3" r:id="rId2"/>
  </sheets>
  <definedNames>
    <definedName name="_xlnm._FilterDatabase" localSheetId="0" hidden="1">List2!$A$2:$AV$895</definedName>
    <definedName name="_xlnm._FilterDatabase" localSheetId="1" hidden="1">seznampsc!$A$1:$C$4160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894" i="2" l="1"/>
  <c r="R893" i="2"/>
  <c r="R892" i="2"/>
  <c r="R891" i="2"/>
  <c r="R890" i="2"/>
  <c r="R889" i="2"/>
  <c r="R888" i="2"/>
  <c r="R887" i="2"/>
  <c r="R886" i="2"/>
  <c r="R885" i="2"/>
  <c r="R884" i="2"/>
  <c r="R883" i="2"/>
  <c r="R882" i="2"/>
  <c r="R880" i="2"/>
  <c r="R879" i="2"/>
  <c r="R878" i="2"/>
  <c r="R876" i="2"/>
  <c r="R875" i="2"/>
  <c r="R874" i="2"/>
  <c r="R873" i="2"/>
  <c r="R872" i="2"/>
  <c r="R871" i="2"/>
  <c r="R870" i="2"/>
  <c r="R869" i="2"/>
  <c r="R868" i="2"/>
  <c r="R867" i="2"/>
  <c r="R866" i="2"/>
  <c r="R865" i="2"/>
  <c r="R864" i="2"/>
  <c r="R863" i="2"/>
  <c r="R862" i="2"/>
  <c r="R861" i="2"/>
  <c r="R860" i="2"/>
  <c r="R859" i="2"/>
  <c r="R858" i="2"/>
  <c r="R857" i="2"/>
  <c r="R856" i="2"/>
  <c r="R855" i="2"/>
  <c r="R854" i="2"/>
  <c r="R853" i="2"/>
  <c r="R852" i="2"/>
  <c r="R851" i="2"/>
  <c r="R850" i="2"/>
  <c r="R849" i="2"/>
  <c r="R848" i="2"/>
  <c r="R847" i="2"/>
  <c r="R846" i="2"/>
  <c r="R845" i="2"/>
  <c r="R844" i="2"/>
  <c r="R843" i="2"/>
  <c r="R842" i="2"/>
  <c r="R841" i="2"/>
  <c r="R840" i="2"/>
  <c r="R839" i="2"/>
  <c r="R838" i="2"/>
  <c r="R837" i="2"/>
  <c r="R836" i="2"/>
  <c r="R834" i="2"/>
  <c r="R833" i="2"/>
  <c r="R832" i="2"/>
  <c r="R831" i="2"/>
  <c r="R830" i="2"/>
  <c r="R829" i="2"/>
  <c r="R828" i="2"/>
  <c r="R827" i="2"/>
  <c r="R826" i="2"/>
  <c r="R825" i="2"/>
  <c r="R824" i="2"/>
  <c r="R823" i="2"/>
  <c r="R821" i="2"/>
  <c r="R820" i="2"/>
  <c r="R819" i="2"/>
  <c r="R818" i="2"/>
  <c r="R817" i="2"/>
  <c r="R816" i="2"/>
  <c r="R815" i="2"/>
  <c r="R814" i="2"/>
  <c r="R812" i="2"/>
  <c r="R811" i="2"/>
  <c r="R810" i="2"/>
  <c r="R809" i="2"/>
  <c r="R808" i="2"/>
  <c r="R806" i="2"/>
  <c r="R805" i="2"/>
  <c r="R769" i="2"/>
  <c r="R768" i="2"/>
  <c r="R767" i="2"/>
  <c r="R766" i="2"/>
  <c r="R765" i="2"/>
  <c r="R764" i="2"/>
  <c r="R763" i="2"/>
  <c r="R762" i="2"/>
  <c r="R761" i="2"/>
  <c r="R760" i="2"/>
  <c r="R759" i="2"/>
  <c r="R758" i="2"/>
  <c r="R757" i="2"/>
  <c r="R756" i="2"/>
  <c r="R755" i="2"/>
  <c r="R754" i="2"/>
  <c r="R753" i="2"/>
  <c r="R752" i="2"/>
  <c r="R751" i="2"/>
  <c r="R750" i="2"/>
  <c r="R749" i="2"/>
  <c r="R748" i="2"/>
  <c r="R747" i="2"/>
  <c r="R746" i="2"/>
  <c r="R745" i="2"/>
  <c r="R744" i="2"/>
  <c r="R743" i="2"/>
  <c r="R740" i="2"/>
  <c r="R739" i="2"/>
  <c r="R736" i="2"/>
  <c r="R735" i="2"/>
  <c r="R734" i="2"/>
  <c r="R733" i="2"/>
  <c r="R732" i="2"/>
  <c r="R731" i="2"/>
  <c r="R729" i="2"/>
  <c r="R728" i="2"/>
  <c r="R727" i="2"/>
  <c r="R726" i="2"/>
  <c r="R725" i="2"/>
  <c r="R724" i="2"/>
  <c r="R723" i="2"/>
  <c r="R722" i="2"/>
  <c r="R721" i="2"/>
  <c r="R718" i="2"/>
  <c r="R717" i="2"/>
  <c r="R716" i="2"/>
  <c r="R715" i="2"/>
  <c r="R714" i="2"/>
  <c r="R713" i="2"/>
  <c r="R712" i="2"/>
  <c r="R711" i="2"/>
  <c r="R710" i="2"/>
  <c r="R708" i="2"/>
  <c r="R707" i="2"/>
  <c r="R706" i="2"/>
  <c r="R705" i="2"/>
  <c r="R704" i="2"/>
  <c r="R703" i="2"/>
  <c r="R702" i="2"/>
  <c r="R701" i="2"/>
  <c r="R700" i="2"/>
  <c r="R699" i="2"/>
  <c r="R698" i="2"/>
  <c r="R697" i="2"/>
  <c r="R696" i="2"/>
  <c r="R695" i="2"/>
  <c r="R692" i="2"/>
  <c r="R691" i="2"/>
  <c r="R690" i="2"/>
  <c r="R689" i="2"/>
  <c r="R688" i="2"/>
  <c r="R683" i="2"/>
  <c r="R682" i="2"/>
  <c r="R681" i="2"/>
  <c r="R680" i="2"/>
  <c r="R679" i="2"/>
  <c r="R678" i="2"/>
  <c r="R677" i="2"/>
  <c r="R676" i="2"/>
  <c r="R675" i="2"/>
  <c r="R674" i="2"/>
  <c r="R673" i="2"/>
  <c r="R671" i="2"/>
  <c r="R670" i="2"/>
  <c r="R667" i="2"/>
  <c r="R666" i="2"/>
  <c r="R665" i="2"/>
  <c r="R664" i="2"/>
  <c r="R663" i="2"/>
  <c r="R662" i="2"/>
  <c r="R661" i="2"/>
  <c r="R660" i="2"/>
  <c r="R659" i="2"/>
  <c r="R658" i="2"/>
  <c r="R657" i="2"/>
  <c r="R656" i="2"/>
  <c r="R655" i="2"/>
  <c r="R654" i="2"/>
  <c r="R653" i="2"/>
  <c r="R652" i="2"/>
  <c r="R651" i="2"/>
  <c r="R650" i="2"/>
  <c r="R649" i="2"/>
  <c r="R648" i="2"/>
  <c r="R647" i="2"/>
  <c r="R646" i="2"/>
  <c r="R645" i="2"/>
  <c r="R644" i="2"/>
  <c r="R643" i="2"/>
  <c r="R642" i="2"/>
  <c r="R641" i="2"/>
  <c r="R640" i="2"/>
  <c r="R639" i="2"/>
  <c r="R638" i="2"/>
  <c r="R637" i="2"/>
  <c r="R636" i="2"/>
  <c r="R635" i="2"/>
  <c r="R634" i="2"/>
  <c r="R632" i="2"/>
  <c r="R631" i="2"/>
  <c r="R630" i="2"/>
  <c r="R629" i="2"/>
  <c r="R628" i="2"/>
  <c r="R627" i="2"/>
  <c r="R626" i="2"/>
  <c r="R625" i="2"/>
  <c r="R624" i="2"/>
  <c r="R623" i="2"/>
  <c r="R622" i="2"/>
  <c r="R621" i="2"/>
  <c r="R620" i="2"/>
  <c r="R619" i="2"/>
  <c r="R618" i="2"/>
  <c r="R617" i="2"/>
  <c r="R616" i="2"/>
  <c r="R615" i="2"/>
  <c r="R614" i="2"/>
  <c r="R613" i="2"/>
  <c r="R612" i="2"/>
  <c r="R611" i="2"/>
  <c r="R610" i="2"/>
  <c r="R609" i="2"/>
  <c r="R608" i="2"/>
  <c r="R607" i="2"/>
  <c r="R606" i="2"/>
  <c r="R605" i="2"/>
  <c r="R604" i="2"/>
  <c r="R603" i="2"/>
  <c r="R602" i="2"/>
  <c r="R601" i="2"/>
  <c r="R600" i="2"/>
  <c r="R599" i="2"/>
  <c r="R598" i="2"/>
  <c r="R597" i="2"/>
  <c r="R596" i="2"/>
  <c r="R595" i="2"/>
  <c r="R594" i="2"/>
  <c r="R593" i="2"/>
  <c r="R592" i="2"/>
  <c r="R591" i="2"/>
  <c r="R590" i="2"/>
  <c r="R589" i="2"/>
  <c r="R588" i="2"/>
  <c r="R587" i="2"/>
  <c r="R586" i="2"/>
  <c r="R585" i="2"/>
  <c r="R584" i="2"/>
  <c r="R583" i="2"/>
  <c r="R582" i="2"/>
  <c r="R581" i="2"/>
  <c r="R580" i="2"/>
  <c r="R579" i="2"/>
  <c r="R578" i="2"/>
  <c r="R577" i="2"/>
  <c r="R576" i="2"/>
  <c r="R575" i="2"/>
  <c r="R574" i="2"/>
  <c r="R573" i="2"/>
  <c r="R572" i="2"/>
  <c r="R571" i="2"/>
  <c r="R570" i="2"/>
  <c r="R569" i="2"/>
  <c r="R568" i="2"/>
  <c r="R567" i="2"/>
  <c r="R566" i="2"/>
  <c r="R565" i="2"/>
  <c r="R564" i="2"/>
  <c r="R563" i="2"/>
  <c r="R562" i="2"/>
  <c r="R561" i="2"/>
  <c r="R560" i="2"/>
  <c r="R559" i="2"/>
  <c r="R558" i="2"/>
  <c r="R557" i="2"/>
  <c r="R556" i="2"/>
  <c r="R555" i="2"/>
  <c r="R554" i="2"/>
  <c r="R553" i="2"/>
  <c r="R552" i="2"/>
  <c r="R551" i="2"/>
  <c r="R550" i="2"/>
  <c r="R549" i="2"/>
  <c r="R548" i="2"/>
  <c r="R547" i="2"/>
  <c r="R546" i="2"/>
  <c r="R545" i="2"/>
  <c r="R544" i="2"/>
  <c r="R543" i="2"/>
  <c r="R542" i="2"/>
  <c r="R541" i="2"/>
  <c r="R540" i="2"/>
  <c r="R539" i="2"/>
  <c r="R538" i="2"/>
  <c r="R537" i="2"/>
  <c r="R536" i="2"/>
  <c r="R535" i="2"/>
  <c r="R534" i="2"/>
  <c r="R533" i="2"/>
  <c r="R532" i="2"/>
  <c r="R531" i="2"/>
  <c r="R530" i="2"/>
  <c r="R529" i="2"/>
  <c r="R528" i="2"/>
  <c r="R527" i="2"/>
  <c r="R526" i="2"/>
  <c r="R525" i="2"/>
  <c r="R524" i="2"/>
  <c r="R523" i="2"/>
  <c r="R522" i="2"/>
  <c r="R521" i="2"/>
  <c r="R520" i="2"/>
  <c r="R519" i="2"/>
  <c r="R518" i="2"/>
  <c r="R517" i="2"/>
  <c r="R516" i="2"/>
  <c r="R515" i="2"/>
  <c r="R514" i="2"/>
  <c r="R513" i="2"/>
  <c r="R512" i="2"/>
  <c r="R511" i="2"/>
  <c r="R510" i="2"/>
  <c r="R509" i="2"/>
  <c r="R508" i="2"/>
  <c r="R507" i="2"/>
  <c r="R506" i="2"/>
  <c r="R505" i="2"/>
  <c r="R504" i="2"/>
  <c r="R503" i="2"/>
  <c r="R502" i="2"/>
  <c r="R501" i="2"/>
  <c r="R500" i="2"/>
  <c r="R499" i="2"/>
  <c r="R498" i="2"/>
  <c r="R497" i="2"/>
  <c r="R496" i="2"/>
  <c r="R495" i="2"/>
  <c r="R494" i="2"/>
  <c r="R493" i="2"/>
  <c r="R492" i="2"/>
  <c r="R491" i="2"/>
  <c r="R490" i="2"/>
  <c r="R489" i="2"/>
  <c r="R488" i="2"/>
  <c r="R487" i="2"/>
  <c r="R486" i="2"/>
  <c r="R485" i="2"/>
  <c r="R484" i="2"/>
  <c r="R483" i="2"/>
  <c r="R482" i="2"/>
  <c r="R481" i="2"/>
  <c r="R480" i="2"/>
  <c r="R479" i="2"/>
  <c r="R478" i="2"/>
  <c r="R477" i="2"/>
  <c r="R476" i="2"/>
  <c r="R475" i="2"/>
  <c r="R474" i="2"/>
  <c r="R473" i="2"/>
  <c r="R472" i="2"/>
  <c r="R471" i="2"/>
  <c r="R470" i="2"/>
  <c r="R469" i="2"/>
  <c r="R468" i="2"/>
  <c r="R467" i="2"/>
  <c r="R466" i="2"/>
  <c r="R465" i="2"/>
  <c r="R464" i="2"/>
  <c r="R463" i="2"/>
  <c r="R462" i="2"/>
  <c r="R461" i="2"/>
  <c r="R460" i="2"/>
  <c r="R459" i="2"/>
  <c r="R458" i="2"/>
  <c r="R457" i="2"/>
  <c r="R456" i="2"/>
  <c r="R455" i="2"/>
  <c r="R454" i="2"/>
  <c r="R453" i="2"/>
  <c r="R452" i="2"/>
  <c r="R451" i="2"/>
  <c r="R450" i="2"/>
  <c r="R449" i="2"/>
  <c r="R448" i="2"/>
  <c r="R447" i="2"/>
  <c r="R446" i="2"/>
  <c r="R445" i="2"/>
  <c r="R444" i="2"/>
  <c r="R443" i="2"/>
  <c r="R442" i="2"/>
  <c r="R441" i="2"/>
  <c r="R440" i="2"/>
  <c r="R439" i="2"/>
  <c r="R438" i="2"/>
  <c r="R437" i="2"/>
  <c r="R436" i="2"/>
  <c r="R435" i="2"/>
  <c r="R434" i="2"/>
  <c r="R433" i="2"/>
  <c r="R432" i="2"/>
  <c r="R431" i="2"/>
  <c r="R430" i="2"/>
  <c r="R429" i="2"/>
  <c r="R428" i="2"/>
  <c r="R426" i="2"/>
  <c r="R425" i="2"/>
  <c r="R424" i="2"/>
  <c r="R423" i="2"/>
  <c r="R422" i="2"/>
  <c r="R421" i="2"/>
  <c r="R420" i="2"/>
  <c r="R419" i="2"/>
  <c r="R418" i="2"/>
  <c r="R417" i="2"/>
  <c r="R416" i="2"/>
  <c r="R415" i="2"/>
  <c r="R414" i="2"/>
  <c r="R413" i="2"/>
  <c r="R412" i="2"/>
  <c r="R411" i="2"/>
  <c r="R410" i="2"/>
  <c r="R409" i="2"/>
  <c r="R408" i="2"/>
  <c r="R407" i="2"/>
  <c r="R406" i="2"/>
  <c r="R405" i="2"/>
  <c r="R404" i="2"/>
  <c r="R403" i="2"/>
  <c r="R401" i="2"/>
  <c r="R400" i="2"/>
  <c r="R399" i="2"/>
  <c r="R398" i="2"/>
  <c r="R397" i="2"/>
  <c r="R396" i="2"/>
  <c r="R395" i="2"/>
  <c r="R394" i="2"/>
  <c r="R393" i="2"/>
  <c r="R392" i="2"/>
  <c r="R391" i="2"/>
  <c r="R390" i="2"/>
  <c r="R389" i="2"/>
  <c r="R388" i="2"/>
  <c r="R387" i="2"/>
  <c r="R386" i="2"/>
  <c r="R385" i="2"/>
  <c r="R384" i="2"/>
  <c r="R383" i="2"/>
  <c r="R382" i="2"/>
  <c r="R381" i="2"/>
  <c r="R380" i="2"/>
  <c r="R379" i="2"/>
  <c r="R378" i="2"/>
  <c r="R377" i="2"/>
  <c r="R376" i="2"/>
  <c r="R375" i="2"/>
  <c r="R374" i="2"/>
  <c r="R373" i="2"/>
  <c r="R372" i="2"/>
  <c r="R371" i="2"/>
  <c r="R370" i="2"/>
  <c r="R369" i="2"/>
  <c r="R368" i="2"/>
  <c r="R367" i="2"/>
  <c r="R366" i="2"/>
  <c r="R365" i="2"/>
  <c r="R364" i="2"/>
  <c r="R363" i="2"/>
  <c r="R362" i="2"/>
  <c r="R361" i="2"/>
  <c r="R360" i="2"/>
  <c r="R359" i="2"/>
  <c r="R358" i="2"/>
  <c r="R357" i="2"/>
  <c r="R356" i="2"/>
  <c r="R355" i="2"/>
  <c r="R354" i="2"/>
  <c r="R353" i="2"/>
  <c r="R352" i="2"/>
  <c r="R351" i="2"/>
  <c r="R350" i="2"/>
  <c r="R349" i="2"/>
  <c r="R348" i="2"/>
  <c r="R347" i="2"/>
  <c r="R346" i="2"/>
  <c r="R345" i="2"/>
  <c r="R344" i="2"/>
  <c r="R343" i="2"/>
  <c r="R342" i="2"/>
  <c r="R341" i="2"/>
  <c r="R340" i="2"/>
  <c r="R339" i="2"/>
  <c r="R338" i="2"/>
  <c r="R337" i="2"/>
  <c r="R336" i="2"/>
  <c r="R335" i="2"/>
  <c r="R334" i="2"/>
  <c r="R333" i="2"/>
  <c r="R332" i="2"/>
  <c r="R331" i="2"/>
  <c r="R330" i="2"/>
  <c r="R329" i="2"/>
  <c r="R328" i="2"/>
  <c r="R327" i="2"/>
  <c r="R326" i="2"/>
  <c r="R325" i="2"/>
  <c r="R324" i="2"/>
  <c r="R323" i="2"/>
  <c r="R322" i="2"/>
  <c r="R321" i="2"/>
  <c r="R320" i="2"/>
  <c r="R319" i="2"/>
  <c r="R318" i="2"/>
  <c r="R317" i="2"/>
  <c r="R316" i="2"/>
  <c r="R315" i="2"/>
  <c r="R314" i="2"/>
  <c r="R313" i="2"/>
  <c r="R312" i="2"/>
  <c r="R311" i="2"/>
  <c r="R310" i="2"/>
  <c r="R309" i="2"/>
  <c r="R308" i="2"/>
  <c r="R307" i="2"/>
  <c r="R306" i="2"/>
  <c r="R305" i="2"/>
  <c r="R304" i="2"/>
  <c r="R303" i="2"/>
  <c r="R302" i="2"/>
  <c r="R301" i="2"/>
  <c r="R300" i="2"/>
  <c r="R299" i="2"/>
  <c r="R298" i="2"/>
  <c r="R297" i="2"/>
  <c r="R296" i="2"/>
  <c r="R295" i="2"/>
  <c r="R294" i="2"/>
  <c r="R293" i="2"/>
  <c r="R292" i="2"/>
  <c r="R291" i="2"/>
  <c r="R290" i="2"/>
  <c r="R289" i="2"/>
  <c r="R288" i="2"/>
  <c r="R287" i="2"/>
  <c r="R286" i="2"/>
  <c r="R285" i="2"/>
  <c r="R284" i="2"/>
  <c r="R283" i="2"/>
  <c r="R282" i="2"/>
  <c r="R281" i="2"/>
  <c r="R280" i="2"/>
  <c r="R279" i="2"/>
  <c r="R278" i="2"/>
  <c r="R277" i="2"/>
  <c r="R276" i="2"/>
  <c r="R275" i="2"/>
  <c r="R274" i="2"/>
  <c r="R273" i="2"/>
  <c r="R272" i="2"/>
  <c r="R271" i="2"/>
  <c r="R270" i="2"/>
  <c r="R269" i="2"/>
  <c r="R268" i="2"/>
  <c r="R267" i="2"/>
  <c r="R266" i="2"/>
  <c r="R265" i="2"/>
  <c r="R264" i="2"/>
  <c r="R263" i="2"/>
  <c r="R262" i="2"/>
  <c r="R261" i="2"/>
  <c r="R260" i="2"/>
  <c r="R259" i="2"/>
  <c r="R258" i="2"/>
  <c r="R257" i="2"/>
  <c r="R256" i="2"/>
  <c r="R255" i="2"/>
  <c r="R254" i="2"/>
  <c r="R253" i="2"/>
  <c r="R252" i="2"/>
  <c r="R251" i="2"/>
  <c r="R250" i="2"/>
  <c r="R249" i="2"/>
  <c r="R248" i="2"/>
  <c r="R247" i="2"/>
  <c r="R246" i="2"/>
  <c r="R245" i="2"/>
  <c r="R244" i="2"/>
  <c r="R243" i="2"/>
  <c r="R242" i="2"/>
  <c r="R241" i="2"/>
  <c r="R240" i="2"/>
  <c r="R239" i="2"/>
  <c r="R238" i="2"/>
  <c r="R237" i="2"/>
  <c r="R236" i="2"/>
  <c r="R235" i="2"/>
  <c r="R234" i="2"/>
  <c r="R233" i="2"/>
  <c r="R232" i="2"/>
  <c r="R231" i="2"/>
  <c r="R230" i="2"/>
  <c r="R229" i="2"/>
  <c r="R228" i="2"/>
  <c r="R226" i="2"/>
  <c r="R225" i="2"/>
  <c r="R223" i="2"/>
  <c r="R222" i="2"/>
  <c r="R220" i="2"/>
  <c r="R219" i="2"/>
  <c r="R218" i="2"/>
  <c r="R217" i="2"/>
  <c r="R216" i="2"/>
  <c r="R215" i="2"/>
  <c r="R214" i="2"/>
  <c r="R213" i="2"/>
  <c r="R212" i="2"/>
  <c r="R211" i="2"/>
  <c r="R210" i="2"/>
  <c r="R209" i="2"/>
  <c r="R208" i="2"/>
  <c r="R207" i="2"/>
  <c r="R206" i="2"/>
  <c r="R205" i="2"/>
  <c r="R204" i="2"/>
  <c r="R203" i="2"/>
  <c r="R202" i="2"/>
  <c r="R201" i="2"/>
  <c r="R200" i="2"/>
  <c r="R199" i="2"/>
  <c r="R198" i="2"/>
  <c r="R197" i="2"/>
  <c r="R196" i="2"/>
  <c r="R195" i="2"/>
  <c r="R194" i="2"/>
  <c r="R193" i="2"/>
  <c r="R192" i="2"/>
  <c r="R191" i="2"/>
  <c r="R190" i="2"/>
  <c r="R189" i="2"/>
  <c r="R188" i="2"/>
  <c r="R187" i="2"/>
  <c r="R186" i="2"/>
  <c r="R185" i="2"/>
  <c r="R184" i="2"/>
  <c r="R183" i="2"/>
  <c r="R182" i="2"/>
  <c r="R181" i="2"/>
  <c r="R180" i="2"/>
  <c r="R158" i="2"/>
  <c r="R157" i="2"/>
  <c r="R156" i="2"/>
  <c r="R155" i="2"/>
  <c r="R154" i="2"/>
  <c r="R153" i="2"/>
  <c r="R152" i="2"/>
  <c r="R151" i="2"/>
  <c r="R150" i="2"/>
  <c r="R149" i="2"/>
  <c r="R148" i="2"/>
  <c r="R147" i="2"/>
  <c r="R146" i="2"/>
  <c r="R145" i="2"/>
  <c r="R144" i="2"/>
  <c r="R143" i="2"/>
  <c r="R142" i="2"/>
  <c r="R141" i="2"/>
  <c r="R140" i="2"/>
  <c r="R139" i="2"/>
  <c r="R138" i="2"/>
  <c r="R137" i="2"/>
  <c r="R136" i="2"/>
  <c r="R135" i="2"/>
  <c r="R134" i="2"/>
  <c r="R133" i="2"/>
  <c r="R132" i="2"/>
  <c r="R131" i="2"/>
  <c r="R129" i="2"/>
  <c r="R128" i="2"/>
  <c r="R127" i="2"/>
  <c r="R126" i="2"/>
  <c r="R125" i="2"/>
  <c r="R124" i="2"/>
  <c r="R123" i="2"/>
  <c r="R122" i="2"/>
  <c r="R121" i="2"/>
  <c r="R120" i="2"/>
  <c r="R119" i="2"/>
  <c r="R118" i="2"/>
  <c r="R117" i="2"/>
  <c r="R116" i="2"/>
  <c r="R115" i="2"/>
  <c r="R114" i="2"/>
  <c r="R113" i="2"/>
  <c r="R112" i="2"/>
  <c r="R111" i="2"/>
  <c r="R110" i="2"/>
  <c r="R109" i="2"/>
  <c r="R108" i="2"/>
  <c r="R106" i="2"/>
  <c r="R105" i="2"/>
  <c r="R104" i="2"/>
  <c r="R103" i="2"/>
  <c r="R102" i="2"/>
  <c r="R101" i="2"/>
  <c r="R100" i="2"/>
  <c r="R99" i="2"/>
  <c r="R98" i="2"/>
  <c r="R97" i="2"/>
  <c r="R96" i="2"/>
  <c r="R95" i="2"/>
  <c r="R94" i="2"/>
  <c r="R93" i="2"/>
  <c r="R92" i="2"/>
  <c r="R91" i="2"/>
  <c r="R90" i="2"/>
  <c r="R89" i="2"/>
  <c r="R88" i="2"/>
  <c r="R87" i="2"/>
  <c r="R86" i="2"/>
  <c r="R85" i="2"/>
  <c r="R84" i="2"/>
  <c r="R83" i="2"/>
  <c r="R81" i="2"/>
  <c r="R80" i="2"/>
  <c r="R79" i="2"/>
  <c r="R78" i="2"/>
  <c r="R77" i="2"/>
  <c r="R76" i="2"/>
  <c r="R75" i="2"/>
  <c r="R74" i="2"/>
  <c r="R73" i="2"/>
  <c r="R72" i="2"/>
  <c r="R71" i="2"/>
  <c r="R70" i="2"/>
  <c r="R69" i="2"/>
  <c r="R68" i="2"/>
  <c r="R67" i="2"/>
  <c r="R66" i="2"/>
  <c r="R65" i="2"/>
  <c r="R64" i="2"/>
  <c r="R63" i="2"/>
  <c r="R62" i="2"/>
  <c r="R61" i="2"/>
  <c r="R60" i="2"/>
  <c r="R59" i="2"/>
  <c r="R58" i="2"/>
  <c r="R57" i="2"/>
  <c r="R56" i="2"/>
  <c r="R55" i="2"/>
  <c r="R54" i="2"/>
  <c r="R53" i="2"/>
  <c r="R52" i="2"/>
  <c r="R50" i="2"/>
  <c r="R49" i="2"/>
  <c r="R48" i="2"/>
  <c r="R47" i="2"/>
  <c r="R46" i="2"/>
  <c r="R45" i="2"/>
  <c r="R44" i="2"/>
  <c r="R43" i="2"/>
  <c r="R42" i="2"/>
  <c r="R41" i="2"/>
  <c r="R40" i="2"/>
  <c r="R39" i="2"/>
  <c r="R38" i="2"/>
  <c r="R37" i="2"/>
  <c r="R36" i="2"/>
  <c r="R35" i="2"/>
  <c r="R34" i="2"/>
  <c r="R33" i="2"/>
  <c r="R32" i="2"/>
  <c r="R31" i="2"/>
  <c r="R30" i="2"/>
  <c r="R29" i="2"/>
  <c r="R28" i="2"/>
  <c r="R27" i="2"/>
  <c r="R26" i="2"/>
  <c r="R25" i="2"/>
  <c r="R24" i="2"/>
  <c r="R23" i="2"/>
  <c r="R22" i="2"/>
  <c r="R21" i="2"/>
  <c r="R20" i="2"/>
  <c r="R19" i="2"/>
  <c r="R18" i="2"/>
  <c r="R17" i="2"/>
  <c r="R16" i="2"/>
  <c r="R15" i="2"/>
  <c r="R14" i="2"/>
  <c r="R13" i="2"/>
  <c r="R12" i="2"/>
  <c r="R11" i="2"/>
  <c r="R10" i="2"/>
  <c r="R9" i="2"/>
  <c r="R8" i="2"/>
  <c r="R7" i="2"/>
  <c r="R6" i="2"/>
  <c r="R5" i="2"/>
  <c r="R4" i="2"/>
  <c r="R3" i="2"/>
  <c r="Q528" i="2"/>
  <c r="Q894" i="2"/>
  <c r="Q893" i="2"/>
  <c r="Q892" i="2"/>
  <c r="Q891" i="2"/>
  <c r="Q890" i="2"/>
  <c r="Q889" i="2"/>
  <c r="Q888" i="2"/>
  <c r="Q887" i="2"/>
  <c r="Q886" i="2"/>
  <c r="Q885" i="2"/>
  <c r="Q884" i="2"/>
  <c r="Q883" i="2"/>
  <c r="Q325" i="2"/>
  <c r="Q880" i="2"/>
  <c r="Q879" i="2"/>
  <c r="Q878" i="2"/>
  <c r="Q876" i="2"/>
  <c r="Q875" i="2"/>
  <c r="Q874" i="2"/>
  <c r="Q873" i="2"/>
  <c r="Q258" i="2"/>
  <c r="Q871" i="2"/>
  <c r="Q870" i="2"/>
  <c r="Q869" i="2"/>
  <c r="Q868" i="2"/>
  <c r="Q867" i="2"/>
  <c r="Q866" i="2"/>
  <c r="Q865" i="2"/>
  <c r="Q882" i="2"/>
  <c r="Q872" i="2"/>
  <c r="Q862" i="2"/>
  <c r="Q861" i="2"/>
  <c r="Q860" i="2"/>
  <c r="Q859" i="2"/>
  <c r="Q858" i="2"/>
  <c r="Q857" i="2"/>
  <c r="Q856" i="2"/>
  <c r="Q855" i="2"/>
  <c r="Q854" i="2"/>
  <c r="Q853" i="2"/>
  <c r="Q852" i="2"/>
  <c r="Q851" i="2"/>
  <c r="Q850" i="2"/>
  <c r="Q849" i="2"/>
  <c r="Q848" i="2"/>
  <c r="Q847" i="2"/>
  <c r="Q846" i="2"/>
  <c r="Q845" i="2"/>
  <c r="Q844" i="2"/>
  <c r="Q843" i="2"/>
  <c r="Q864" i="2"/>
  <c r="Q841" i="2"/>
  <c r="Q840" i="2"/>
  <c r="Q839" i="2"/>
  <c r="Q838" i="2"/>
  <c r="Q837" i="2"/>
  <c r="Q836" i="2"/>
  <c r="Q834" i="2"/>
  <c r="Q833" i="2"/>
  <c r="Q832" i="2"/>
  <c r="Q831" i="2"/>
  <c r="Q830" i="2"/>
  <c r="Q863" i="2"/>
  <c r="Q828" i="2"/>
  <c r="Q827" i="2"/>
  <c r="Q826" i="2"/>
  <c r="Q825" i="2"/>
  <c r="Q824" i="2"/>
  <c r="Q823" i="2"/>
  <c r="Q821" i="2"/>
  <c r="Q820" i="2"/>
  <c r="Q819" i="2"/>
  <c r="Q818" i="2"/>
  <c r="Q817" i="2"/>
  <c r="Q816" i="2"/>
  <c r="Q815" i="2"/>
  <c r="Q814" i="2"/>
  <c r="Q812" i="2"/>
  <c r="Q811" i="2"/>
  <c r="Q810" i="2"/>
  <c r="Q809" i="2"/>
  <c r="Q808" i="2"/>
  <c r="Q806" i="2"/>
  <c r="Q805" i="2"/>
  <c r="Q769" i="2"/>
  <c r="Q768" i="2"/>
  <c r="Q767" i="2"/>
  <c r="Q766" i="2"/>
  <c r="Q765" i="2"/>
  <c r="Q764" i="2"/>
  <c r="Q842" i="2"/>
  <c r="Q762" i="2"/>
  <c r="Q761" i="2"/>
  <c r="Q760" i="2"/>
  <c r="Q759" i="2"/>
  <c r="Q758" i="2"/>
  <c r="Q757" i="2"/>
  <c r="Q756" i="2"/>
  <c r="Q755" i="2"/>
  <c r="Q754" i="2"/>
  <c r="Q753" i="2"/>
  <c r="Q752" i="2"/>
  <c r="Q751" i="2"/>
  <c r="Q750" i="2"/>
  <c r="Q749" i="2"/>
  <c r="Q748" i="2"/>
  <c r="Q747" i="2"/>
  <c r="Q746" i="2"/>
  <c r="Q745" i="2"/>
  <c r="Q744" i="2"/>
  <c r="Q743" i="2"/>
  <c r="Q740" i="2"/>
  <c r="Q739" i="2"/>
  <c r="Q736" i="2"/>
  <c r="Q735" i="2"/>
  <c r="Q734" i="2"/>
  <c r="Q733" i="2"/>
  <c r="Q829" i="2"/>
  <c r="Q731" i="2"/>
  <c r="Q729" i="2"/>
  <c r="Q728" i="2"/>
  <c r="Q727" i="2"/>
  <c r="Q726" i="2"/>
  <c r="Q725" i="2"/>
  <c r="Q724" i="2"/>
  <c r="Q723" i="2"/>
  <c r="Q722" i="2"/>
  <c r="Q721" i="2"/>
  <c r="Q718" i="2"/>
  <c r="Q717" i="2"/>
  <c r="Q716" i="2"/>
  <c r="Q715" i="2"/>
  <c r="Q714" i="2"/>
  <c r="Q713" i="2"/>
  <c r="Q712" i="2"/>
  <c r="Q711" i="2"/>
  <c r="Q710" i="2"/>
  <c r="Q708" i="2"/>
  <c r="Q707" i="2"/>
  <c r="Q706" i="2"/>
  <c r="Q705" i="2"/>
  <c r="Q704" i="2"/>
  <c r="Q703" i="2"/>
  <c r="Q702" i="2"/>
  <c r="Q701" i="2"/>
  <c r="Q763" i="2"/>
  <c r="Q699" i="2"/>
  <c r="Q698" i="2"/>
  <c r="Q697" i="2"/>
  <c r="Q696" i="2"/>
  <c r="Q695" i="2"/>
  <c r="Q692" i="2"/>
  <c r="Q691" i="2"/>
  <c r="Q690" i="2"/>
  <c r="Q689" i="2"/>
  <c r="Q688" i="2"/>
  <c r="Q683" i="2"/>
  <c r="Q682" i="2"/>
  <c r="Q681" i="2"/>
  <c r="Q680" i="2"/>
  <c r="Q679" i="2"/>
  <c r="Q678" i="2"/>
  <c r="Q677" i="2"/>
  <c r="Q676" i="2"/>
  <c r="Q675" i="2"/>
  <c r="Q674" i="2"/>
  <c r="Q673" i="2"/>
  <c r="Q671" i="2"/>
  <c r="Q670" i="2"/>
  <c r="Q667" i="2"/>
  <c r="Q666" i="2"/>
  <c r="Q665" i="2"/>
  <c r="Q664" i="2"/>
  <c r="Q663" i="2"/>
  <c r="Q662" i="2"/>
  <c r="Q661" i="2"/>
  <c r="Q660" i="2"/>
  <c r="Q659" i="2"/>
  <c r="Q658" i="2"/>
  <c r="Q657" i="2"/>
  <c r="Q656" i="2"/>
  <c r="Q655" i="2"/>
  <c r="Q654" i="2"/>
  <c r="Q653" i="2"/>
  <c r="Q652" i="2"/>
  <c r="Q651" i="2"/>
  <c r="Q732" i="2"/>
  <c r="Q649" i="2"/>
  <c r="Q700" i="2"/>
  <c r="Q647" i="2"/>
  <c r="Q650" i="2"/>
  <c r="Q645" i="2"/>
  <c r="Q644" i="2"/>
  <c r="Q643" i="2"/>
  <c r="Q642" i="2"/>
  <c r="Q648" i="2"/>
  <c r="Q640" i="2"/>
  <c r="Q639" i="2"/>
  <c r="Q638" i="2"/>
  <c r="Q646" i="2"/>
  <c r="Q636" i="2"/>
  <c r="Q635" i="2"/>
  <c r="Q634" i="2"/>
  <c r="Q632" i="2"/>
  <c r="Q631" i="2"/>
  <c r="Q630" i="2"/>
  <c r="Q629" i="2"/>
  <c r="Q628" i="2"/>
  <c r="Q627" i="2"/>
  <c r="Q626" i="2"/>
  <c r="Q625" i="2"/>
  <c r="Q624" i="2"/>
  <c r="Q623" i="2"/>
  <c r="Q622" i="2"/>
  <c r="Q621" i="2"/>
  <c r="Q620" i="2"/>
  <c r="Q619" i="2"/>
  <c r="Q618" i="2"/>
  <c r="Q617" i="2"/>
  <c r="Q616" i="2"/>
  <c r="Q615" i="2"/>
  <c r="Q614" i="2"/>
  <c r="Q641" i="2"/>
  <c r="Q612" i="2"/>
  <c r="Q611" i="2"/>
  <c r="Q610" i="2"/>
  <c r="Q609" i="2"/>
  <c r="Q608" i="2"/>
  <c r="Q607" i="2"/>
  <c r="Q606" i="2"/>
  <c r="Q605" i="2"/>
  <c r="Q604" i="2"/>
  <c r="Q603" i="2"/>
  <c r="Q602" i="2"/>
  <c r="Q637" i="2"/>
  <c r="Q249" i="2"/>
  <c r="Q599" i="2"/>
  <c r="Q598" i="2"/>
  <c r="Q597" i="2"/>
  <c r="Q613" i="2"/>
  <c r="Q595" i="2"/>
  <c r="Q594" i="2"/>
  <c r="Q593" i="2"/>
  <c r="Q592" i="2"/>
  <c r="Q591" i="2"/>
  <c r="Q285" i="2"/>
  <c r="Q589" i="2"/>
  <c r="Q588" i="2"/>
  <c r="Q587" i="2"/>
  <c r="Q586" i="2"/>
  <c r="Q585" i="2"/>
  <c r="Q584" i="2"/>
  <c r="Q601" i="2"/>
  <c r="Q582" i="2"/>
  <c r="Q581" i="2"/>
  <c r="Q580" i="2"/>
  <c r="Q579" i="2"/>
  <c r="Q578" i="2"/>
  <c r="Q577" i="2"/>
  <c r="Q576" i="2"/>
  <c r="Q575" i="2"/>
  <c r="Q574" i="2"/>
  <c r="Q600" i="2"/>
  <c r="Q572" i="2"/>
  <c r="Q571" i="2"/>
  <c r="Q570" i="2"/>
  <c r="Q569" i="2"/>
  <c r="Q568" i="2"/>
  <c r="Q567" i="2"/>
  <c r="Q566" i="2"/>
  <c r="Q565" i="2"/>
  <c r="Q564" i="2"/>
  <c r="Q563" i="2"/>
  <c r="Q562" i="2"/>
  <c r="Q561" i="2"/>
  <c r="Q560" i="2"/>
  <c r="Q559" i="2"/>
  <c r="Q558" i="2"/>
  <c r="Q557" i="2"/>
  <c r="Q556" i="2"/>
  <c r="Q555" i="2"/>
  <c r="Q554" i="2"/>
  <c r="Q553" i="2"/>
  <c r="Q596" i="2"/>
  <c r="Q551" i="2"/>
  <c r="Q550" i="2"/>
  <c r="Q549" i="2"/>
  <c r="Q548" i="2"/>
  <c r="Q547" i="2"/>
  <c r="Q546" i="2"/>
  <c r="Q207" i="2"/>
  <c r="Q544" i="2"/>
  <c r="Q543" i="2"/>
  <c r="Q542" i="2"/>
  <c r="Q213" i="2"/>
  <c r="Q212" i="2"/>
  <c r="Q281" i="2"/>
  <c r="Q538" i="2"/>
  <c r="Q219" i="2"/>
  <c r="Q536" i="2"/>
  <c r="Q535" i="2"/>
  <c r="Q534" i="2"/>
  <c r="Q533" i="2"/>
  <c r="Q532" i="2"/>
  <c r="Q200" i="2"/>
  <c r="Q199" i="2"/>
  <c r="Q198" i="2"/>
  <c r="Q196" i="2"/>
  <c r="Q195" i="2"/>
  <c r="Q194" i="2"/>
  <c r="Q193" i="2"/>
  <c r="Q524" i="2"/>
  <c r="Q523" i="2"/>
  <c r="Q522" i="2"/>
  <c r="Q521" i="2"/>
  <c r="Q520" i="2"/>
  <c r="Q203" i="2"/>
  <c r="Q202" i="2"/>
  <c r="Q270" i="2"/>
  <c r="Q192" i="2"/>
  <c r="Q515" i="2"/>
  <c r="Q514" i="2"/>
  <c r="Q513" i="2"/>
  <c r="Q512" i="2"/>
  <c r="Q511" i="2"/>
  <c r="Q510" i="2"/>
  <c r="Q509" i="2"/>
  <c r="Q508" i="2"/>
  <c r="Q507" i="2"/>
  <c r="Q506" i="2"/>
  <c r="Q505" i="2"/>
  <c r="Q504" i="2"/>
  <c r="Q503" i="2"/>
  <c r="Q502" i="2"/>
  <c r="Q501" i="2"/>
  <c r="Q500" i="2"/>
  <c r="Q499" i="2"/>
  <c r="Q498" i="2"/>
  <c r="Q497" i="2"/>
  <c r="Q496" i="2"/>
  <c r="Q495" i="2"/>
  <c r="Q494" i="2"/>
  <c r="Q493" i="2"/>
  <c r="Q492" i="2"/>
  <c r="Q491" i="2"/>
  <c r="Q490" i="2"/>
  <c r="Q489" i="2"/>
  <c r="Q488" i="2"/>
  <c r="Q487" i="2"/>
  <c r="Q486" i="2"/>
  <c r="Q485" i="2"/>
  <c r="Q484" i="2"/>
  <c r="Q483" i="2"/>
  <c r="Q482" i="2"/>
  <c r="Q481" i="2"/>
  <c r="Q480" i="2"/>
  <c r="Q479" i="2"/>
  <c r="Q478" i="2"/>
  <c r="Q477" i="2"/>
  <c r="Q476" i="2"/>
  <c r="Q475" i="2"/>
  <c r="Q474" i="2"/>
  <c r="Q473" i="2"/>
  <c r="Q472" i="2"/>
  <c r="Q471" i="2"/>
  <c r="Q470" i="2"/>
  <c r="Q469" i="2"/>
  <c r="Q468" i="2"/>
  <c r="Q467" i="2"/>
  <c r="Q466" i="2"/>
  <c r="Q465" i="2"/>
  <c r="Q464" i="2"/>
  <c r="Q463" i="2"/>
  <c r="Q462" i="2"/>
  <c r="Q461" i="2"/>
  <c r="Q460" i="2"/>
  <c r="Q459" i="2"/>
  <c r="Q458" i="2"/>
  <c r="Q457" i="2"/>
  <c r="Q456" i="2"/>
  <c r="Q455" i="2"/>
  <c r="Q211" i="2"/>
  <c r="Q210" i="2"/>
  <c r="Q236" i="2"/>
  <c r="Q451" i="2"/>
  <c r="Q450" i="2"/>
  <c r="Q449" i="2"/>
  <c r="Q448" i="2"/>
  <c r="Q447" i="2"/>
  <c r="Q446" i="2"/>
  <c r="Q445" i="2"/>
  <c r="Q444" i="2"/>
  <c r="Q443" i="2"/>
  <c r="Q442" i="2"/>
  <c r="Q441" i="2"/>
  <c r="Q440" i="2"/>
  <c r="Q590" i="2"/>
  <c r="Q438" i="2"/>
  <c r="Q437" i="2"/>
  <c r="Q436" i="2"/>
  <c r="Q435" i="2"/>
  <c r="Q434" i="2"/>
  <c r="Q433" i="2"/>
  <c r="Q432" i="2"/>
  <c r="Q431" i="2"/>
  <c r="Q430" i="2"/>
  <c r="Q429" i="2"/>
  <c r="Q428" i="2"/>
  <c r="Q426" i="2"/>
  <c r="Q425" i="2"/>
  <c r="Q424" i="2"/>
  <c r="Q423" i="2"/>
  <c r="Q422" i="2"/>
  <c r="Q421" i="2"/>
  <c r="Q420" i="2"/>
  <c r="Q419" i="2"/>
  <c r="Q418" i="2"/>
  <c r="Q417" i="2"/>
  <c r="Q416" i="2"/>
  <c r="Q415" i="2"/>
  <c r="Q414" i="2"/>
  <c r="Q413" i="2"/>
  <c r="Q412" i="2"/>
  <c r="Q411" i="2"/>
  <c r="Q410" i="2"/>
  <c r="Q409" i="2"/>
  <c r="Q408" i="2"/>
  <c r="Q407" i="2"/>
  <c r="Q406" i="2"/>
  <c r="Q405" i="2"/>
  <c r="Q404" i="2"/>
  <c r="Q403" i="2"/>
  <c r="Q401" i="2"/>
  <c r="Q400" i="2"/>
  <c r="Q399" i="2"/>
  <c r="Q398" i="2"/>
  <c r="Q583" i="2"/>
  <c r="Q396" i="2"/>
  <c r="Q395" i="2"/>
  <c r="Q394" i="2"/>
  <c r="Q393" i="2"/>
  <c r="Q392" i="2"/>
  <c r="Q391" i="2"/>
  <c r="Q390" i="2"/>
  <c r="Q389" i="2"/>
  <c r="Q388" i="2"/>
  <c r="Q387" i="2"/>
  <c r="Q386" i="2"/>
  <c r="Q385" i="2"/>
  <c r="Q384" i="2"/>
  <c r="Q383" i="2"/>
  <c r="Q382" i="2"/>
  <c r="Q381" i="2"/>
  <c r="Q380" i="2"/>
  <c r="Q379" i="2"/>
  <c r="Q378" i="2"/>
  <c r="Q377" i="2"/>
  <c r="Q376" i="2"/>
  <c r="Q375" i="2"/>
  <c r="Q374" i="2"/>
  <c r="Q373" i="2"/>
  <c r="Q372" i="2"/>
  <c r="Q371" i="2"/>
  <c r="Q370" i="2"/>
  <c r="Q369" i="2"/>
  <c r="Q368" i="2"/>
  <c r="Q367" i="2"/>
  <c r="Q366" i="2"/>
  <c r="Q365" i="2"/>
  <c r="Q364" i="2"/>
  <c r="Q363" i="2"/>
  <c r="Q362" i="2"/>
  <c r="Q361" i="2"/>
  <c r="Q360" i="2"/>
  <c r="Q359" i="2"/>
  <c r="Q358" i="2"/>
  <c r="Q313" i="2"/>
  <c r="Q356" i="2"/>
  <c r="Q355" i="2"/>
  <c r="Q354" i="2"/>
  <c r="Q353" i="2"/>
  <c r="Q352" i="2"/>
  <c r="Q351" i="2"/>
  <c r="Q350" i="2"/>
  <c r="Q349" i="2"/>
  <c r="Q348" i="2"/>
  <c r="Q347" i="2"/>
  <c r="Q346" i="2"/>
  <c r="Q345" i="2"/>
  <c r="Q344" i="2"/>
  <c r="Q343" i="2"/>
  <c r="Q342" i="2"/>
  <c r="Q341" i="2"/>
  <c r="Q340" i="2"/>
  <c r="Q339" i="2"/>
  <c r="Q338" i="2"/>
  <c r="Q337" i="2"/>
  <c r="Q336" i="2"/>
  <c r="Q335" i="2"/>
  <c r="Q334" i="2"/>
  <c r="Q333" i="2"/>
  <c r="Q332" i="2"/>
  <c r="Q331" i="2"/>
  <c r="Q330" i="2"/>
  <c r="Q329" i="2"/>
  <c r="Q328" i="2"/>
  <c r="Q327" i="2"/>
  <c r="Q326" i="2"/>
  <c r="Q573" i="2"/>
  <c r="Q552" i="2"/>
  <c r="Q323" i="2"/>
  <c r="Q322" i="2"/>
  <c r="Q321" i="2"/>
  <c r="Q320" i="2"/>
  <c r="Q319" i="2"/>
  <c r="Q318" i="2"/>
  <c r="Q317" i="2"/>
  <c r="Q316" i="2"/>
  <c r="Q315" i="2"/>
  <c r="Q314" i="2"/>
  <c r="Q545" i="2"/>
  <c r="Q541" i="2"/>
  <c r="Q439" i="2"/>
  <c r="Q310" i="2"/>
  <c r="Q309" i="2"/>
  <c r="Q308" i="2"/>
  <c r="Q307" i="2"/>
  <c r="Q306" i="2"/>
  <c r="Q305" i="2"/>
  <c r="Q304" i="2"/>
  <c r="Q303" i="2"/>
  <c r="Q302" i="2"/>
  <c r="Q301" i="2"/>
  <c r="Q300" i="2"/>
  <c r="Q241" i="2"/>
  <c r="Q298" i="2"/>
  <c r="Q297" i="2"/>
  <c r="Q296" i="2"/>
  <c r="Q295" i="2"/>
  <c r="Q294" i="2"/>
  <c r="Q293" i="2"/>
  <c r="Q292" i="2"/>
  <c r="Q291" i="2"/>
  <c r="Q290" i="2"/>
  <c r="Q289" i="2"/>
  <c r="Q288" i="2"/>
  <c r="Q287" i="2"/>
  <c r="Q286" i="2"/>
  <c r="Q218" i="2"/>
  <c r="Q217" i="2"/>
  <c r="Q283" i="2"/>
  <c r="Q282" i="2"/>
  <c r="Q540" i="2"/>
  <c r="Q280" i="2"/>
  <c r="Q233" i="2"/>
  <c r="Q278" i="2"/>
  <c r="Q277" i="2"/>
  <c r="Q254" i="2"/>
  <c r="Q257" i="2"/>
  <c r="Q216" i="2"/>
  <c r="Q215" i="2"/>
  <c r="Q527" i="2"/>
  <c r="Q191" i="2"/>
  <c r="Q190" i="2"/>
  <c r="Q454" i="2"/>
  <c r="Q268" i="2"/>
  <c r="Q267" i="2"/>
  <c r="Q266" i="2"/>
  <c r="Q201" i="2"/>
  <c r="Q397" i="2"/>
  <c r="Q263" i="2"/>
  <c r="Q262" i="2"/>
  <c r="Q261" i="2"/>
  <c r="Q260" i="2"/>
  <c r="Q248" i="2"/>
  <c r="Q239" i="2"/>
  <c r="Q238" i="2"/>
  <c r="Q247" i="2"/>
  <c r="Q246" i="2"/>
  <c r="Q187" i="2"/>
  <c r="Q186" i="2"/>
  <c r="Q274" i="2"/>
  <c r="Q519" i="2"/>
  <c r="Q518" i="2"/>
  <c r="Q181" i="2"/>
  <c r="Q180" i="2"/>
  <c r="Q279" i="2"/>
  <c r="Q276" i="2"/>
  <c r="Q226" i="2"/>
  <c r="Q244" i="2"/>
  <c r="Q245" i="2"/>
  <c r="Q158" i="2"/>
  <c r="Q116" i="2"/>
  <c r="Q185" i="2"/>
  <c r="Q312" i="2"/>
  <c r="Q182" i="2"/>
  <c r="Q237" i="2"/>
  <c r="Q209" i="2"/>
  <c r="Q235" i="2"/>
  <c r="Q234" i="2"/>
  <c r="Q24" i="2"/>
  <c r="Q232" i="2"/>
  <c r="Q231" i="2"/>
  <c r="Q230" i="2"/>
  <c r="Q229" i="2"/>
  <c r="Q100" i="2"/>
  <c r="Q256" i="2"/>
  <c r="Q225" i="2"/>
  <c r="Q539" i="2"/>
  <c r="Q222" i="2"/>
  <c r="Q255" i="2"/>
  <c r="Q271" i="2"/>
  <c r="Q3" i="2"/>
  <c r="Q259" i="2"/>
  <c r="Q526" i="2"/>
  <c r="Q206" i="2"/>
  <c r="Q240" i="2"/>
  <c r="Q189" i="2"/>
  <c r="Q453" i="2"/>
  <c r="Q269" i="2"/>
  <c r="Q311" i="2"/>
  <c r="Q299" i="2"/>
  <c r="Q208" i="2"/>
  <c r="Q452" i="2"/>
  <c r="Q252" i="2"/>
  <c r="Q205" i="2"/>
  <c r="Q264" i="2"/>
  <c r="Q184" i="2"/>
  <c r="Q183" i="2"/>
  <c r="Q357" i="2"/>
  <c r="Q204" i="2"/>
  <c r="Q324" i="2"/>
  <c r="Q517" i="2"/>
  <c r="Q197" i="2"/>
  <c r="Q20" i="2"/>
  <c r="Q265" i="2"/>
  <c r="Q214" i="2"/>
  <c r="Q243" i="2"/>
  <c r="Q89" i="2"/>
  <c r="Q251" i="2"/>
  <c r="Q223" i="2"/>
  <c r="Q12" i="2"/>
  <c r="Q188" i="2"/>
  <c r="Q525" i="2"/>
  <c r="Q273" i="2"/>
  <c r="Q272" i="2"/>
  <c r="Q516" i="2"/>
  <c r="Q275" i="2"/>
  <c r="Q284" i="2"/>
  <c r="Q220" i="2"/>
  <c r="Q228" i="2"/>
  <c r="Q250" i="2"/>
  <c r="Q157" i="2"/>
  <c r="Q156" i="2"/>
  <c r="Q155" i="2"/>
  <c r="Q154" i="2"/>
  <c r="Q153" i="2"/>
  <c r="Q152" i="2"/>
  <c r="Q151" i="2"/>
  <c r="Q150" i="2"/>
  <c r="Q149" i="2"/>
  <c r="Q148" i="2"/>
  <c r="Q147" i="2"/>
  <c r="Q146" i="2"/>
  <c r="Q145" i="2"/>
  <c r="Q144" i="2"/>
  <c r="Q143" i="2"/>
  <c r="Q142" i="2"/>
  <c r="Q141" i="2"/>
  <c r="Q140" i="2"/>
  <c r="Q139" i="2"/>
  <c r="Q138" i="2"/>
  <c r="Q137" i="2"/>
  <c r="Q136" i="2"/>
  <c r="Q135" i="2"/>
  <c r="Q134" i="2"/>
  <c r="Q133" i="2"/>
  <c r="Q132" i="2"/>
  <c r="Q131" i="2"/>
  <c r="Q129" i="2"/>
  <c r="Q128" i="2"/>
  <c r="Q127" i="2"/>
  <c r="Q126" i="2"/>
  <c r="Q125" i="2"/>
  <c r="Q124" i="2"/>
  <c r="Q123" i="2"/>
  <c r="Q122" i="2"/>
  <c r="Q121" i="2"/>
  <c r="Q120" i="2"/>
  <c r="Q119" i="2"/>
  <c r="Q118" i="2"/>
  <c r="Q117" i="2"/>
  <c r="Q537" i="2"/>
  <c r="Q115" i="2"/>
  <c r="Q114" i="2"/>
  <c r="Q113" i="2"/>
  <c r="Q112" i="2"/>
  <c r="Q111" i="2"/>
  <c r="Q110" i="2"/>
  <c r="Q109" i="2"/>
  <c r="Q108" i="2"/>
  <c r="Q106" i="2"/>
  <c r="Q105" i="2"/>
  <c r="Q104" i="2"/>
  <c r="Q103" i="2"/>
  <c r="Q102" i="2"/>
  <c r="Q101" i="2"/>
  <c r="Q253" i="2"/>
  <c r="Q99" i="2"/>
  <c r="Q98" i="2"/>
  <c r="Q97" i="2"/>
  <c r="Q96" i="2"/>
  <c r="Q95" i="2"/>
  <c r="Q94" i="2"/>
  <c r="Q93" i="2"/>
  <c r="Q92" i="2"/>
  <c r="Q91" i="2"/>
  <c r="Q90" i="2"/>
  <c r="Q531" i="2"/>
  <c r="Q88" i="2"/>
  <c r="Q87" i="2"/>
  <c r="Q86" i="2"/>
  <c r="Q85" i="2"/>
  <c r="Q84" i="2"/>
  <c r="Q83" i="2"/>
  <c r="Q81" i="2"/>
  <c r="Q80" i="2"/>
  <c r="Q79" i="2"/>
  <c r="Q78" i="2"/>
  <c r="Q77" i="2"/>
  <c r="Q76" i="2"/>
  <c r="Q75" i="2"/>
  <c r="Q74" i="2"/>
  <c r="Q73" i="2"/>
  <c r="Q72" i="2"/>
  <c r="Q71" i="2"/>
  <c r="Q70" i="2"/>
  <c r="Q69" i="2"/>
  <c r="Q68" i="2"/>
  <c r="Q67" i="2"/>
  <c r="Q66" i="2"/>
  <c r="Q65" i="2"/>
  <c r="Q64" i="2"/>
  <c r="Q63" i="2"/>
  <c r="Q62" i="2"/>
  <c r="Q61" i="2"/>
  <c r="Q60" i="2"/>
  <c r="Q59" i="2"/>
  <c r="Q58" i="2"/>
  <c r="Q57" i="2"/>
  <c r="Q56" i="2"/>
  <c r="Q55" i="2"/>
  <c r="Q54" i="2"/>
  <c r="Q53" i="2"/>
  <c r="Q52" i="2"/>
  <c r="Q50" i="2"/>
  <c r="Q49" i="2"/>
  <c r="Q48" i="2"/>
  <c r="Q47" i="2"/>
  <c r="Q46" i="2"/>
  <c r="Q45" i="2"/>
  <c r="Q44" i="2"/>
  <c r="Q43" i="2"/>
  <c r="Q42" i="2"/>
  <c r="Q41" i="2"/>
  <c r="Q4" i="2"/>
  <c r="Q5" i="2"/>
  <c r="Q6" i="2"/>
  <c r="Q7" i="2"/>
  <c r="Q8" i="2"/>
  <c r="Q9" i="2"/>
  <c r="Q10" i="2"/>
  <c r="Q11" i="2"/>
  <c r="Q529" i="2"/>
  <c r="Q13" i="2"/>
  <c r="Q14" i="2"/>
  <c r="Q15" i="2"/>
  <c r="Q16" i="2"/>
  <c r="Q17" i="2"/>
  <c r="Q18" i="2"/>
  <c r="Q19" i="2"/>
  <c r="Q242" i="2"/>
  <c r="Q21" i="2"/>
  <c r="Q22" i="2"/>
  <c r="Q23" i="2"/>
  <c r="Q530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</calcChain>
</file>

<file path=xl/sharedStrings.xml><?xml version="1.0" encoding="utf-8"?>
<sst xmlns="http://schemas.openxmlformats.org/spreadsheetml/2006/main" count="17112" uniqueCount="4900">
  <si>
    <t>Legenda:</t>
  </si>
  <si>
    <t>KAM</t>
  </si>
  <si>
    <t>Likvidace</t>
  </si>
  <si>
    <t>KAPU</t>
  </si>
  <si>
    <t>aktivní</t>
  </si>
  <si>
    <t>Stav</t>
  </si>
  <si>
    <t>Číslosmlouvy</t>
  </si>
  <si>
    <t>IČfirmy</t>
  </si>
  <si>
    <t>Názevfirmy</t>
  </si>
  <si>
    <t>Ulice</t>
  </si>
  <si>
    <t>PSČ</t>
  </si>
  <si>
    <t>Obec</t>
  </si>
  <si>
    <t>Kontaktníosoba</t>
  </si>
  <si>
    <t>E-mail</t>
  </si>
  <si>
    <t>Telefon</t>
  </si>
  <si>
    <t>Druh</t>
  </si>
  <si>
    <t>Opravujíznačkyaut</t>
  </si>
  <si>
    <t>Prohlídkovémísto</t>
  </si>
  <si>
    <t>Provoznídoba</t>
  </si>
  <si>
    <t>WEB</t>
  </si>
  <si>
    <t>Okres</t>
  </si>
  <si>
    <t>Kraj</t>
  </si>
  <si>
    <t>GPSLat</t>
  </si>
  <si>
    <t>GPSLng</t>
  </si>
  <si>
    <t>AVNsleva</t>
  </si>
  <si>
    <t>CebiGlassGT</t>
  </si>
  <si>
    <t>AudaGlass</t>
  </si>
  <si>
    <t>Prvníprasklina</t>
  </si>
  <si>
    <t>dalšípraskliny</t>
  </si>
  <si>
    <t>Kalibracekamery</t>
  </si>
  <si>
    <t>SlevananáhradnídilydleAVN</t>
  </si>
  <si>
    <t>Mechanickávozidlamimoavn</t>
  </si>
  <si>
    <t>Klempířskávozidlamimoavn</t>
  </si>
  <si>
    <t>Mechanická</t>
  </si>
  <si>
    <t>Klempířská</t>
  </si>
  <si>
    <t>Lakýrnicképráce</t>
  </si>
  <si>
    <t>MeachanickáHD</t>
  </si>
  <si>
    <t>KlepířskáHD</t>
  </si>
  <si>
    <t>LakHD</t>
  </si>
  <si>
    <t>AZT–UNIlaky</t>
  </si>
  <si>
    <t>metalickéaperleťovélaky</t>
  </si>
  <si>
    <t>SilverDat</t>
  </si>
  <si>
    <t>DAT-Eurolak</t>
  </si>
  <si>
    <t>Slevananáhradnídílyamateriál</t>
  </si>
  <si>
    <t>drobnýrežijnímateriál</t>
  </si>
  <si>
    <t>originálnínáhradnídílyamateriál</t>
  </si>
  <si>
    <t>aftermarketovénáhradnídílyamateriál</t>
  </si>
  <si>
    <t>slevanapráci</t>
  </si>
  <si>
    <t>originálnípoužiténáhradnídílyamateriál</t>
  </si>
  <si>
    <t>Prohlídka</t>
  </si>
  <si>
    <t>Poznámky</t>
  </si>
  <si>
    <t>Limitprohlídkyod15.9.2022</t>
  </si>
  <si>
    <t>Dodávky+SUVvše</t>
  </si>
  <si>
    <t>Ano</t>
  </si>
  <si>
    <t>ACC</t>
  </si>
  <si>
    <t>119/2019</t>
  </si>
  <si>
    <t>14787547</t>
  </si>
  <si>
    <t>VáclavKačírek</t>
  </si>
  <si>
    <t>Náměstí3</t>
  </si>
  <si>
    <t>Neumětely</t>
  </si>
  <si>
    <t>autokacirek@autokacirek.cz</t>
  </si>
  <si>
    <t>NeautorizovanýservisSAG</t>
  </si>
  <si>
    <t>všechnavozidla</t>
  </si>
  <si>
    <t>NE</t>
  </si>
  <si>
    <t>Po-Pá8:00-16:30</t>
  </si>
  <si>
    <t>DIRECT</t>
  </si>
  <si>
    <t>003/2016</t>
  </si>
  <si>
    <t>48028321</t>
  </si>
  <si>
    <t>AUTOPAPOUŠEKs.r.o.</t>
  </si>
  <si>
    <t>Svídnická613/7</t>
  </si>
  <si>
    <t>Praha8-Troja</t>
  </si>
  <si>
    <t>p.Vogel</t>
  </si>
  <si>
    <t>vogel@autopapousek.cz</t>
  </si>
  <si>
    <t>NeautorizovanýservisDIRECT</t>
  </si>
  <si>
    <t>7:00-18:00|7:00-18:00|7:00-18:00|7:00-18:00|7:00-18:00|-|-.</t>
  </si>
  <si>
    <t>Vypovídámk31.3.2023smlouvu.PL</t>
  </si>
  <si>
    <t>004/2016</t>
  </si>
  <si>
    <t>17048818</t>
  </si>
  <si>
    <t>FEMATs.r.o.</t>
  </si>
  <si>
    <t>Vrážská1562/24</t>
  </si>
  <si>
    <t>Praha</t>
  </si>
  <si>
    <t>ZdeněkSoukup,HynekFaktor</t>
  </si>
  <si>
    <t>servis@femat.cz</t>
  </si>
  <si>
    <t>Osobní</t>
  </si>
  <si>
    <t>Škoda</t>
  </si>
  <si>
    <t>7:00-18:00|7:00-18:00|7:00-18:00|7:00-18:00|7:00-18:00|8:00-13:00|-.</t>
  </si>
  <si>
    <t>005/2016</t>
  </si>
  <si>
    <t>62914910</t>
  </si>
  <si>
    <t>DOMANSKÝs.r.o.</t>
  </si>
  <si>
    <t>Českobrodská566</t>
  </si>
  <si>
    <t>KarelVyšinka</t>
  </si>
  <si>
    <t>karel.vysinka@domanský.cz</t>
  </si>
  <si>
    <t>Peugeot,Citroën</t>
  </si>
  <si>
    <t>7:00-19:00|7:00-19:00|7:00-19:00|7:00-19:00|7:00-19:00|-|-.</t>
  </si>
  <si>
    <t>Tlumačovská1298</t>
  </si>
  <si>
    <t>MartinHavránek</t>
  </si>
  <si>
    <t>servisP5@domansky.cz</t>
  </si>
  <si>
    <t>7:00-19:00|7:00-19:00|7:00-19:00|7:00-19:00|7:00-19:00|8:00-14:00|-.</t>
  </si>
  <si>
    <t>Zdiby195</t>
  </si>
  <si>
    <t>Zdiby</t>
  </si>
  <si>
    <t>MartinJanek</t>
  </si>
  <si>
    <t>martin.janek@domansky.cz</t>
  </si>
  <si>
    <t>Peugeot,Citroën,Toyota</t>
  </si>
  <si>
    <t>50.1696486</t>
  </si>
  <si>
    <t>14.4592908</t>
  </si>
  <si>
    <t>Herlošova2925</t>
  </si>
  <si>
    <t>Tábor</t>
  </si>
  <si>
    <t>PetrJirsík</t>
  </si>
  <si>
    <t>petr.jirsik@domansky.cz</t>
  </si>
  <si>
    <t>7:00-17:00|7:00-17:00|7:00-17:00|7:00-17:00|7:00-17:00|8:00-12:00|-.</t>
  </si>
  <si>
    <t>pobočkazrušená,prodejpřesunutýdoPrahy</t>
  </si>
  <si>
    <t>Skorkovská1644</t>
  </si>
  <si>
    <t>PetrKerhat</t>
  </si>
  <si>
    <t>petr.kerhat@domansky.cz</t>
  </si>
  <si>
    <t>006/2016</t>
  </si>
  <si>
    <t>01718053</t>
  </si>
  <si>
    <t>HyundaiPrahaDomanskýs.r.o.</t>
  </si>
  <si>
    <t>Jeremiášova1</t>
  </si>
  <si>
    <t>PetrNelhýbel</t>
  </si>
  <si>
    <t>petr.nelhybel@domansky.cz</t>
  </si>
  <si>
    <t>Hyundai</t>
  </si>
  <si>
    <t>75609878</t>
  </si>
  <si>
    <t>AutoServisROVALIs.r.o.</t>
  </si>
  <si>
    <t>Gellhornova2491/2a</t>
  </si>
  <si>
    <t>Blansko</t>
  </si>
  <si>
    <t>LiborFojtík</t>
  </si>
  <si>
    <t>info@autoservis-rovali.cz</t>
  </si>
  <si>
    <t>dřívepodnázvemLiborHavlík/AutoservisHavlíks.r.o..PřejmenovánopodledatopdACCz09/2021.</t>
  </si>
  <si>
    <t>007/2016</t>
  </si>
  <si>
    <t>27182975</t>
  </si>
  <si>
    <t>RCLoudaAuto</t>
  </si>
  <si>
    <t>Helsinská166/2</t>
  </si>
  <si>
    <t>VlastimilBrabec</t>
  </si>
  <si>
    <t>vlastimil.brabec@louda.cz</t>
  </si>
  <si>
    <t>Renault,Dacia</t>
  </si>
  <si>
    <t>7:30-18:00|7:30-18:00|7:30-18:00|7:30-18:00|7:30-18:00|-|-.</t>
  </si>
  <si>
    <t>Od.1.10.2022prodejpodLoudaAuto.PůvodnínázevRenaultRetailGroupCZ.Od1.5.2023fůzesLoudaAuto,převodpodsmlouvu266/2022.</t>
  </si>
  <si>
    <t>008/2016</t>
  </si>
  <si>
    <t>48030317</t>
  </si>
  <si>
    <t>AUTODRUŽSTVOPRAHA</t>
  </si>
  <si>
    <t>Spojovací41/783</t>
  </si>
  <si>
    <t>LadislavTurek,MichaelWeiss</t>
  </si>
  <si>
    <t>kratochvil@adpraha.cz </t>
  </si>
  <si>
    <t>7:00-17:30|7:00-17:30|7:00-17:30|7:00-17:30|7:00-17:30|-|-.</t>
  </si>
  <si>
    <t>Od1.9.2021jižneexistuje</t>
  </si>
  <si>
    <t>009/2016</t>
  </si>
  <si>
    <t>KarosářCZ,s.r.o.</t>
  </si>
  <si>
    <t>Hoškovice22</t>
  </si>
  <si>
    <t>MnichovoHradiště</t>
  </si>
  <si>
    <t>Příjemoprav</t>
  </si>
  <si>
    <t>info@karosar.cz</t>
  </si>
  <si>
    <t>GaranceMobility</t>
  </si>
  <si>
    <t>Všechnavozidla</t>
  </si>
  <si>
    <t>24805327</t>
  </si>
  <si>
    <t>pí.Šulcová</t>
  </si>
  <si>
    <t>PDRopravy</t>
  </si>
  <si>
    <t>PO-NEDLEDOHODY</t>
  </si>
  <si>
    <t>IrenaBenešová,DanaJanatová</t>
  </si>
  <si>
    <t>ANO</t>
  </si>
  <si>
    <t>k1.2.2023zadanéprohlídkovémísto.</t>
  </si>
  <si>
    <t>010/2016</t>
  </si>
  <si>
    <t>60108151</t>
  </si>
  <si>
    <t>HAVEX-autos.r.o.</t>
  </si>
  <si>
    <t>Jateční317/41</t>
  </si>
  <si>
    <t>ph.servis@havex.cz</t>
  </si>
  <si>
    <t>7:00-19:00|7:00-19:00|7:00-19:00|7:00-19:00|7:00-19:00|8:00-12:00|-.</t>
  </si>
  <si>
    <t>NaBělidle503</t>
  </si>
  <si>
    <t>Vrchlabí</t>
  </si>
  <si>
    <t>OndřejŠulc</t>
  </si>
  <si>
    <t>david.neumann@havex.cz</t>
  </si>
  <si>
    <t>499406314,499406312-313</t>
  </si>
  <si>
    <t>Škoda,Fiat,Jeep,Citroen,Peugeot</t>
  </si>
  <si>
    <t>HUCARs.r.o.</t>
  </si>
  <si>
    <t>Nádražní85</t>
  </si>
  <si>
    <t>BystřicenadPernštejnem</t>
  </si>
  <si>
    <t>hucar@email.cz</t>
  </si>
  <si>
    <t>Pražská1825</t>
  </si>
  <si>
    <t>NováPaka</t>
  </si>
  <si>
    <t>PetrKmínek</t>
  </si>
  <si>
    <t>np.servis@havex.cz</t>
  </si>
  <si>
    <t>Škoda,Seat,Cupra</t>
  </si>
  <si>
    <t>7:00-17:00|7:00-17:00|7:00-17:00|7:00-17:00|7:00-17:00|8:00-11:00|-.</t>
  </si>
  <si>
    <t>PodČernýmmostem577</t>
  </si>
  <si>
    <t>Semily</t>
  </si>
  <si>
    <t>OtakarHašek</t>
  </si>
  <si>
    <t>otakar.hasek@havex.cz,sm.servis@havex.cz</t>
  </si>
  <si>
    <t>Pobočkauzavřena,prodána.</t>
  </si>
  <si>
    <t>Pražská782/IV</t>
  </si>
  <si>
    <t>ChlumecnadCidlinou</t>
  </si>
  <si>
    <t>MilošSenohrábek</t>
  </si>
  <si>
    <t>milos.senohrabek@havex.cz</t>
  </si>
  <si>
    <t>130/2019</t>
  </si>
  <si>
    <t>MMautoopravnas.r.o.</t>
  </si>
  <si>
    <t>Molenburk78</t>
  </si>
  <si>
    <t>Vysočany</t>
  </si>
  <si>
    <t>MichalPřibyl</t>
  </si>
  <si>
    <t>MM.auto.opravy@seznam.cz</t>
  </si>
  <si>
    <t>FérservisDIRECT</t>
  </si>
  <si>
    <t>Po-Pá8:00-17:00</t>
  </si>
  <si>
    <t>specpodmínky</t>
  </si>
  <si>
    <t>011/2016</t>
  </si>
  <si>
    <t>60293713</t>
  </si>
  <si>
    <t>LRAUTO-TomášLehnert</t>
  </si>
  <si>
    <t>Staříč541</t>
  </si>
  <si>
    <t>Staříč</t>
  </si>
  <si>
    <t>MartinRojíček</t>
  </si>
  <si>
    <t>lrnehody@seznam.cz</t>
  </si>
  <si>
    <t>všechnavozidla+motocykly</t>
  </si>
  <si>
    <t>8:30-17:00|8:30-17:00|8:30-17:00|8:30-17:00|8:30-17:00|-|-.</t>
  </si>
  <si>
    <t>012/2016</t>
  </si>
  <si>
    <t>13093401</t>
  </si>
  <si>
    <t>ZdeněkŘedina-Autoopravna</t>
  </si>
  <si>
    <t>náměstíKomenského31</t>
  </si>
  <si>
    <t>Tlumačov</t>
  </si>
  <si>
    <t>ZděněkŘedina</t>
  </si>
  <si>
    <t>autoredina@volny.cz</t>
  </si>
  <si>
    <t>7:00-16:00|7:00-16:00|7:00-16:00|7:00-16:00|7:00-16:00|-|-.</t>
  </si>
  <si>
    <t>013/2016</t>
  </si>
  <si>
    <t>29128889</t>
  </si>
  <si>
    <t>AutoSvárov.cz</t>
  </si>
  <si>
    <t>Kozákova3084</t>
  </si>
  <si>
    <t>ČeskáLípa</t>
  </si>
  <si>
    <t>TomášKozák</t>
  </si>
  <si>
    <t>info@autosvarov.cz</t>
  </si>
  <si>
    <t>8:00-16:00|8:00-16:00|8:00-16:00|8:00-16:00|8:00-16:00|-|-.</t>
  </si>
  <si>
    <t>Výpověďsmlouvyk30.11.2022.ZestranyDirectu.PL102022</t>
  </si>
  <si>
    <t>014/2016</t>
  </si>
  <si>
    <t>26946955</t>
  </si>
  <si>
    <t>Daníček,s.r.o.</t>
  </si>
  <si>
    <t>Vizovická423</t>
  </si>
  <si>
    <t>Zlín</t>
  </si>
  <si>
    <t>PetraKalbáčová</t>
  </si>
  <si>
    <t>kalbacova@autodanicek.cz</t>
  </si>
  <si>
    <t>původníadresa:pojistovny@autodanicek.cz</t>
  </si>
  <si>
    <t>015/2016</t>
  </si>
  <si>
    <t>MBSAUTOSLUŽBAMĚLNÍK</t>
  </si>
  <si>
    <t>Kamenická1995/4</t>
  </si>
  <si>
    <t>Mělník</t>
  </si>
  <si>
    <t>StanislavHlaváček</t>
  </si>
  <si>
    <t>mbslakovna@seznam.cz</t>
  </si>
  <si>
    <t>všechnavozidla+nákladníaautobusy</t>
  </si>
  <si>
    <t>8:00-16:30|8:00-16:30|8:00-16:30|8:00-16:30|8:00-16:30|-|-.</t>
  </si>
  <si>
    <t>016/2016</t>
  </si>
  <si>
    <t>16907752</t>
  </si>
  <si>
    <t>AUTOSIBŘINA</t>
  </si>
  <si>
    <t>VKorytech67</t>
  </si>
  <si>
    <t>MilanKarpíšek</t>
  </si>
  <si>
    <t>lakovna@autosibrina.cz</t>
  </si>
  <si>
    <t>8:00-17:00|8:00-17:00|8:00-17:00|8:00-17:00|8:00-17:00|-|-.</t>
  </si>
  <si>
    <t>V2023zněmanajinéIČKarpichCar11829800.Neprodlouženásmlouvaospolupráci.</t>
  </si>
  <si>
    <t>017/2016</t>
  </si>
  <si>
    <t>25869833</t>
  </si>
  <si>
    <t>AUTOHÉGRa.s.</t>
  </si>
  <si>
    <t>Olomoucká110</t>
  </si>
  <si>
    <t>Šternberk</t>
  </si>
  <si>
    <t>MartinSeidl,OldřichBeneš</t>
  </si>
  <si>
    <t>servis@stbk.auto-hegr.cz</t>
  </si>
  <si>
    <t>Škoda,Volkswagen</t>
  </si>
  <si>
    <t>6:30-21:00|6:30-21:00|6:30-21:00|6:30-21:00|6:30-21:00|7:00-12:00|-.</t>
  </si>
  <si>
    <t>K1.1.2024ukončeníspolupráce,výpověďznašístrany-vysokésazby.Od1.1.2022zdůvoduodmítnutídohodynanavýšenícenservisníchpracínebudemedoservisůsměrovataktivněklienty.Servisyjsoutakpouzevpasivníroli.Jižneníaut.servisAudi</t>
  </si>
  <si>
    <t>Jesenická2839/1b</t>
  </si>
  <si>
    <t>Šumperk</t>
  </si>
  <si>
    <t>EvženStraka</t>
  </si>
  <si>
    <t>servis@sumperk.auto-hegr.cz</t>
  </si>
  <si>
    <t>Hněvotínská568/54a</t>
  </si>
  <si>
    <t>Olomouc</t>
  </si>
  <si>
    <t>TomášBejdák</t>
  </si>
  <si>
    <t>tomas.bejdak@auto-hegr.cz,servis@auto-hegr.cz</t>
  </si>
  <si>
    <t>018/2016</t>
  </si>
  <si>
    <t>26933209</t>
  </si>
  <si>
    <t>AUTOPOSPÍŠIL</t>
  </si>
  <si>
    <t>Karlova27</t>
  </si>
  <si>
    <t>Brno</t>
  </si>
  <si>
    <t>MartinŠob,PetraMalantová</t>
  </si>
  <si>
    <t>martin@autopospisil.cz,pojistneudalosti@autopospisil.cz</t>
  </si>
  <si>
    <t>Dledohody</t>
  </si>
  <si>
    <t>019/2016</t>
  </si>
  <si>
    <t>25329677</t>
  </si>
  <si>
    <t>AUTODOBROVOLNÝV.M.s.r.o.</t>
  </si>
  <si>
    <t>Fr.Stránecké1330/2</t>
  </si>
  <si>
    <t>VelkéMeziříčí</t>
  </si>
  <si>
    <t>ZdeněkŠoukal</t>
  </si>
  <si>
    <t>karosarna.vm@autodobrovolny.cz</t>
  </si>
  <si>
    <t>Opel,Chevrolet,Škoda</t>
  </si>
  <si>
    <t>7:30-17:00|7:30-17:00|7:30-17:00|7:30-17:00|7:30-17:00|8:00-12:00|-.</t>
  </si>
  <si>
    <t>Okružní4720/3</t>
  </si>
  <si>
    <t>Jihlava</t>
  </si>
  <si>
    <t>VladimírLacek</t>
  </si>
  <si>
    <t>servis.ji@autodobrovolny.cz</t>
  </si>
  <si>
    <t>AUTODOBROVOLNÝV.M.sro</t>
  </si>
  <si>
    <t>Oblekovice395</t>
  </si>
  <si>
    <t>Znojmo</t>
  </si>
  <si>
    <t>PetrLodes</t>
  </si>
  <si>
    <t>servis.zn@autodobrovolny.cz</t>
  </si>
  <si>
    <t>7:00-16:30|7:00-16:30|7:00-16:30|7:00-16:30|7:00-16:30|8:00-12:00|-.</t>
  </si>
  <si>
    <t>020/2017</t>
  </si>
  <si>
    <t>62587536</t>
  </si>
  <si>
    <t>AUTOPLUSPrahas.r.o.</t>
  </si>
  <si>
    <t>Kyslíková1984/4</t>
  </si>
  <si>
    <t>Praha4</t>
  </si>
  <si>
    <t>info@autoplus-praha.cz</t>
  </si>
  <si>
    <t>všechnavozidla+nákladnívozidla</t>
  </si>
  <si>
    <t>49.9914056</t>
  </si>
  <si>
    <t>14.4110006</t>
  </si>
  <si>
    <t>021/2016</t>
  </si>
  <si>
    <t>46969730</t>
  </si>
  <si>
    <t>HoráckéAutodružstvoVM</t>
  </si>
  <si>
    <t>KNovémunádraží1345</t>
  </si>
  <si>
    <t>MartinHabán</t>
  </si>
  <si>
    <t>haban@horacke-vm.cz</t>
  </si>
  <si>
    <t>7:00-17:00|7:00-17:00|7:00-17:00|7:00-17:00|7:00-17:00|-|-.</t>
  </si>
  <si>
    <t>022/2016</t>
  </si>
  <si>
    <t>49903748</t>
  </si>
  <si>
    <t>KHKŽatecs.r.o.</t>
  </si>
  <si>
    <t>Čeradická2031</t>
  </si>
  <si>
    <t>Žatec</t>
  </si>
  <si>
    <t>NikolaRayman</t>
  </si>
  <si>
    <t>servis@khkzatec.cz</t>
  </si>
  <si>
    <t>Peugeot</t>
  </si>
  <si>
    <t>50.3187242</t>
  </si>
  <si>
    <t>13.5299128</t>
  </si>
  <si>
    <t>023/2016</t>
  </si>
  <si>
    <t>AutotrioVíchas.r.o.</t>
  </si>
  <si>
    <t>KOchozi1425</t>
  </si>
  <si>
    <t>AlešVícha</t>
  </si>
  <si>
    <t>autotrio@email.cz</t>
  </si>
  <si>
    <t>024/2016</t>
  </si>
  <si>
    <t>27518141</t>
  </si>
  <si>
    <t>PROAUTOHradecKrálové,s.r.o.</t>
  </si>
  <si>
    <t>Dřevařská470</t>
  </si>
  <si>
    <t>HradecKrálové</t>
  </si>
  <si>
    <t>RudolfNyč</t>
  </si>
  <si>
    <t>nyc@proautohk.cz</t>
  </si>
  <si>
    <t>025/2016</t>
  </si>
  <si>
    <t>DirectautoBrno,s.r.o.</t>
  </si>
  <si>
    <t>Žarošická21</t>
  </si>
  <si>
    <t>Brno-Vinohrady</t>
  </si>
  <si>
    <t>pojistne.udalosti.brno-vinohrady@direct-auto.cz</t>
  </si>
  <si>
    <t>Škoda,Volkswagen,Seat</t>
  </si>
  <si>
    <t>Recepce</t>
  </si>
  <si>
    <t>DirectAuto</t>
  </si>
  <si>
    <t>6:30-18:00|6:30-18:00|6:30-18:00|6:30-18:00|6:30-18:00|8:00-12:00|-.</t>
  </si>
  <si>
    <t>bezlimitu</t>
  </si>
  <si>
    <t>026/2016</t>
  </si>
  <si>
    <t>63485885</t>
  </si>
  <si>
    <t>CARent,a.s</t>
  </si>
  <si>
    <t>Bělohorská46</t>
  </si>
  <si>
    <t>PavelVyzourek</t>
  </si>
  <si>
    <t>cko@carent.cz</t>
  </si>
  <si>
    <t>Ford</t>
  </si>
  <si>
    <t>8:00-18:00|8:00-18:00|8:00-18:00|8:00-18:00|8:00-18:00|9:00-13:00|-.</t>
  </si>
  <si>
    <t>VýpověďsmlouvyzestranyDirectuk31.5.2023.</t>
  </si>
  <si>
    <t>027/2016</t>
  </si>
  <si>
    <t>25512579</t>
  </si>
  <si>
    <t>AUTOPokornýs.r.o.</t>
  </si>
  <si>
    <t>Okružní872/25a</t>
  </si>
  <si>
    <t>DavidPokorný</t>
  </si>
  <si>
    <t>david.pokorny@renaultbrno.cz</t>
  </si>
  <si>
    <t>7:30-18:00|7:30-18:00|7:30-18:00|7:30-18:00|7:30-18:00|9:00-12:00|-.</t>
  </si>
  <si>
    <t>25612579</t>
  </si>
  <si>
    <t>Svratecká845</t>
  </si>
  <si>
    <t>BrnoModřice</t>
  </si>
  <si>
    <t>FrantišekLokaj</t>
  </si>
  <si>
    <t>frantisek.lokaj@renaultbrno.cz</t>
  </si>
  <si>
    <t>Po-Pá7:300-18:00</t>
  </si>
  <si>
    <t>Karlov2223</t>
  </si>
  <si>
    <t>RadimPelán</t>
  </si>
  <si>
    <t>radim.pelan@renaultvm.cz</t>
  </si>
  <si>
    <t>028/2016</t>
  </si>
  <si>
    <t>26898152</t>
  </si>
  <si>
    <t>AutoPokornýmotorss.r.o.</t>
  </si>
  <si>
    <t>Maříkova564/46</t>
  </si>
  <si>
    <t>VáclavŠindelář</t>
  </si>
  <si>
    <t>vaclav.sindelar@hyundaivbrne.cz</t>
  </si>
  <si>
    <t>49.2585200</t>
  </si>
  <si>
    <t>16.5830253</t>
  </si>
  <si>
    <t>Modřice</t>
  </si>
  <si>
    <t>info@autopokorny.cz</t>
  </si>
  <si>
    <t> 515 910 069</t>
  </si>
  <si>
    <t>49.1325847</t>
  </si>
  <si>
    <t>16.6352456</t>
  </si>
  <si>
    <t>Ne</t>
  </si>
  <si>
    <t>030/2016</t>
  </si>
  <si>
    <t>MM Car servis</t>
  </si>
  <si>
    <t>VIII. Brána areál Škoda 1289/24a</t>
  </si>
  <si>
    <t>Plzeň</t>
  </si>
  <si>
    <t>zakazky@mmcar.cz</t>
  </si>
  <si>
    <t>800331108, 775101775</t>
  </si>
  <si>
    <t>Fér servis DIRECT</t>
  </si>
  <si>
    <t>všechna vozidla</t>
  </si>
  <si>
    <t>PO-PÁ 8:00-16:30</t>
  </si>
  <si>
    <t>Nedělá poruchy - vyjmutý z asistence EA (8/2023).</t>
  </si>
  <si>
    <t>031/2017</t>
  </si>
  <si>
    <t>44016115</t>
  </si>
  <si>
    <t>SQSspol,s.r.o.(FIRSTSTOPSERVIS)</t>
  </si>
  <si>
    <t>Sokolova2k</t>
  </si>
  <si>
    <t>IvoHanuš</t>
  </si>
  <si>
    <t>ivo.hanus@sqs.cz</t>
  </si>
  <si>
    <t>7:30-17:30|7:30-17:30|7:30-17:30|7:30-17:30|7:30-17:30|-|-.</t>
  </si>
  <si>
    <t>Výpověďspoluprácek30.11.2022.</t>
  </si>
  <si>
    <t>032/2017</t>
  </si>
  <si>
    <t>27094413</t>
  </si>
  <si>
    <t>AutoservisRejmon</t>
  </si>
  <si>
    <t>NadVršovickouhorou88/4</t>
  </si>
  <si>
    <t>MichaelRejmon</t>
  </si>
  <si>
    <t>navrh@autorejmon.cz</t>
  </si>
  <si>
    <t>8:00-16:30|8:00-16:30|8:00-16:30|8:00-16:30|7:00-14:00|-|-.</t>
  </si>
  <si>
    <t>Fričova13</t>
  </si>
  <si>
    <t>KarelMifka</t>
  </si>
  <si>
    <t>fricova@autorejmon.cz</t>
  </si>
  <si>
    <t>7:00-17:00|7:00-17:00|7:00-17:00|7:00-17:00|7:00-14:00|-|-.</t>
  </si>
  <si>
    <t>033/2017</t>
  </si>
  <si>
    <t>26228980</t>
  </si>
  <si>
    <t>AUTOSERVISVINTRs.r.o.</t>
  </si>
  <si>
    <t>Senetářov205</t>
  </si>
  <si>
    <t>Senetářov</t>
  </si>
  <si>
    <t>JakubTihelka</t>
  </si>
  <si>
    <t>info@autoservisvintr.eu</t>
  </si>
  <si>
    <t>034/2017</t>
  </si>
  <si>
    <t>42599733</t>
  </si>
  <si>
    <t>Hyundai-VladislavVystrčil</t>
  </si>
  <si>
    <t>Lednická110/47</t>
  </si>
  <si>
    <t>CharvatskáNováVes</t>
  </si>
  <si>
    <t>VladislavVystrčil</t>
  </si>
  <si>
    <t>autosalon.vystrcil@seznam.cz</t>
  </si>
  <si>
    <t>11.4.2023ukončujispolupráci,jižneděláanechcespolupracovat.</t>
  </si>
  <si>
    <t>035/2017</t>
  </si>
  <si>
    <t>48290980</t>
  </si>
  <si>
    <t>OKIM,s.r.o.</t>
  </si>
  <si>
    <t>Masarykova1028</t>
  </si>
  <si>
    <t>ÚstínadLabem</t>
  </si>
  <si>
    <t>TomášVeselý</t>
  </si>
  <si>
    <t>tomas.vesely@okim.cz</t>
  </si>
  <si>
    <t>Volkswagen,Škoda</t>
  </si>
  <si>
    <t>7:00-18:00|7:00-18:00|7:00-18:00|7:00-18:00|7:00-18:00|8:00-14:00|-.</t>
  </si>
  <si>
    <t>Terezínská1119</t>
  </si>
  <si>
    <t>Lovosice</t>
  </si>
  <si>
    <t>MarekMojžíš</t>
  </si>
  <si>
    <t>marek.mojzis@okim.cz</t>
  </si>
  <si>
    <t>5.května2645</t>
  </si>
  <si>
    <t>Louny</t>
  </si>
  <si>
    <t>AntonínKrejza</t>
  </si>
  <si>
    <t>antonin.krejza@okim.cz</t>
  </si>
  <si>
    <t>036/2017</t>
  </si>
  <si>
    <t>25038681</t>
  </si>
  <si>
    <t>Jelínek</t>
  </si>
  <si>
    <t>Tyršova864</t>
  </si>
  <si>
    <t>servis.ul@renault-jelinek.cz</t>
  </si>
  <si>
    <t>jižneexistuje</t>
  </si>
  <si>
    <t>037/2017</t>
  </si>
  <si>
    <t>25407228</t>
  </si>
  <si>
    <t>Srbice96</t>
  </si>
  <si>
    <t>Srbice</t>
  </si>
  <si>
    <t>JiříVlček</t>
  </si>
  <si>
    <t>servis@skoda-jelinek.cz</t>
  </si>
  <si>
    <t>7:00-18:00|7:00-18:00|7:00-18:00|7:00-18:00|7:00-18:00|8:00-12:00|-.</t>
  </si>
  <si>
    <t>038/2017</t>
  </si>
  <si>
    <t>28061870</t>
  </si>
  <si>
    <t>AutoservisČížeks.r.o.</t>
  </si>
  <si>
    <t>ČeskéVrbné2347</t>
  </si>
  <si>
    <t>ČeskéBudějovice</t>
  </si>
  <si>
    <t>VáclavČížek</t>
  </si>
  <si>
    <t>info@autoserviscizek.cz</t>
  </si>
  <si>
    <t>8:00-20:00|8:00-20:00|8:00-20:00|8:00-20:00|8:00-20:00|8:00-20:00|8:00-20:00</t>
  </si>
  <si>
    <t>039/2017</t>
  </si>
  <si>
    <t>26874598</t>
  </si>
  <si>
    <t>RPSCZECH,S.R.O.</t>
  </si>
  <si>
    <t>Těšínská236</t>
  </si>
  <si>
    <t>Šenov</t>
  </si>
  <si>
    <t>Ing.AlešZlamšidlo</t>
  </si>
  <si>
    <t>partner@rpsczech.cz</t>
  </si>
  <si>
    <t>Bezpříméhodoporučování-pouzepasivnírole!</t>
  </si>
  <si>
    <t>nám.Svobody526</t>
  </si>
  <si>
    <t>Třinec</t>
  </si>
  <si>
    <t>JindřichRaszyk</t>
  </si>
  <si>
    <t>Dletelefonickédohody</t>
  </si>
  <si>
    <t>Palkovická529</t>
  </si>
  <si>
    <t>Frýdek-Místek</t>
  </si>
  <si>
    <t>ZdeněkVelička</t>
  </si>
  <si>
    <t>Jeremenkova9</t>
  </si>
  <si>
    <t>ŠenovuNovéhoJíčína</t>
  </si>
  <si>
    <t>PetrValenta</t>
  </si>
  <si>
    <t>Tovární906/44</t>
  </si>
  <si>
    <t>PetrValoušek</t>
  </si>
  <si>
    <t>Palhanecká635/20</t>
  </si>
  <si>
    <t>Opava-Jaktař</t>
  </si>
  <si>
    <t>AlešBára</t>
  </si>
  <si>
    <t>Bezpříméhodoporučování-pouzepasivnírole!26.1.2024změnaadresyzHlavní1495/2E,Opava(adresaAutoStoniš).</t>
  </si>
  <si>
    <t>040/2017</t>
  </si>
  <si>
    <t>62240129</t>
  </si>
  <si>
    <t>SANPLUS,s.r.o.</t>
  </si>
  <si>
    <t>Palackého94</t>
  </si>
  <si>
    <t>JablonecnadNisou</t>
  </si>
  <si>
    <t>MilanŠenkýř</t>
  </si>
  <si>
    <t>senkyr@sanplus.cz</t>
  </si>
  <si>
    <t>Škoda,Kia,Volkswagen</t>
  </si>
  <si>
    <t>Sluneční3115</t>
  </si>
  <si>
    <t>PetrPluhař</t>
  </si>
  <si>
    <t>pluhar@sanplus.cz</t>
  </si>
  <si>
    <t>041/2017</t>
  </si>
  <si>
    <t>15680207</t>
  </si>
  <si>
    <t>AutoservisRudolfWEBER</t>
  </si>
  <si>
    <t>Pražská214</t>
  </si>
  <si>
    <t>Most</t>
  </si>
  <si>
    <t>LenkaSolnařová</t>
  </si>
  <si>
    <t>rudolfweber@email.cz</t>
  </si>
  <si>
    <t>8:00-15:30|8:00-15:30|8:00-15:30|8:00-15:30|8:00-15:30|-|-.</t>
  </si>
  <si>
    <t>042/2017</t>
  </si>
  <si>
    <t>41031172</t>
  </si>
  <si>
    <t>AUTO-BPKs.r.o.</t>
  </si>
  <si>
    <t>Lipovská94</t>
  </si>
  <si>
    <t>Jeseník</t>
  </si>
  <si>
    <t>p.Šimonová</t>
  </si>
  <si>
    <t>likvidace@auto-bpk.cz</t>
  </si>
  <si>
    <t>043/2017</t>
  </si>
  <si>
    <t>26343673</t>
  </si>
  <si>
    <t>AUTOCENTRUMJANŠMUCLERs.r.o.</t>
  </si>
  <si>
    <t>Borská59</t>
  </si>
  <si>
    <t>NikolaKuthanová</t>
  </si>
  <si>
    <t>pojistneudalosti@smucler.cz</t>
  </si>
  <si>
    <t>Škoda,Volkswagen,Audi,Seat,Honda,Cupra</t>
  </si>
  <si>
    <t>Dvořákova304</t>
  </si>
  <si>
    <t>HoršovskýTýn</t>
  </si>
  <si>
    <t>JanPeterka</t>
  </si>
  <si>
    <t>jan.peterka@smucler.cz</t>
  </si>
  <si>
    <t>Škoda,Volkswagen,Audi,Seat,Honda</t>
  </si>
  <si>
    <t>Domažlicképředměstí610</t>
  </si>
  <si>
    <t>Klatovy</t>
  </si>
  <si>
    <t>TomášKopa</t>
  </si>
  <si>
    <t>tomas.kopa@smucler.cz</t>
  </si>
  <si>
    <t>Renault,Dacia,Škoda,Citroen,Hyundai</t>
  </si>
  <si>
    <t>Po-Pá:7:00-16:00</t>
  </si>
  <si>
    <t>PůvodníAutoNejdl/AutoNejdlKlatovy.K1.1.2023došlokfůzisAutocentrumŠmulceraoběspolečnostizanikly.</t>
  </si>
  <si>
    <t>044/2017</t>
  </si>
  <si>
    <t>46960341</t>
  </si>
  <si>
    <t>AUTONOVABRNOs.r.o.</t>
  </si>
  <si>
    <t>Masná418/20</t>
  </si>
  <si>
    <t>PavelPindryč</t>
  </si>
  <si>
    <t>servis@autonova.cz</t>
  </si>
  <si>
    <t>6:30-18:00|6:30-18:00|6:30-18:00|6:30-18:00|6:30-18:00|-|-.</t>
  </si>
  <si>
    <t>13062022_SEATužneservisují,odebírámzeznaček.</t>
  </si>
  <si>
    <t>045/2017</t>
  </si>
  <si>
    <t>25511165</t>
  </si>
  <si>
    <t>SAMOHÝLMOTORa.s.-Volkswagen</t>
  </si>
  <si>
    <t>Tř.TomášeBati623 </t>
  </si>
  <si>
    <t>p.Štefka</t>
  </si>
  <si>
    <t>hudecek@samohylmotor.cz</t>
  </si>
  <si>
    <t>Volkswagen</t>
  </si>
  <si>
    <t>SAMOHÝLMOTORa.s.</t>
  </si>
  <si>
    <t>Kosmonautů846/2</t>
  </si>
  <si>
    <t>RadekTomšic</t>
  </si>
  <si>
    <t>nehodyolomouc@samohylmotor.cz</t>
  </si>
  <si>
    <t>Škoda,Audi,Volkswagen</t>
  </si>
  <si>
    <t>8:00-18:00|8:00-18:00|8:00-18:00|8:00-18:00|8:00-18:00|8:00-12:00|-.</t>
  </si>
  <si>
    <t>20.12.2021-změnakontaktníosobyzPetrHanusanaRadekTomšů.</t>
  </si>
  <si>
    <t>Štěpánská383</t>
  </si>
  <si>
    <t>Vsetín</t>
  </si>
  <si>
    <t>PetrMatušinec</t>
  </si>
  <si>
    <t>matusinec@samohylmotor.cz</t>
  </si>
  <si>
    <t>SAMOHÝLMOTORa.s.-Škoda</t>
  </si>
  <si>
    <t>Tř.TomášeBati642</t>
  </si>
  <si>
    <t>Staněk</t>
  </si>
  <si>
    <t>farek@samohylmotor.cz</t>
  </si>
  <si>
    <t>046/2017</t>
  </si>
  <si>
    <t>63491257</t>
  </si>
  <si>
    <t>AUTOSHOPPAULUSs.r.o.</t>
  </si>
  <si>
    <t>Hulínská3221</t>
  </si>
  <si>
    <t>Kroměříž</t>
  </si>
  <si>
    <t>JiříKlabal</t>
  </si>
  <si>
    <t>servis@paulus.cz</t>
  </si>
  <si>
    <t>6:30-17:00|6:30-17:00|6:30-17:00|6:30-17:00|6:30-17:00|8:00-12:00|-.</t>
  </si>
  <si>
    <t>047/2017</t>
  </si>
  <si>
    <t>Jiří Dostál</t>
  </si>
  <si>
    <t>Na Valech 5509</t>
  </si>
  <si>
    <t>Ostrava</t>
  </si>
  <si>
    <t>info@autosklo-plus.cz</t>
  </si>
  <si>
    <t>777 154 479, 596 630 977</t>
  </si>
  <si>
    <t>Neautorizovaný servis DIRECT</t>
  </si>
  <si>
    <t>Od 25.1.2023 změnana nové IČ 14266971, ASP Autosklo Servis Plus, čísmlo nové smlouvy 276/2023</t>
  </si>
  <si>
    <t>048/2017</t>
  </si>
  <si>
    <t>25228579</t>
  </si>
  <si>
    <t>ŠůlaMotorss.r.o.</t>
  </si>
  <si>
    <t>Zeyerova1100</t>
  </si>
  <si>
    <t>Rokycany</t>
  </si>
  <si>
    <t>JiříŠůla</t>
  </si>
  <si>
    <t>jsteam@email.cz</t>
  </si>
  <si>
    <t>AutorizovanýservisDIRECT</t>
  </si>
  <si>
    <t>DongFeng,Ligier</t>
  </si>
  <si>
    <t>7:30-16:00|7:30-16:00|7:30-16:00|7:30-16:00|7:30-16:00|-|-.</t>
  </si>
  <si>
    <t>Od6/2023změnamajiteleanázvufirmy(půovdníAUTO-MOTOJAGERs.r.o.).Zbytekvč.IČzůstávástejný.</t>
  </si>
  <si>
    <t>049/2017</t>
  </si>
  <si>
    <t>25597183</t>
  </si>
  <si>
    <t>TOPAUTOSALONBLANSKO</t>
  </si>
  <si>
    <t>Svitavská2329</t>
  </si>
  <si>
    <t>p.Ryšavý,p.Němec</t>
  </si>
  <si>
    <t>j.rysavy@topautosalon.cz,j.nemec@topautosalon.cz</t>
  </si>
  <si>
    <t>050/2017</t>
  </si>
  <si>
    <t>25412795</t>
  </si>
  <si>
    <t>DUNEXAUTOv.o.s.</t>
  </si>
  <si>
    <t>Plynárenská3106</t>
  </si>
  <si>
    <t>PavelNešický</t>
  </si>
  <si>
    <t>info@dunexauto.cz</t>
  </si>
  <si>
    <t>Holany22</t>
  </si>
  <si>
    <t>holany@dunexauto.cz</t>
  </si>
  <si>
    <t>051/2017</t>
  </si>
  <si>
    <t>63780399</t>
  </si>
  <si>
    <t>AutoservisRudolfHahnel</t>
  </si>
  <si>
    <t>Rolnická179</t>
  </si>
  <si>
    <t>Rumburk</t>
  </si>
  <si>
    <t>AlenaHahnelová</t>
  </si>
  <si>
    <t>hahnel@tiscali.cz</t>
  </si>
  <si>
    <t>29233640</t>
  </si>
  <si>
    <t>CARCHECKs.r.o.</t>
  </si>
  <si>
    <t>Nádražní344</t>
  </si>
  <si>
    <t>servis@carcek.cz</t>
  </si>
  <si>
    <t>053/2017</t>
  </si>
  <si>
    <t>28751141</t>
  </si>
  <si>
    <t>autoservisNOVOSs.r.o.</t>
  </si>
  <si>
    <t>Rochlická35</t>
  </si>
  <si>
    <t>Liberec30</t>
  </si>
  <si>
    <t>p.Novotný</t>
  </si>
  <si>
    <t>autosklonovotny@seznam.cz</t>
  </si>
  <si>
    <t>8:00-19:00|8:00-19:00|8:00-19:00|8:00-19:00|8:00-19:00|-|-.</t>
  </si>
  <si>
    <t>054/2017</t>
  </si>
  <si>
    <t>25832191</t>
  </si>
  <si>
    <t>AUTODUBINAa.s.</t>
  </si>
  <si>
    <t>Horní3023/122</t>
  </si>
  <si>
    <t>Ostrava-Dubina</t>
  </si>
  <si>
    <t>p.Zajíc</t>
  </si>
  <si>
    <t>jzajic@auto-dubina.cz</t>
  </si>
  <si>
    <t>055/2017</t>
  </si>
  <si>
    <t>27787184</t>
  </si>
  <si>
    <t>EvroAUTOCENTRUMVsetín,s.r.o.</t>
  </si>
  <si>
    <t>GenerálaKlapálka790</t>
  </si>
  <si>
    <t>autocentrumvsetin@seznam.cz</t>
  </si>
  <si>
    <t>AntonínNovák</t>
  </si>
  <si>
    <t>056/2017</t>
  </si>
  <si>
    <t>28607511</t>
  </si>
  <si>
    <t>KoraAutolakovnaaServiss.r.o.</t>
  </si>
  <si>
    <t>UTescomy245</t>
  </si>
  <si>
    <t>VlastimilBednařík</t>
  </si>
  <si>
    <t>kora@volny.cz</t>
  </si>
  <si>
    <t>057/2017</t>
  </si>
  <si>
    <t>72437511</t>
  </si>
  <si>
    <t>JaroslavOrsák-Autoopravna</t>
  </si>
  <si>
    <t>Brumovská279</t>
  </si>
  <si>
    <t>ValašskéKlobouky</t>
  </si>
  <si>
    <t>JaroslavOrsák</t>
  </si>
  <si>
    <t>autoopravnaorsak@seznam.cz</t>
  </si>
  <si>
    <t>7:30-16:00|7:30-16:00|7:30-16:00|7:30-16:00|7:30-16:00|9:00-14:00|-.</t>
  </si>
  <si>
    <t>058/2017</t>
  </si>
  <si>
    <t>27234304</t>
  </si>
  <si>
    <t>AUTORAVAPluss.r.o</t>
  </si>
  <si>
    <t>Prosecká8/47</t>
  </si>
  <si>
    <t>DagmarŠedivková</t>
  </si>
  <si>
    <t>autorava@autorava.cz</t>
  </si>
  <si>
    <t>Jižnefunguje,ccaod2020pozastavenáčinnost!</t>
  </si>
  <si>
    <t>059/2017</t>
  </si>
  <si>
    <t>26911400</t>
  </si>
  <si>
    <t>Autosprávkárnas.r.o.</t>
  </si>
  <si>
    <t>Ždárského194</t>
  </si>
  <si>
    <t>Třebíč</t>
  </si>
  <si>
    <t>ZdeněkKřížek</t>
  </si>
  <si>
    <t>krizek@autospravkarna.cz</t>
  </si>
  <si>
    <t>724184218,724888277,568845786</t>
  </si>
  <si>
    <t>060/2017</t>
  </si>
  <si>
    <t>25500601</t>
  </si>
  <si>
    <t>PMAUTOCENTRUMs.r.o.</t>
  </si>
  <si>
    <t>Brněnská2197/44</t>
  </si>
  <si>
    <t>ŽďárnadSázavou</t>
  </si>
  <si>
    <t>StanislavMinář</t>
  </si>
  <si>
    <t>pmautocentrum@seznam.cz</t>
  </si>
  <si>
    <t>6:00-17:00|6:00-17:00|6:00-17:00|6:00-17:00|6:00-14:30|-|-.</t>
  </si>
  <si>
    <t>062/2017</t>
  </si>
  <si>
    <t>26840880</t>
  </si>
  <si>
    <t>AutoslužbyJanoušeks.r.o.</t>
  </si>
  <si>
    <t>NaLánech1106/14</t>
  </si>
  <si>
    <t>Havířov-Bludovice</t>
  </si>
  <si>
    <t>PavelVítek</t>
  </si>
  <si>
    <t>servis@autosluzbyjanousek.cz</t>
  </si>
  <si>
    <t>7:30-16:30|7:30-16:30|7:30-16:30|7:30-16:30|7:30-16:30|-|-.</t>
  </si>
  <si>
    <t>125/2019</t>
  </si>
  <si>
    <t>Assistcar,s.r.o.</t>
  </si>
  <si>
    <t>Tkalcovská873/3b</t>
  </si>
  <si>
    <t>likvidace@assistcar.cz</t>
  </si>
  <si>
    <t>064/2017</t>
  </si>
  <si>
    <t>12101630</t>
  </si>
  <si>
    <t>AUTOCENTRUM-KAŠPAR</t>
  </si>
  <si>
    <t>UCihelny599</t>
  </si>
  <si>
    <t>Rapotín</t>
  </si>
  <si>
    <t>JaromírKašpar</t>
  </si>
  <si>
    <t>kozak@autocentrumkaspar.cz</t>
  </si>
  <si>
    <t>Kia,všechnavozidla</t>
  </si>
  <si>
    <t>7:00-15:30|7:00-15:30|7:00-15:30|7:00-15:30|7:00-15:30|-|-.</t>
  </si>
  <si>
    <t>065/2017</t>
  </si>
  <si>
    <t>47680326</t>
  </si>
  <si>
    <t>AutocolorDesigns.r.o.</t>
  </si>
  <si>
    <t>Staroměstská3</t>
  </si>
  <si>
    <t>Bruntál</t>
  </si>
  <si>
    <t>JanVenera</t>
  </si>
  <si>
    <t>bruntal@autocolordesign.cz</t>
  </si>
  <si>
    <t>Škoda,Volkswagen,Audi,Seat+všechnavozidla</t>
  </si>
  <si>
    <t>7:00-17:00|7:00-17:00|7:00-17:00|7:00-17:00|7:00-17:00|7:00-11:00|-.</t>
  </si>
  <si>
    <t>066/2017</t>
  </si>
  <si>
    <t>24125270</t>
  </si>
  <si>
    <t>AUTOSOSnovecs.r.o.</t>
  </si>
  <si>
    <t>Přístavní27</t>
  </si>
  <si>
    <t>Praha7</t>
  </si>
  <si>
    <t>GustavSosnovec</t>
  </si>
  <si>
    <t>autososnovec@seznam.cz,servis@autososnovec.cz</t>
  </si>
  <si>
    <t>8:00-18:00|8:00-18:00|8:00-18:00|8:00-18:00|8:00-18:00|-|-.</t>
  </si>
  <si>
    <t>068/2017</t>
  </si>
  <si>
    <t>05926637</t>
  </si>
  <si>
    <t>JARO-AUTOSERVIS,s.r.o.</t>
  </si>
  <si>
    <t>Palackého1043/64</t>
  </si>
  <si>
    <t>Ostrava-Přívoz</t>
  </si>
  <si>
    <t>pí.Poštulková</t>
  </si>
  <si>
    <t>ostrava@jaroautoservis.cz</t>
  </si>
  <si>
    <t>6:00-22:00|6:00-22:00|6:00-22:00|6:00-22:00|6:00-22:00|-|-.</t>
  </si>
  <si>
    <t>Zrušenýservis,mažuzdtbaukončenáspolupráce.Infonámnedali.PL13102022.</t>
  </si>
  <si>
    <t>071/2017</t>
  </si>
  <si>
    <t>11162945</t>
  </si>
  <si>
    <t>AutoMARTIN</t>
  </si>
  <si>
    <t>Kladská466</t>
  </si>
  <si>
    <t>Trutnov-Poříčí</t>
  </si>
  <si>
    <t>MartinŠvarc</t>
  </si>
  <si>
    <t>odtahovka.auto.martin@seznam.cz</t>
  </si>
  <si>
    <t>6:30-17:00|6:30-17:00|6:30-17:00|6:30-17:00|6:300-17:00|-|-.</t>
  </si>
  <si>
    <t>specpodmnky</t>
  </si>
  <si>
    <t>072/2017</t>
  </si>
  <si>
    <t>25257579</t>
  </si>
  <si>
    <t>DOLEŽALMOTORs.r.o.</t>
  </si>
  <si>
    <t>5.května</t>
  </si>
  <si>
    <t>LomnicenadPopelkou</t>
  </si>
  <si>
    <t>Malich</t>
  </si>
  <si>
    <t>dolezalmotor@seznam.cz</t>
  </si>
  <si>
    <t>50.5392411</t>
  </si>
  <si>
    <t>15.3648186</t>
  </si>
  <si>
    <t>NEDOPORUČOVAT-SERVISKONČÍ,ÚMRTÍTECHNIKA,LAKÝRNÍKVŠELDODŮCHODU</t>
  </si>
  <si>
    <t>073/2017</t>
  </si>
  <si>
    <t>48948179</t>
  </si>
  <si>
    <t>Garos Auto s.r.o.</t>
  </si>
  <si>
    <t>E. Floriánové 4595/25</t>
  </si>
  <si>
    <t>Jablonec nad Nisou</t>
  </si>
  <si>
    <t>Veronika Hájková</t>
  </si>
  <si>
    <t>garos-auto@email.cz</t>
  </si>
  <si>
    <t>775 336 666, 483 306 586</t>
  </si>
  <si>
    <t>5/2023 ukončení činnosti servisu, ukončuji spolupráci. Výpověď poslaná.</t>
  </si>
  <si>
    <t>074/2017</t>
  </si>
  <si>
    <t>88040542</t>
  </si>
  <si>
    <t>AutoservisJiříBrabenec</t>
  </si>
  <si>
    <t>Volgogradská263</t>
  </si>
  <si>
    <t>Liberec7</t>
  </si>
  <si>
    <t>JiříBrabenec</t>
  </si>
  <si>
    <t>brabenec007@seznam.cz</t>
  </si>
  <si>
    <t>18.4.2023-tel.servisu,chceukončitspolupráci.Výpověďkdatu30.4.2023</t>
  </si>
  <si>
    <t>075/2017</t>
  </si>
  <si>
    <t>29079004</t>
  </si>
  <si>
    <t>Autorados.r.o.</t>
  </si>
  <si>
    <t>Anenská349</t>
  </si>
  <si>
    <t>Příbram</t>
  </si>
  <si>
    <t>RadekŠlejska</t>
  </si>
  <si>
    <t>autorado@autorado.cz</t>
  </si>
  <si>
    <t>9:00-18:00|9:00-18:00|9:00-18:00|9:00-18:00|9:00-18:00|9:00-15:00|-.</t>
  </si>
  <si>
    <t>24.3.2023-odebírámzeseznamu,nefungují.</t>
  </si>
  <si>
    <t>Mítov3</t>
  </si>
  <si>
    <t>NovéMitrovice</t>
  </si>
  <si>
    <t>076/2017</t>
  </si>
  <si>
    <t>42299675</t>
  </si>
  <si>
    <t>JosefBílík-AUTOOPRAVNA</t>
  </si>
  <si>
    <t>Hodonínská952</t>
  </si>
  <si>
    <t>DolníBojanovice</t>
  </si>
  <si>
    <t>JosefBílík</t>
  </si>
  <si>
    <t>autoopravnabilik@seznam.cz,bilikauto@seznam.cz</t>
  </si>
  <si>
    <t>převodnanovousmlouvuč.316/2024</t>
  </si>
  <si>
    <t>077/2017</t>
  </si>
  <si>
    <t>26299313</t>
  </si>
  <si>
    <t>AUTOCOLORŠoukals.r.o.</t>
  </si>
  <si>
    <t>Třebíčská474</t>
  </si>
  <si>
    <t>PavelKadlec</t>
  </si>
  <si>
    <t>autoservis@autocolor.cz</t>
  </si>
  <si>
    <t>078/2017</t>
  </si>
  <si>
    <t>UNIautoserviss.r.o.</t>
  </si>
  <si>
    <t>Drahůnská337</t>
  </si>
  <si>
    <t>Dubí-Bystřice</t>
  </si>
  <si>
    <t>JiříMorev</t>
  </si>
  <si>
    <t>uniautoservis@volny.cz</t>
  </si>
  <si>
    <t>Po-Pá8:00-16:00</t>
  </si>
  <si>
    <t>28751931</t>
  </si>
  <si>
    <t>RomanSeiner</t>
  </si>
  <si>
    <t>6:00-16:00|6:00-16:00|6:00-16:00|6:00-16:00|6:00-16:00|-|-.</t>
  </si>
  <si>
    <t>079/2017</t>
  </si>
  <si>
    <t>66070511</t>
  </si>
  <si>
    <t>AUTOSERVISPetrDUŘT</t>
  </si>
  <si>
    <t>9.května641</t>
  </si>
  <si>
    <t>Dobrovice</t>
  </si>
  <si>
    <t>PetrDuřt</t>
  </si>
  <si>
    <t>petrdurt@seznam.cz</t>
  </si>
  <si>
    <t>8:00-18:00|8:00-18:00|8:00-18:00|8:00-18:00|8:00-18:00|8:00-11:00|-.</t>
  </si>
  <si>
    <t>137/2020</t>
  </si>
  <si>
    <t>AUTO-SPEKTRUM-ACCspol.sr.o.</t>
  </si>
  <si>
    <t>Hviezdoslavova3</t>
  </si>
  <si>
    <t>JaroslavSamek</t>
  </si>
  <si>
    <t>info@autospektrumacc.cz</t>
  </si>
  <si>
    <t>Po-Pá7:00-17:00</t>
  </si>
  <si>
    <t>081/2017</t>
  </si>
  <si>
    <t>49053001</t>
  </si>
  <si>
    <t>ABEKO-AUTOPetrKondrys</t>
  </si>
  <si>
    <t>Ledenická603</t>
  </si>
  <si>
    <t>PetrKondrys</t>
  </si>
  <si>
    <t>abeko.auto@seznam.cz</t>
  </si>
  <si>
    <t>603277111,773455281,606080344</t>
  </si>
  <si>
    <t>8:00-17:30|8:00-17:30|8:00-17:30|8:00-17:30|8:00-17:30|-|-.</t>
  </si>
  <si>
    <t>082/2017</t>
  </si>
  <si>
    <t>29261767</t>
  </si>
  <si>
    <t>AutoparkKyjovs.r.o.</t>
  </si>
  <si>
    <t>VáclavaBzeneckého1391</t>
  </si>
  <si>
    <t>Kyjov</t>
  </si>
  <si>
    <t>RadimPůček,LiborMikulčík</t>
  </si>
  <si>
    <t>servis@autoparkkyjov.cz,pucek@autoparkkyjov.cz</t>
  </si>
  <si>
    <t>7:00-16:00|7:00-16:00|7:00-16:00|7:00-16:00|7:00-16:00|9:00-12:00|-.</t>
  </si>
  <si>
    <t>083/2017</t>
  </si>
  <si>
    <t>AUTOCENTCZs.r.o.</t>
  </si>
  <si>
    <t>Frýdecká738/318</t>
  </si>
  <si>
    <t>Ostrava-Kunčice</t>
  </si>
  <si>
    <t>JiříPotočiar</t>
  </si>
  <si>
    <t>vavricek@autocent.cz</t>
  </si>
  <si>
    <t>733 613 224</t>
  </si>
  <si>
    <t>Po-Pá8:00-18:00</t>
  </si>
  <si>
    <t>Od8/2024jeautorizovanýnaTeslu.Podmínkyřešenédodatkem+vedenýjakoAut.servisproTeslu.</t>
  </si>
  <si>
    <t>Tesla</t>
  </si>
  <si>
    <t>49.8028481</t>
  </si>
  <si>
    <t>18.2905308</t>
  </si>
  <si>
    <t>25878883</t>
  </si>
  <si>
    <t>ZuzanaHumlíčková</t>
  </si>
  <si>
    <t>info@autocent.cz,zuzana.humlickova@autocent.cz</t>
  </si>
  <si>
    <t>084/2017</t>
  </si>
  <si>
    <t>10313532</t>
  </si>
  <si>
    <t>AutoservisKarelSulán</t>
  </si>
  <si>
    <t>StřelskéHoštice191</t>
  </si>
  <si>
    <t>StřelskéHoštice</t>
  </si>
  <si>
    <t>KarelSulán</t>
  </si>
  <si>
    <t>sulan.karel@seznam.cz</t>
  </si>
  <si>
    <t>mytí250kč</t>
  </si>
  <si>
    <t>085/2017</t>
  </si>
  <si>
    <t>26151901</t>
  </si>
  <si>
    <t>B-Lands.r.o.</t>
  </si>
  <si>
    <t>Modletice75</t>
  </si>
  <si>
    <t>ŘíčanyuPrahy</t>
  </si>
  <si>
    <t>ZdeněkZdražil</t>
  </si>
  <si>
    <t>zdenek@b-land.cz</t>
  </si>
  <si>
    <t>9:00-17:00|9:00-17:00|9:00-17:00|9:00-17:00|9:00-17:00|9:00-13:00|-.</t>
  </si>
  <si>
    <t>spocpodmínky</t>
  </si>
  <si>
    <t>086/2017</t>
  </si>
  <si>
    <t>46903615</t>
  </si>
  <si>
    <t>AutoservisKARMELspol.s.r.o.</t>
  </si>
  <si>
    <t>Mostní949</t>
  </si>
  <si>
    <t>IvanMáčil</t>
  </si>
  <si>
    <t>ivanmacil@seznam.cz</t>
  </si>
  <si>
    <t>7:00-17:00|7:00-17:00|7:00-17:00|7:00-17:00|7:00-15:00|-|-.</t>
  </si>
  <si>
    <t>prýjižsnáminespolupracují</t>
  </si>
  <si>
    <t>087/2017</t>
  </si>
  <si>
    <t>27174751</t>
  </si>
  <si>
    <t>elkawes.r.o.</t>
  </si>
  <si>
    <t>Fučíkova148</t>
  </si>
  <si>
    <t>KrálůvDvůr</t>
  </si>
  <si>
    <t>p.Tomek,p.Jindra</t>
  </si>
  <si>
    <t>servis@elkawe.cz</t>
  </si>
  <si>
    <t>088/2017</t>
  </si>
  <si>
    <t>29389313</t>
  </si>
  <si>
    <t>KomfortAutos.r.o.</t>
  </si>
  <si>
    <t>Příborská1585</t>
  </si>
  <si>
    <t>VáclavKyral</t>
  </si>
  <si>
    <t>info@komfortauto.cz</t>
  </si>
  <si>
    <t>089/2017</t>
  </si>
  <si>
    <t>25216830</t>
  </si>
  <si>
    <t>L&amp;BAUTOuniversals.r.o.</t>
  </si>
  <si>
    <t>Dr.Kocourka2100</t>
  </si>
  <si>
    <t>Sokolov</t>
  </si>
  <si>
    <t>JiříLang</t>
  </si>
  <si>
    <t>j.lang@lbauto.cz</t>
  </si>
  <si>
    <t>091/2017</t>
  </si>
  <si>
    <t>10211276</t>
  </si>
  <si>
    <t>AutoservisČervenka</t>
  </si>
  <si>
    <t>Chotouň63</t>
  </si>
  <si>
    <t>JílovéuPrahy</t>
  </si>
  <si>
    <t>VladimírČervenka</t>
  </si>
  <si>
    <t>info@autoserviscervenka.cz</t>
  </si>
  <si>
    <t>094/2017</t>
  </si>
  <si>
    <t>10614451</t>
  </si>
  <si>
    <t>LubomírVůjtek-AutoservisVůjtek</t>
  </si>
  <si>
    <t>Mexiko305</t>
  </si>
  <si>
    <t>Klimkovice</t>
  </si>
  <si>
    <t>LubomírVůjtek</t>
  </si>
  <si>
    <t>lubomir.vujtek@seznam.cz</t>
  </si>
  <si>
    <t>095/2017</t>
  </si>
  <si>
    <t>28135903</t>
  </si>
  <si>
    <t>AUTO ZÁBRANA s.r.o.</t>
  </si>
  <si>
    <t>Ondřejov 25</t>
  </si>
  <si>
    <t>Pelhřimov</t>
  </si>
  <si>
    <t>Pavel Zábrana</t>
  </si>
  <si>
    <t>likvidace@autozabrana.cz , info@autozabrana.cz</t>
  </si>
  <si>
    <t>777829106, 727957717</t>
  </si>
  <si>
    <t>7:00-16:30|7:00-16:30|7:00-16:30|7:00-16:30|7:00-16:30|9:00-11:00|-.</t>
  </si>
  <si>
    <t>096/2017</t>
  </si>
  <si>
    <t>27800814</t>
  </si>
  <si>
    <t>BESKYDserviss.r.o.</t>
  </si>
  <si>
    <t>Revoluční149</t>
  </si>
  <si>
    <t>FrýdlandnadOstravicí</t>
  </si>
  <si>
    <t>PetrKubík</t>
  </si>
  <si>
    <t>servis@beskydservis.cz</t>
  </si>
  <si>
    <t>8:00-17:00|8:00-17:00|8:00-17:00|8:00-17:00|8:00-17:00|nostop|nonstop.</t>
  </si>
  <si>
    <t>097/2017</t>
  </si>
  <si>
    <t>46359168</t>
  </si>
  <si>
    <t>AMOND,spol.s.r.o.</t>
  </si>
  <si>
    <t>Smečenská889</t>
  </si>
  <si>
    <t>Kladno</t>
  </si>
  <si>
    <t>NZI</t>
  </si>
  <si>
    <t>amond@amond.cz</t>
  </si>
  <si>
    <t>Škoda,VW,Audi</t>
  </si>
  <si>
    <t>7:00-18:00|7:00-18:00|7:00-18:00|7:00-18:00|7:00-18:00|8:30-12:30|-.</t>
  </si>
  <si>
    <t>098/2017</t>
  </si>
  <si>
    <t>00544957</t>
  </si>
  <si>
    <t>AGROTECa.s.</t>
  </si>
  <si>
    <t>Lidická2886/123</t>
  </si>
  <si>
    <t>Břeclav</t>
  </si>
  <si>
    <t>michal.cech@agrotec.cz</t>
  </si>
  <si>
    <t>Kia,Škoda</t>
  </si>
  <si>
    <t>8:00-17:00|8:00-17:00|8:00-17:00|8:00-17:00|8:00-17:00|9:00-12:00|-.</t>
  </si>
  <si>
    <t>Brněnská74</t>
  </si>
  <si>
    <t>Hustopeče</t>
  </si>
  <si>
    <t>trstan@agrotec.cz</t>
  </si>
  <si>
    <t>8:00-17:00|8:00-17:00|8:00-17:00|8:00-17:00|8:00-17:00|8:00-12:00|-.</t>
  </si>
  <si>
    <t>Chrlická1153</t>
  </si>
  <si>
    <t>juracka@agrotec.cz</t>
  </si>
  <si>
    <t>6:30-18:00|6:30-18:00|6:30-18:00|6:30-18:00|6:30-18:00|9:00-18:00|9:00-16:00.</t>
  </si>
  <si>
    <t>DiRECT</t>
  </si>
  <si>
    <t>099/2018</t>
  </si>
  <si>
    <t>63732475</t>
  </si>
  <si>
    <t>MiroslavRichtár</t>
  </si>
  <si>
    <t>Sládkova2666/27</t>
  </si>
  <si>
    <t>Ostrava-MoravskáOstrava</t>
  </si>
  <si>
    <t>richtar@autoservis-richtar.cz</t>
  </si>
  <si>
    <t>Nesměrujeme,pouzepasivní.K08/2023ukončenáspolupráce-výpověďzestranyDirectu.</t>
  </si>
  <si>
    <t>100/2018</t>
  </si>
  <si>
    <t>29306957</t>
  </si>
  <si>
    <t>JanKudrnas.r.o.</t>
  </si>
  <si>
    <t>Těšice174</t>
  </si>
  <si>
    <t>Mikulčice</t>
  </si>
  <si>
    <t>JanKudrna</t>
  </si>
  <si>
    <t>autoopravna@jkcars.cz</t>
  </si>
  <si>
    <t>48.8203339</t>
  </si>
  <si>
    <t>17.0549164</t>
  </si>
  <si>
    <t>101/2018</t>
  </si>
  <si>
    <t>286971</t>
  </si>
  <si>
    <t>Autochoduras.r.o.</t>
  </si>
  <si>
    <t>Studentská1554/1</t>
  </si>
  <si>
    <t>Havířov</t>
  </si>
  <si>
    <t>p.Chodura,p.Kawulok</t>
  </si>
  <si>
    <t>unehody@seznam.cz</t>
  </si>
  <si>
    <t>8:00-17:00|8:00-17:00|8:00-17:00|8:00-17:00|8:00-17:00|-|-. </t>
  </si>
  <si>
    <t>102/2018</t>
  </si>
  <si>
    <t>73170119</t>
  </si>
  <si>
    <t>BogdanSzmek</t>
  </si>
  <si>
    <t>Karvinská406</t>
  </si>
  <si>
    <t>Chotěbuz</t>
  </si>
  <si>
    <t>info@autolakszmek.cz</t>
  </si>
  <si>
    <t>7:00-15:00|7:00-15:00|7:00-15:00|7:00-15:00|7:00-15:00|-|-. </t>
  </si>
  <si>
    <t>103/2018</t>
  </si>
  <si>
    <t>27325512</t>
  </si>
  <si>
    <t>RobertBečvář-autoserviss.r.o.</t>
  </si>
  <si>
    <t>Východní2269</t>
  </si>
  <si>
    <t>Varnsdorf</t>
  </si>
  <si>
    <t>becvar@autoservis-becvar.cz</t>
  </si>
  <si>
    <t>602 493 310</t>
  </si>
  <si>
    <t>110/2019</t>
  </si>
  <si>
    <t>AutoservisHoffmanns.r.o.</t>
  </si>
  <si>
    <t>Průmyslová1577</t>
  </si>
  <si>
    <t>Praha9</t>
  </si>
  <si>
    <t>AlexandraJandejsková</t>
  </si>
  <si>
    <t>prumyslova@autoservishoffmann.cz</t>
  </si>
  <si>
    <t>PO-PÁ8:00-16:30</t>
  </si>
  <si>
    <t>specpodmínky,Kontaktyproprohlídkovémísto:AlexandraJandejsková777504620prumyslova@autoservishoffmann.cz</t>
  </si>
  <si>
    <t>Vrchlického30/36</t>
  </si>
  <si>
    <t>Praha5</t>
  </si>
  <si>
    <t>NatálieBreznická</t>
  </si>
  <si>
    <t>smichov@autoservishoffmann.cz</t>
  </si>
  <si>
    <t>specpodmínky,Kontaktyproprohlídkovémísto:NatálieBreznická773003620smichov@autoservishoffmann.cz</t>
  </si>
  <si>
    <t>111/2019</t>
  </si>
  <si>
    <t>BWMotorss.r.o.</t>
  </si>
  <si>
    <t>NadHutěmi981/19</t>
  </si>
  <si>
    <t>VlastimilNekarda</t>
  </si>
  <si>
    <t>info@bwmotors.cz</t>
  </si>
  <si>
    <t>BMW,MINI</t>
  </si>
  <si>
    <t>8:00-18:00|8:00-18:00|8:00-18:00|8:00-18:00|8:00-18:00|-|-</t>
  </si>
  <si>
    <t>112/2019</t>
  </si>
  <si>
    <t>24178764</t>
  </si>
  <si>
    <t>VINICARSs.r.o.</t>
  </si>
  <si>
    <t>NaHlavní18/53</t>
  </si>
  <si>
    <t>Praha8-Březiněves</t>
  </si>
  <si>
    <t>info@vinicars.cz</t>
  </si>
  <si>
    <t>M.Horákové1477</t>
  </si>
  <si>
    <t>48.9790272</t>
  </si>
  <si>
    <t>14.4411992</t>
  </si>
  <si>
    <t>LikvidačnícentrumVinicars</t>
  </si>
  <si>
    <t>112/2020</t>
  </si>
  <si>
    <t>Vídeňská369/106F</t>
  </si>
  <si>
    <t>Brno-jih</t>
  </si>
  <si>
    <t>FrantišekBrož</t>
  </si>
  <si>
    <t>Po-Pá8:00-17:01</t>
  </si>
  <si>
    <t>49.1465419</t>
  </si>
  <si>
    <t>16.6010417</t>
  </si>
  <si>
    <t>vjezddoareáluzuliceNovomoravanská</t>
  </si>
  <si>
    <t>113/2019</t>
  </si>
  <si>
    <t>45849838</t>
  </si>
  <si>
    <t>ŠtěpánekAuto</t>
  </si>
  <si>
    <t>Unhošťská2743</t>
  </si>
  <si>
    <t>JiříKocar</t>
  </si>
  <si>
    <t>jiri@stepanekauto.cz </t>
  </si>
  <si>
    <t>Po-Pá9:00-21:00</t>
  </si>
  <si>
    <t>Od1.10.2022ukočeníspolupráce-výpověď</t>
  </si>
  <si>
    <t>114/2019</t>
  </si>
  <si>
    <t>1304437</t>
  </si>
  <si>
    <t>AutoklempířstvíKrál</t>
  </si>
  <si>
    <t>Jezeřanská1544</t>
  </si>
  <si>
    <t>Kolín</t>
  </si>
  <si>
    <t>KrálováAlena</t>
  </si>
  <si>
    <t>auto.kral@seznam.cz</t>
  </si>
  <si>
    <t>specpouziti</t>
  </si>
  <si>
    <t>115/2019</t>
  </si>
  <si>
    <t>04641736</t>
  </si>
  <si>
    <t>AUTOBONDGROUPa.s.</t>
  </si>
  <si>
    <t>Americká2754</t>
  </si>
  <si>
    <t>VáclavKoukal</t>
  </si>
  <si>
    <t>vaclav.koukal@autobond.cz</t>
  </si>
  <si>
    <t>Po-Pá7:00-19:00,So9:00-13:00</t>
  </si>
  <si>
    <t>V6/2024změnanaAutobondGroupzpůvodníhoŠtepánekAutoHyundai,původnísmlouvač.115/2019,IČ04641736</t>
  </si>
  <si>
    <t>116/2019</t>
  </si>
  <si>
    <t>03351327</t>
  </si>
  <si>
    <t>OPTIMCL,s.r.o.</t>
  </si>
  <si>
    <t>Svárovská3135</t>
  </si>
  <si>
    <t>p.Černák</t>
  </si>
  <si>
    <t>servis@optimcl.cz</t>
  </si>
  <si>
    <t>Od1.6.2022bylasmlouvapřevedenanaAutoVrbovka-neuatorizovanýservis.</t>
  </si>
  <si>
    <t>118/2019</t>
  </si>
  <si>
    <t>25278924</t>
  </si>
  <si>
    <t>AutocentrumBARTHa.s.</t>
  </si>
  <si>
    <t>Hradecká98</t>
  </si>
  <si>
    <t>PardubiceII</t>
  </si>
  <si>
    <t>TomášDaníček</t>
  </si>
  <si>
    <t>tomas.danicek@autocentrum.cz</t>
  </si>
  <si>
    <t>MG</t>
  </si>
  <si>
    <t>Po-Pá7:00-18:00,So8:00-12:00</t>
  </si>
  <si>
    <t>Hůrka1798</t>
  </si>
  <si>
    <t>Pardubice-Dubina</t>
  </si>
  <si>
    <t>LenkaBurešová</t>
  </si>
  <si>
    <t>lenka.buresova@autocentrum.cz</t>
  </si>
  <si>
    <t>Škoda,Volkswagen,VWUžitkové,Seat,Cupra,Audi,Peugeot,Citroen,Opel,Kia,MG</t>
  </si>
  <si>
    <t>FilipLandsman</t>
  </si>
  <si>
    <t>filip.landsman@motocentrum-barth.cz</t>
  </si>
  <si>
    <t>AutorizovanýservisDIRECTmotocykly</t>
  </si>
  <si>
    <t>BMW,APRILIA,MOTOGUZZI,YAMAHA,PIAGGIO/VESPA</t>
  </si>
  <si>
    <t>Bří.Štefanů985</t>
  </si>
  <si>
    <t>MichaelJireš</t>
  </si>
  <si>
    <t>Michael.jires@autocentrum.cz</t>
  </si>
  <si>
    <t>Audi,VW,VWužitkové</t>
  </si>
  <si>
    <t>Po-Pá7:00-18:00</t>
  </si>
  <si>
    <t>Brněnská2004</t>
  </si>
  <si>
    <t>HradecKrálové </t>
  </si>
  <si>
    <t>PavelJahelka</t>
  </si>
  <si>
    <t>pavel.jahelka@autocentrum.cz</t>
  </si>
  <si>
    <t>773 759 467</t>
  </si>
  <si>
    <t>Po-Pá6:00-18:00,So8:00-12:00</t>
  </si>
  <si>
    <t>138/2020</t>
  </si>
  <si>
    <t>28300912</t>
  </si>
  <si>
    <t>LEGENDARYs.r.o.</t>
  </si>
  <si>
    <t>MartinDundálek</t>
  </si>
  <si>
    <t>servis@legendary.cz</t>
  </si>
  <si>
    <t>všechnavozidla+USAvozy</t>
  </si>
  <si>
    <t>29107491</t>
  </si>
  <si>
    <t>Autíčka Liška s.r.o.</t>
  </si>
  <si>
    <t>Bendova 2009/48</t>
  </si>
  <si>
    <t>301 00</t>
  </si>
  <si>
    <t>p. Liška</t>
  </si>
  <si>
    <t>autickaliska@email.cz</t>
  </si>
  <si>
    <t>Neautorizovaný servis SAG</t>
  </si>
  <si>
    <t>Po - Pá 8:00 - 16:30</t>
  </si>
  <si>
    <t>ukončení spolupráce k 01/2022</t>
  </si>
  <si>
    <t>04802047</t>
  </si>
  <si>
    <t>AUTO DOLI s.r.o.</t>
  </si>
  <si>
    <t>U Střelnice 1729</t>
  </si>
  <si>
    <t>666 01</t>
  </si>
  <si>
    <t>Tišnov</t>
  </si>
  <si>
    <t>Libor Varmužka</t>
  </si>
  <si>
    <t>autoservis@autoservis-doli.cz</t>
  </si>
  <si>
    <t>18.10.2022 - zastavení směrování, mají plno do 1.2023. Jsme dohodnutí, že si budeme volat v 12/2022 a případně směrování obnovíme. PL. 29.5.2023 odebraný po dohodě s ACC, ukončená spolupráce.</t>
  </si>
  <si>
    <t>p. Zábrana</t>
  </si>
  <si>
    <t>info@autozabrana.cz</t>
  </si>
  <si>
    <t>Po - Pá 7:00 - 16:29</t>
  </si>
  <si>
    <t>Od 9_2024 již není v konceptu ACC</t>
  </si>
  <si>
    <t>03515613</t>
  </si>
  <si>
    <t>AUTO-MIT spol. s.r.o.</t>
  </si>
  <si>
    <t>Spodní 1</t>
  </si>
  <si>
    <t>159 00</t>
  </si>
  <si>
    <t xml:space="preserve">Praha 5 – Lahovice </t>
  </si>
  <si>
    <t>Dimitar Dotchev</t>
  </si>
  <si>
    <t>automitsro@gmail.com</t>
  </si>
  <si>
    <t>773 745 144</t>
  </si>
  <si>
    <t>Po - Pá 9:00 - 18:01</t>
  </si>
  <si>
    <t>ukončení spolupráce 19.08.2021 výpovědí, podvod při fakturaci a opravě vozidla 2021/0018084</t>
  </si>
  <si>
    <t>AUTORENT SERVIS s. r. o.</t>
  </si>
  <si>
    <t>Svatopluka Čecha 2088/13</t>
  </si>
  <si>
    <t>741 01</t>
  </si>
  <si>
    <t>Nový Jičín</t>
  </si>
  <si>
    <t>Zdeněk Segeťa</t>
  </si>
  <si>
    <t>servis@autorentservis.cz</t>
  </si>
  <si>
    <t>Po - Pá 7:00 - 17:01</t>
  </si>
  <si>
    <t>29.5.2023 odebraný po dohodě s ACC, ukončená spolupráce</t>
  </si>
  <si>
    <t>03396312</t>
  </si>
  <si>
    <t>AUTOSALON SCHROMM servis s.r.o.</t>
  </si>
  <si>
    <t>Podvihovská 352/3a</t>
  </si>
  <si>
    <t>747 70</t>
  </si>
  <si>
    <t>Opava - Komárov</t>
  </si>
  <si>
    <t>Zbyněk Schromm</t>
  </si>
  <si>
    <t>servis@autosalon-schromm.cz </t>
  </si>
  <si>
    <t>03048462</t>
  </si>
  <si>
    <t>AUTOSERVIS DAN A SYN s.r.o.</t>
  </si>
  <si>
    <t>Pražská 286</t>
  </si>
  <si>
    <t>373 67</t>
  </si>
  <si>
    <t>Borek</t>
  </si>
  <si>
    <t>servis@danasyn.cz</t>
  </si>
  <si>
    <t>741 71 437</t>
  </si>
  <si>
    <t>Autoservis Zdeněk Bambule</t>
  </si>
  <si>
    <t>K Myslivně 312</t>
  </si>
  <si>
    <t xml:space="preserve">373 73 </t>
  </si>
  <si>
    <t>Štépánovice</t>
  </si>
  <si>
    <t>Zdeněk Bambule</t>
  </si>
  <si>
    <t>autoservis.zdenkbambule@seznam.cz</t>
  </si>
  <si>
    <t>609 148 304</t>
  </si>
  <si>
    <t>Po - Pá 9:00 - 17:01</t>
  </si>
  <si>
    <t>27.10.2021 jsem ho ukončil jako sml. Servis, neposkytuje karosářské a lakýrnické práce. Vyjmutý se seznamu, informace na SAG poslaná emailem.</t>
  </si>
  <si>
    <t>42471699</t>
  </si>
  <si>
    <t>Ing. Miloslav Řehák</t>
  </si>
  <si>
    <t>Šluknovská 25/22</t>
  </si>
  <si>
    <t>408 01</t>
  </si>
  <si>
    <t>Miloslav Řehák</t>
  </si>
  <si>
    <t>rumburk.autoservis@seznam.cz</t>
  </si>
  <si>
    <t>od 02/2021 již není v konceptu ACC, vyjímám ho z SSE Direct. Ze seznamu vyjmutý 2.12.2021.</t>
  </si>
  <si>
    <t>02853086</t>
  </si>
  <si>
    <t>Jan Kadlec</t>
  </si>
  <si>
    <t>Znojemská 251</t>
  </si>
  <si>
    <t>378 81</t>
  </si>
  <si>
    <t>Slavonice</t>
  </si>
  <si>
    <t>autoservis@seznam.cz</t>
  </si>
  <si>
    <t>10242601</t>
  </si>
  <si>
    <t>Jaroslav Mašín</t>
  </si>
  <si>
    <t>Dobřeň 26</t>
  </si>
  <si>
    <t>284 01</t>
  </si>
  <si>
    <t>Dobřeň</t>
  </si>
  <si>
    <t>info@automasin.cz</t>
  </si>
  <si>
    <t>ukončení spolupráce 23.08.2022 - nekorektní chování, stížnost, nezajímá ho práce od Directu, obtěžuje ho. Vypovídám.</t>
  </si>
  <si>
    <t>Jaroslav Veselý</t>
  </si>
  <si>
    <t>Volevčice 35</t>
  </si>
  <si>
    <t>588 56</t>
  </si>
  <si>
    <t>Telč</t>
  </si>
  <si>
    <t>veseljarda@gmail.com</t>
  </si>
  <si>
    <t>Po - Pá 8:00 - 17:01</t>
  </si>
  <si>
    <t>Od 07/2023 převedený pod samostatnou smlouvu jako Fér servis.</t>
  </si>
  <si>
    <t>METEOR CAR, s.r.o.</t>
  </si>
  <si>
    <t>Okružní 1418</t>
  </si>
  <si>
    <t>735 14</t>
  </si>
  <si>
    <t>Orlová</t>
  </si>
  <si>
    <t>Ondřej Horký</t>
  </si>
  <si>
    <t>servis@meteorcar.cz</t>
  </si>
  <si>
    <t>604 981 778</t>
  </si>
  <si>
    <t>v březnu 2022 si zkoušel p. Hrabáček dojednat 930/hod, odmítl jsme ho a stěžoval si na ACC u p. Štelcla. 9.5.2022 odmítli klienta opravit za sazby ACC - vypínám směrování a spolupráci</t>
  </si>
  <si>
    <t>25162926</t>
  </si>
  <si>
    <t>Miroslav Pavlík s.r.o.</t>
  </si>
  <si>
    <t>Malé Nepodřice 53</t>
  </si>
  <si>
    <t>397 01</t>
  </si>
  <si>
    <t>Písek</t>
  </si>
  <si>
    <t>info@miroslavpavlik.cz</t>
  </si>
  <si>
    <t>05673666</t>
  </si>
  <si>
    <t>Petr Kutěj</t>
  </si>
  <si>
    <t>Za nádražím 215</t>
  </si>
  <si>
    <t>742 01</t>
  </si>
  <si>
    <t>Suchdol nad Odrou</t>
  </si>
  <si>
    <t>autoservissno@seznam.cz</t>
  </si>
  <si>
    <t>16.09.2021 - volal p. Štelcl, došlo k aktualizaci tohoto partnera, převzal servis p. Novák. Kutěj je prý mechanik, na kterého bylo IČ psané. Zašle mi aktualizaci abychom to mohli změnit.</t>
  </si>
  <si>
    <t>28157621</t>
  </si>
  <si>
    <t>Pneu Kazda s.r.o.</t>
  </si>
  <si>
    <t>Chýnovská 2900</t>
  </si>
  <si>
    <t>390 02</t>
  </si>
  <si>
    <t>p. Kazda</t>
  </si>
  <si>
    <t>kazda-premio@seznam.cz</t>
  </si>
  <si>
    <t>Pobočka zrušená</t>
  </si>
  <si>
    <t>Richter autoservis s.r.o.</t>
  </si>
  <si>
    <t>Paceřice 92</t>
  </si>
  <si>
    <t>463 44</t>
  </si>
  <si>
    <t>Paceřice</t>
  </si>
  <si>
    <t>Aleš Richter</t>
  </si>
  <si>
    <t>chip.richter@seznam.cz</t>
  </si>
  <si>
    <t>Od 7/2023 převeden pod samostatnou smlouvu jako Fér servis.</t>
  </si>
  <si>
    <t>68056630</t>
  </si>
  <si>
    <t>Rostislav Fiala</t>
  </si>
  <si>
    <t>Na Výhoně 4254</t>
  </si>
  <si>
    <t>695 01</t>
  </si>
  <si>
    <t>Hodonín</t>
  </si>
  <si>
    <t>autoservishodonin@seznam.cz</t>
  </si>
  <si>
    <t>00552577</t>
  </si>
  <si>
    <t>SPEI SERVIS, spol. s r.o.</t>
  </si>
  <si>
    <t>Vinohradská 1506/220</t>
  </si>
  <si>
    <t>100 00</t>
  </si>
  <si>
    <t>Praha 10</t>
  </si>
  <si>
    <t>pojistovny@spei.cz</t>
  </si>
  <si>
    <t>Pobočka uzavřená, Praha jen na Praze 9 - Proseku</t>
  </si>
  <si>
    <t>04724119</t>
  </si>
  <si>
    <t>Václav Gehart</t>
  </si>
  <si>
    <t>Křepelčí 205/6</t>
  </si>
  <si>
    <t>460 07</t>
  </si>
  <si>
    <t>Liberec</t>
  </si>
  <si>
    <t>gepyservis-pneu@seznam.cz</t>
  </si>
  <si>
    <t>06829368</t>
  </si>
  <si>
    <t>ZH CARS s.r.o.</t>
  </si>
  <si>
    <t>Mezimostí 120</t>
  </si>
  <si>
    <t>679 32</t>
  </si>
  <si>
    <t>Svitávka</t>
  </si>
  <si>
    <t>jezradovan@seznam.cz</t>
  </si>
  <si>
    <t>ukončení spolupráce z důvodu nekorektního jednání servisu ke klientům. 11/2022</t>
  </si>
  <si>
    <t>147/2020</t>
  </si>
  <si>
    <t>AUTOBOBRAVA,s.r.o.</t>
  </si>
  <si>
    <t>UVlečky665</t>
  </si>
  <si>
    <t>nehody@autobobrava.cz,cervenkova@autobobrava.cz</t>
  </si>
  <si>
    <t>JanKlein</t>
  </si>
  <si>
    <t>Po-Pá7:00-16:00</t>
  </si>
  <si>
    <t>136/2020</t>
  </si>
  <si>
    <t>CBAuto,a.s.</t>
  </si>
  <si>
    <t>Soukupová,Mlezivová-</t>
  </si>
  <si>
    <t>soukupova@cb-auto.cz,mlezivova@cb-auto.cz,nartovska@cb-auto.cz,capova@cb-auto.cz</t>
  </si>
  <si>
    <t>778111006,778722250,603558961,730193399</t>
  </si>
  <si>
    <t>Škoda,VW,Seat,Mazda,Kia,VWužitkovévozy,Cupra</t>
  </si>
  <si>
    <t>71903518</t>
  </si>
  <si>
    <t>LukášSzitka</t>
  </si>
  <si>
    <t>UliceSNP278</t>
  </si>
  <si>
    <t>Kaplice</t>
  </si>
  <si>
    <t>szitka@centrum.cz</t>
  </si>
  <si>
    <t>72123699</t>
  </si>
  <si>
    <t>MilanRuschak</t>
  </si>
  <si>
    <t>Chvalšiny323</t>
  </si>
  <si>
    <t>Chvalšiny</t>
  </si>
  <si>
    <t>auto.ruschak@seznam.cz</t>
  </si>
  <si>
    <t>Budějovická166</t>
  </si>
  <si>
    <t>ČeskýKrumlov</t>
  </si>
  <si>
    <t>EvaTikalová</t>
  </si>
  <si>
    <t>tikalova@cb-auto.cz</t>
  </si>
  <si>
    <t>152/2021</t>
  </si>
  <si>
    <t>13643932</t>
  </si>
  <si>
    <t>FOMI,spol.sr.o.</t>
  </si>
  <si>
    <t>Vendryně407</t>
  </si>
  <si>
    <t>MartinGorný</t>
  </si>
  <si>
    <t>pu@honda-fomi.cz</t>
  </si>
  <si>
    <t>Honda</t>
  </si>
  <si>
    <t>49.6544442</t>
  </si>
  <si>
    <t>18.6963119</t>
  </si>
  <si>
    <t>11.02.2022aktualizaceemailunažádostservisu(původní:servis@honda-fomi.cz)</t>
  </si>
  <si>
    <t>Rovenská114</t>
  </si>
  <si>
    <t>LiborLiberda</t>
  </si>
  <si>
    <t>servis@honda-fomi.cz</t>
  </si>
  <si>
    <t>08289107</t>
  </si>
  <si>
    <t>AUTOSERVISJSs.r.o.</t>
  </si>
  <si>
    <t>Klešice1</t>
  </si>
  <si>
    <t>HeřmanůvMěstec</t>
  </si>
  <si>
    <t>JosefSlotta</t>
  </si>
  <si>
    <t>servisklesice@seznam.cz</t>
  </si>
  <si>
    <t>603 157 972</t>
  </si>
  <si>
    <t>SPEISERVIS,spol.sr.o.</t>
  </si>
  <si>
    <t>Navyhlídce814/17</t>
  </si>
  <si>
    <t>MartinČervený</t>
  </si>
  <si>
    <t>160/2021</t>
  </si>
  <si>
    <t>DirectautoModřany,s.r.o.</t>
  </si>
  <si>
    <t>Vzpoury2220/3</t>
  </si>
  <si>
    <t>Prah4-Modřany</t>
  </si>
  <si>
    <t>info.praha-modrany@direct-auto.cz</t>
  </si>
  <si>
    <t>222160999,774760804,722945341</t>
  </si>
  <si>
    <t>Škoda,VW,Audi,KIA,Fiat,FiatProfessional,VWužitkové</t>
  </si>
  <si>
    <t>nehody.praha-modrany@direct-auto.cz</t>
  </si>
  <si>
    <t>244 400 101</t>
  </si>
  <si>
    <t>původníadresa:info@autotriopraha.cz.Od21.5.2024směrujemevšechnyznačkynavšechnypražsképobočkyDA.</t>
  </si>
  <si>
    <t>350/2025</t>
  </si>
  <si>
    <t>invelt-s.r.o.</t>
  </si>
  <si>
    <t>Jeremiášova1127/5</t>
  </si>
  <si>
    <t>VendulaMachDatlová,MiroslavKratochvíl</t>
  </si>
  <si>
    <t>vendula.datlova@invelt.com,miloslav.kratochvil@invelt.com</t>
  </si>
  <si>
    <t>BMW,MINI,BMWMotorrad</t>
  </si>
  <si>
    <t>50.0394718</t>
  </si>
  <si>
    <t>14.3264407</t>
  </si>
  <si>
    <t>358/2025</t>
  </si>
  <si>
    <t>TUkasa.s.</t>
  </si>
  <si>
    <t>KHrušovu344/6</t>
  </si>
  <si>
    <t>Praha10-Štěrboholy</t>
  </si>
  <si>
    <t>DavidŠkarda</t>
  </si>
  <si>
    <t>david.skarda@tukas.cz</t>
  </si>
  <si>
    <t>50.0688836</t>
  </si>
  <si>
    <t>14.5428889</t>
  </si>
  <si>
    <t>Štěrboholská391</t>
  </si>
  <si>
    <t>Praha15-Hostivař</t>
  </si>
  <si>
    <t>JanMimra</t>
  </si>
  <si>
    <t>jan.mimra@tukas.cz</t>
  </si>
  <si>
    <t>VW,Audi</t>
  </si>
  <si>
    <t>50.0614944</t>
  </si>
  <si>
    <t>14.5324472</t>
  </si>
  <si>
    <t>KVltavě1911/33</t>
  </si>
  <si>
    <t>Praha4-Modřany</t>
  </si>
  <si>
    <t>PetrBorovanský</t>
  </si>
  <si>
    <t>petr.borovansky@tukas.cz</t>
  </si>
  <si>
    <t>KIA</t>
  </si>
  <si>
    <t>50.0060564</t>
  </si>
  <si>
    <t>14.4104550</t>
  </si>
  <si>
    <t>Černokostelecká621/122</t>
  </si>
  <si>
    <t>Praha10-Malešice</t>
  </si>
  <si>
    <t>TomášBurian</t>
  </si>
  <si>
    <t>tomas.burian@tukas.cz</t>
  </si>
  <si>
    <t>Opel</t>
  </si>
  <si>
    <t>50.0758753</t>
  </si>
  <si>
    <t>14.5292733</t>
  </si>
  <si>
    <t>14700760</t>
  </si>
  <si>
    <t>Ing.AlešŠembera</t>
  </si>
  <si>
    <t>Arbesova979</t>
  </si>
  <si>
    <t>AlešŠembera</t>
  </si>
  <si>
    <t>sembera@autocb.cz</t>
  </si>
  <si>
    <t>JakubHoráček</t>
  </si>
  <si>
    <t>jakub.horacek@tukas.cz</t>
  </si>
  <si>
    <t>Volvo</t>
  </si>
  <si>
    <t>Černokostelecká565/114</t>
  </si>
  <si>
    <t>Praha10-Strašnice</t>
  </si>
  <si>
    <t>MichalHron</t>
  </si>
  <si>
    <t>michal.hron@tukas.cz</t>
  </si>
  <si>
    <t>Ranault</t>
  </si>
  <si>
    <t>50.0768575</t>
  </si>
  <si>
    <t>14.5234064</t>
  </si>
  <si>
    <t>JindřichVaněk</t>
  </si>
  <si>
    <t>jindrich.vanek@tukas.cz</t>
  </si>
  <si>
    <t>Dacia</t>
  </si>
  <si>
    <t>157/2021</t>
  </si>
  <si>
    <t>25512021</t>
  </si>
  <si>
    <t>UHCARs.r.o.</t>
  </si>
  <si>
    <t>Brněnská3979</t>
  </si>
  <si>
    <t>DenisKauf</t>
  </si>
  <si>
    <t>nehody@uhcar.cz</t>
  </si>
  <si>
    <t>Citroen,Suzuki,Opel,Isuzu,ostatníznačky</t>
  </si>
  <si>
    <t>Po-Pá7:30-17:00</t>
  </si>
  <si>
    <t>352/2025</t>
  </si>
  <si>
    <t>VISTAcars.r.o.</t>
  </si>
  <si>
    <t>Brněnská3955/71</t>
  </si>
  <si>
    <t>IvoNekvinda</t>
  </si>
  <si>
    <t>nekvinda@vistacar.cz</t>
  </si>
  <si>
    <t>Škoda,Hyundai</t>
  </si>
  <si>
    <t>Po-Pá7:00-17:00,so8:00-12:00</t>
  </si>
  <si>
    <t>48.8732044</t>
  </si>
  <si>
    <t>17.1155228</t>
  </si>
  <si>
    <t>Strážovská958</t>
  </si>
  <si>
    <t>LiborFiala</t>
  </si>
  <si>
    <t>fiala@vistacar.cz</t>
  </si>
  <si>
    <t>49.0062097</t>
  </si>
  <si>
    <t>17.1066500</t>
  </si>
  <si>
    <t>75945606</t>
  </si>
  <si>
    <t>JiříŠpinar</t>
  </si>
  <si>
    <t>1.máje231</t>
  </si>
  <si>
    <t>NovýBydžov</t>
  </si>
  <si>
    <t>spinarjiri@seznam.cz</t>
  </si>
  <si>
    <t>MiroslavKopecký</t>
  </si>
  <si>
    <t>Pražská16</t>
  </si>
  <si>
    <t>Praha10–Hostivař</t>
  </si>
  <si>
    <t>info@adbservis.cz</t>
  </si>
  <si>
    <t>49337661</t>
  </si>
  <si>
    <t>StanislavPavel</t>
  </si>
  <si>
    <t>JanaČerného353</t>
  </si>
  <si>
    <t>autoform-cz@volny.cz</t>
  </si>
  <si>
    <t>365/2025</t>
  </si>
  <si>
    <t>AutolakovnaV+V,s.r.o.</t>
  </si>
  <si>
    <t>č.p.493,</t>
  </si>
  <si>
    <t>PředměřicenadLabem</t>
  </si>
  <si>
    <t>PetrVlček</t>
  </si>
  <si>
    <t>info@nastrikamevamto.cz</t>
  </si>
  <si>
    <t>50.2650492</t>
  </si>
  <si>
    <t>15.8123078</t>
  </si>
  <si>
    <t>Lakovna</t>
  </si>
  <si>
    <t>PetrDytrych</t>
  </si>
  <si>
    <t>Krásnolipská1584/63</t>
  </si>
  <si>
    <t>petr.dydy@seznam.cz</t>
  </si>
  <si>
    <t>50.97829</t>
  </si>
  <si>
    <t>14.50135</t>
  </si>
  <si>
    <t>134/2020</t>
  </si>
  <si>
    <t>JaroslavVeverkaJavecar</t>
  </si>
  <si>
    <t>ÚdolíKamenice32</t>
  </si>
  <si>
    <t>Tanvald</t>
  </si>
  <si>
    <t>JaroslavVeverka</t>
  </si>
  <si>
    <t>veverkaservis@seznam.cz</t>
  </si>
  <si>
    <t>299/2023</t>
  </si>
  <si>
    <t>JaroslavVeselý</t>
  </si>
  <si>
    <t>Volevčice35</t>
  </si>
  <si>
    <t>info@av-autoservis.cz</t>
  </si>
  <si>
    <t>49.21262</t>
  </si>
  <si>
    <t>15.44738</t>
  </si>
  <si>
    <t>Rantířovská3</t>
  </si>
  <si>
    <t>363/2025</t>
  </si>
  <si>
    <t>MANFREDSCHÖNER</t>
  </si>
  <si>
    <t>Česká225</t>
  </si>
  <si>
    <t>KarlovyVary</t>
  </si>
  <si>
    <t>A.Truhlářová,J.Born</t>
  </si>
  <si>
    <t>opravy.kv@autoschoner.cz</t>
  </si>
  <si>
    <t>ŠKODA</t>
  </si>
  <si>
    <t>50.2141131</t>
  </si>
  <si>
    <t>12.8195711</t>
  </si>
  <si>
    <t>Jáchymovská53</t>
  </si>
  <si>
    <t>Zd.Šípek</t>
  </si>
  <si>
    <t>opravy.kv2@autoschoner.cz</t>
  </si>
  <si>
    <t>50.2442322</t>
  </si>
  <si>
    <t>12.8745708</t>
  </si>
  <si>
    <t>DanielStuchlík</t>
  </si>
  <si>
    <t>Slezská588</t>
  </si>
  <si>
    <t>pu@autodast.cz</t>
  </si>
  <si>
    <t>07.01.2022změnatelefonuaemailovéadresy,původní:776838083,daniel.stuchlik@seznam.cz</t>
  </si>
  <si>
    <t>162/2021</t>
  </si>
  <si>
    <t>47541598</t>
  </si>
  <si>
    <t>V-Groups.r.o.</t>
  </si>
  <si>
    <t>KeStadionu3228</t>
  </si>
  <si>
    <t>info@vgroup.cz</t>
  </si>
  <si>
    <t>Mazda,Ford,Isuzu,Ligier,Aixam</t>
  </si>
  <si>
    <t>Po-Pá7:00-17:00,So7:00-12:00</t>
  </si>
  <si>
    <t>Arménská3294</t>
  </si>
  <si>
    <t>172/2021</t>
  </si>
  <si>
    <t>07470541</t>
  </si>
  <si>
    <t>ABVAUTOKLADNOs.r.o.</t>
  </si>
  <si>
    <t>KarelHollegcha</t>
  </si>
  <si>
    <t>servis@abva.cz</t>
  </si>
  <si>
    <t>elektromobilly</t>
  </si>
  <si>
    <t>V-Groupautos.r.o.</t>
  </si>
  <si>
    <t>Ford,Omoda,Jaecoo</t>
  </si>
  <si>
    <t>50.13615</t>
  </si>
  <si>
    <t>14.13679</t>
  </si>
  <si>
    <t>07010877</t>
  </si>
  <si>
    <t>AUTOPARTABPHs.r.o.</t>
  </si>
  <si>
    <t>Přerovská146</t>
  </si>
  <si>
    <t>BystřicepodHostýnem</t>
  </si>
  <si>
    <t>pavel.zabransky@autoparta.cz</t>
  </si>
  <si>
    <t>49.3998325</t>
  </si>
  <si>
    <t>17.6666897</t>
  </si>
  <si>
    <t>119/2020</t>
  </si>
  <si>
    <t>29391539</t>
  </si>
  <si>
    <t>Martin Freisler</t>
  </si>
  <si>
    <t>Uhlířská 871/12</t>
  </si>
  <si>
    <t>710 00</t>
  </si>
  <si>
    <t>Slezská Ostrava</t>
  </si>
  <si>
    <t>martin@autofreisler.cz</t>
  </si>
  <si>
    <t>P. Freisler odešel od ACC v roce 2023. Nově je zasmluvněný na  přímo. 356/2025</t>
  </si>
  <si>
    <t>120/2019</t>
  </si>
  <si>
    <t>AUTOASSISTANCEČRs.r.o.</t>
  </si>
  <si>
    <t>Trojanova775</t>
  </si>
  <si>
    <t>KralupynadVltavou</t>
  </si>
  <si>
    <t>JanaŠimůnková</t>
  </si>
  <si>
    <t>info@aacr.cz</t>
  </si>
  <si>
    <t>26947366</t>
  </si>
  <si>
    <t>AutoservisŠevčíks.r.o.</t>
  </si>
  <si>
    <t>Resslova1405/21A</t>
  </si>
  <si>
    <t>JiříŠevčík</t>
  </si>
  <si>
    <t>autoservissevcik@email.cz</t>
  </si>
  <si>
    <t>122/2019</t>
  </si>
  <si>
    <t>Autokarosárna a Lakovna Michalik Marcel</t>
  </si>
  <si>
    <t>Jablunkovská 435</t>
  </si>
  <si>
    <t>Příjem oprav</t>
  </si>
  <si>
    <t>info@automichalik.cz</t>
  </si>
  <si>
    <t>Garance Mobility</t>
  </si>
  <si>
    <t>Po úmrtí otce přepsáno na dceru smlouvač. 353/2025</t>
  </si>
  <si>
    <t>AutokarosárnaaLakovnaMichalikMarcel</t>
  </si>
  <si>
    <t>Jablunkovská435</t>
  </si>
  <si>
    <t>JanGrygar</t>
  </si>
  <si>
    <t>141/2020</t>
  </si>
  <si>
    <t>60724498</t>
  </si>
  <si>
    <t>DOBE-CARs.r.o.</t>
  </si>
  <si>
    <t>Tovární1250</t>
  </si>
  <si>
    <t>Holešov</t>
  </si>
  <si>
    <t>JiříMíček</t>
  </si>
  <si>
    <t>nehody@dobecar.cz</t>
  </si>
  <si>
    <t>733 601803</t>
  </si>
  <si>
    <t>124/2019</t>
  </si>
  <si>
    <t>28146131</t>
  </si>
  <si>
    <t>EU Autoservis s.r.o.</t>
  </si>
  <si>
    <t>Nemanická 444/4</t>
  </si>
  <si>
    <t>České Budějovice</t>
  </si>
  <si>
    <t>Pavel Blažek</t>
  </si>
  <si>
    <t>pavel.blazek@euautoservis.cz</t>
  </si>
  <si>
    <t>všechna vozidla+motocykly</t>
  </si>
  <si>
    <t>03/2023 jsme vypověděli smlouvu, nespokojenost spolupráce.</t>
  </si>
  <si>
    <t>25482297</t>
  </si>
  <si>
    <t>AutoHalalaczs.r.o.</t>
  </si>
  <si>
    <t>Liberecká706</t>
  </si>
  <si>
    <t>HrádekNadNisou</t>
  </si>
  <si>
    <t>ZdeněkHála</t>
  </si>
  <si>
    <t>halala@volny.cz</t>
  </si>
  <si>
    <t>126/2019</t>
  </si>
  <si>
    <t>AutodesignMTs.r.o.</t>
  </si>
  <si>
    <t>Břeclavská716/57</t>
  </si>
  <si>
    <t>Kostice</t>
  </si>
  <si>
    <t>milan.trcka@seznam.cz</t>
  </si>
  <si>
    <t>127/2019</t>
  </si>
  <si>
    <t>11341068</t>
  </si>
  <si>
    <t>JanSejk</t>
  </si>
  <si>
    <t>Turovec83</t>
  </si>
  <si>
    <t>Turovec</t>
  </si>
  <si>
    <t>autosejk@gmail.com</t>
  </si>
  <si>
    <t>128/2019</t>
  </si>
  <si>
    <t>GLOBOILs.r.o.</t>
  </si>
  <si>
    <t>Předměřická508</t>
  </si>
  <si>
    <t>MarekBranse</t>
  </si>
  <si>
    <t>servis@globoil.cz</t>
  </si>
  <si>
    <t>Ukončujik31.5.2023spolupráci-PL.Faktickyjižzastavena25.4.2023.Pojistnýpodvod.</t>
  </si>
  <si>
    <t>129/2019</t>
  </si>
  <si>
    <t>PROAUTO-DOSTÁLs.r.o.</t>
  </si>
  <si>
    <t>Bratrušín1160</t>
  </si>
  <si>
    <t>BohumírDostál</t>
  </si>
  <si>
    <t>info@autodostal.cz</t>
  </si>
  <si>
    <t>Po-Pá7:30-16:00</t>
  </si>
  <si>
    <t>166/2021</t>
  </si>
  <si>
    <t>AutolakHalalas.r.o.</t>
  </si>
  <si>
    <t>Chotyně239</t>
  </si>
  <si>
    <t>HrádeknadNisou</t>
  </si>
  <si>
    <t>TomášHalala</t>
  </si>
  <si>
    <t>autolakhalala.poj@seznam.cz</t>
  </si>
  <si>
    <t>131/2019</t>
  </si>
  <si>
    <t>25301845</t>
  </si>
  <si>
    <t>AUTOCENTRUMŘíčany,s.r.o.</t>
  </si>
  <si>
    <t>Sportovní401</t>
  </si>
  <si>
    <t>Říčany</t>
  </si>
  <si>
    <t>KarelŠvaříček</t>
  </si>
  <si>
    <t>autolakovna.ricany@seznam.cz</t>
  </si>
  <si>
    <t>Od1.8.2023změnaprávníformyspolečnosti,původněAutocentrumŘíčany,družstvo.</t>
  </si>
  <si>
    <t>132/2020</t>
  </si>
  <si>
    <t>MotorsportPelikáns.r.o.</t>
  </si>
  <si>
    <t>Dobronická778</t>
  </si>
  <si>
    <t>TomášPelikán</t>
  </si>
  <si>
    <t>pu@motorsportpelikan.cz</t>
  </si>
  <si>
    <t>603 262765</t>
  </si>
  <si>
    <t>MJ75</t>
  </si>
  <si>
    <t>297/2023</t>
  </si>
  <si>
    <t>Richterautoserviss.r.o.</t>
  </si>
  <si>
    <t>Paceřice92</t>
  </si>
  <si>
    <t>AlešRichter</t>
  </si>
  <si>
    <t>PůvodníservissítěACC,doFérservisupřeřazen7/2023.</t>
  </si>
  <si>
    <t>135/2020</t>
  </si>
  <si>
    <t>06918638</t>
  </si>
  <si>
    <t>ERZETHOLDINGa.s.</t>
  </si>
  <si>
    <t>Toužimská720</t>
  </si>
  <si>
    <t>Praha9-Letňany</t>
  </si>
  <si>
    <t>VlaďkaPísaříková</t>
  </si>
  <si>
    <t>vladka.pisarikova@erzet.cz</t>
  </si>
  <si>
    <t>605 840508</t>
  </si>
  <si>
    <t>Ukončenáspolupráce11/2022</t>
  </si>
  <si>
    <t>155/2021</t>
  </si>
  <si>
    <t>AutoGARAGEs.r.o.</t>
  </si>
  <si>
    <t>Masarykova4</t>
  </si>
  <si>
    <t>BohušovicenadOhří</t>
  </si>
  <si>
    <t>JiříMaňák</t>
  </si>
  <si>
    <t>nehody@autogarage.cz</t>
  </si>
  <si>
    <t>603 479 702</t>
  </si>
  <si>
    <t>09578498</t>
  </si>
  <si>
    <t>PetrŠalanský</t>
  </si>
  <si>
    <t>servis@ford-autogarage.cz</t>
  </si>
  <si>
    <t>FORD</t>
  </si>
  <si>
    <t>Uzávor1396</t>
  </si>
  <si>
    <t>Neratovice</t>
  </si>
  <si>
    <t>187/2021</t>
  </si>
  <si>
    <t>25128132</t>
  </si>
  <si>
    <t>MK-Rent,spol.s r.o.</t>
  </si>
  <si>
    <t>Loděnická1222</t>
  </si>
  <si>
    <t>JaroslavNový</t>
  </si>
  <si>
    <t>servis@renault-melnik.cz</t>
  </si>
  <si>
    <t>Po-Pá7:00-15:30</t>
  </si>
  <si>
    <t>Průmyslová909</t>
  </si>
  <si>
    <t>MladáBoleslav</t>
  </si>
  <si>
    <t>JaroslavČermák</t>
  </si>
  <si>
    <t>marketa.slavikova@havex.cz,mb.servis@havex.cz</t>
  </si>
  <si>
    <t>733538611,326727461,326727460,326727461</t>
  </si>
  <si>
    <t>5:30-19:00|5:30-19:00|5:30-19:00|5:30-19:00|5:30-19:00|7:00-19:00|7:00-19:00</t>
  </si>
  <si>
    <t>01039385</t>
  </si>
  <si>
    <t>DanielNovák</t>
  </si>
  <si>
    <t>Zanádražím215</t>
  </si>
  <si>
    <t>SuchdolnadOdrou</t>
  </si>
  <si>
    <t>náhradazaKutěje,změnavlastníkaservisu,adresaakontaktyjsoustejné.022023změnatel.číslazapůvodní603317457.</t>
  </si>
  <si>
    <t>140/2020</t>
  </si>
  <si>
    <t>47974486</t>
  </si>
  <si>
    <t>AUTOKLEVERspol.s r.o.</t>
  </si>
  <si>
    <t>Hřbitovní996/5</t>
  </si>
  <si>
    <t>NovýJičín</t>
  </si>
  <si>
    <t>PavelChrpa</t>
  </si>
  <si>
    <t>pavel.chrpa@autoklever.cz</t>
  </si>
  <si>
    <t>139/2020</t>
  </si>
  <si>
    <t>LuCarss.r.o.</t>
  </si>
  <si>
    <t>StarýVestec92</t>
  </si>
  <si>
    <t>PřerovnadLabem</t>
  </si>
  <si>
    <t>EvaRusová</t>
  </si>
  <si>
    <t>pu.lucars@gmail.com</t>
  </si>
  <si>
    <t>153/2021</t>
  </si>
  <si>
    <t>24287563</t>
  </si>
  <si>
    <t>AUTOTICHÝ-centrum,s.r.o.</t>
  </si>
  <si>
    <t>Italská701</t>
  </si>
  <si>
    <t>Milovice</t>
  </si>
  <si>
    <t>MichalTichý</t>
  </si>
  <si>
    <t>servis@autotichy.eu</t>
  </si>
  <si>
    <t>154/2021</t>
  </si>
  <si>
    <t>11302976</t>
  </si>
  <si>
    <t>JaroslavTichý-AutoTichý</t>
  </si>
  <si>
    <t>KeVrutici1730</t>
  </si>
  <si>
    <t>LysánadLabem</t>
  </si>
  <si>
    <t>JaroslavTichý</t>
  </si>
  <si>
    <t>servis@autotichy.com</t>
  </si>
  <si>
    <t>156/2021</t>
  </si>
  <si>
    <t>JohnDees.r.o.</t>
  </si>
  <si>
    <t>Poděbradská1082</t>
  </si>
  <si>
    <t>Sadská</t>
  </si>
  <si>
    <t>GabrielaCiprová</t>
  </si>
  <si>
    <t>johndee.cz@gmail.com</t>
  </si>
  <si>
    <t>Po-Pá7:00-19:00</t>
  </si>
  <si>
    <t>NA013/2021</t>
  </si>
  <si>
    <t>28970241</t>
  </si>
  <si>
    <t>APservisPoděbrady,s.r.o.</t>
  </si>
  <si>
    <t>Kozinova68/II</t>
  </si>
  <si>
    <t>Poděbrady</t>
  </si>
  <si>
    <t>MartinAdamec</t>
  </si>
  <si>
    <t>apservis1@apservis-podebrady.cz</t>
  </si>
  <si>
    <t>AutorizovanýnákladníservisDIRECT</t>
  </si>
  <si>
    <t>Kögel+ostatnínákladníadodávková</t>
  </si>
  <si>
    <t>Autovitals.r.o.</t>
  </si>
  <si>
    <t>Třebčín253</t>
  </si>
  <si>
    <t>Lutín</t>
  </si>
  <si>
    <t>autovital@email.cz</t>
  </si>
  <si>
    <t>PavelSlezák</t>
  </si>
  <si>
    <t>pavel-slezak@volny.cz</t>
  </si>
  <si>
    <t>MMcarstores.r.o.</t>
  </si>
  <si>
    <t>I.P.Pavlova740/126</t>
  </si>
  <si>
    <t>063/2017</t>
  </si>
  <si>
    <t>72999829</t>
  </si>
  <si>
    <t>AutocentrumStoniš</t>
  </si>
  <si>
    <t>Podvihovská382/12E</t>
  </si>
  <si>
    <t>Opava</t>
  </si>
  <si>
    <t>DavidStoniš</t>
  </si>
  <si>
    <t>autocentrumstonis@seznam.cz</t>
  </si>
  <si>
    <t>8:00-16:30|8:00-16:30|8:00-16:30|8:00-16:30|8:00-16:30|8:00-12:00|-.</t>
  </si>
  <si>
    <t>K3.10.2023ukončujemesokamžitouplatnostísmlouvuzdovodupojistnéhopodvodu+chtějínásžalovatkvůliNV.Chovajísejakonehodováslužba!Výpovědposlánanaadresuprovozovny:Podvihovská382/12E
74770Opava9.</t>
  </si>
  <si>
    <t>163/2021</t>
  </si>
  <si>
    <t>25877470</t>
  </si>
  <si>
    <t>AutoHruškas.r.o.</t>
  </si>
  <si>
    <t>Krnovská639/163</t>
  </si>
  <si>
    <t>OpavaJaktař</t>
  </si>
  <si>
    <t>JanEszler</t>
  </si>
  <si>
    <t>info@autohruska.cz</t>
  </si>
  <si>
    <t>Peugeot,Mazda,Suzuki</t>
  </si>
  <si>
    <t>Po-Pá7:00-17:00,So8:00-12:00</t>
  </si>
  <si>
    <t>MartinFreisler</t>
  </si>
  <si>
    <t>Uhlířská871/12</t>
  </si>
  <si>
    <t>SlezskáOstrava</t>
  </si>
  <si>
    <t>martin@freislerauto.cz</t>
  </si>
  <si>
    <t>123/2019</t>
  </si>
  <si>
    <t>HanlakColors.r.o.</t>
  </si>
  <si>
    <t>Krmelínská773/10(areálAutobond)</t>
  </si>
  <si>
    <t>MartinVavrečka,BřetislavHánl</t>
  </si>
  <si>
    <t>daniel.sroka@autobond.cz</t>
  </si>
  <si>
    <t>10/2022Přerušenáčinnost,fůzesAutobond.Podořešenísmlouvyobnovaspolupráce.18.7.2023zastavujispolupráciaodebírámzeseznamů,stálenevyřešenozestranyAutoBondu.</t>
  </si>
  <si>
    <t>UStaréelektrárny1895/52</t>
  </si>
  <si>
    <t>FilipTvarožek</t>
  </si>
  <si>
    <t>Peugeot,Mazda,Suzuki,Opel</t>
  </si>
  <si>
    <t>S114/2021</t>
  </si>
  <si>
    <t>HellsteinRomanAutoslužby</t>
  </si>
  <si>
    <t>Těšínská1570</t>
  </si>
  <si>
    <t>RomanHellstein</t>
  </si>
  <si>
    <t>rhellstein@seznam.cz</t>
  </si>
  <si>
    <t>AutoskloDIRECT</t>
  </si>
  <si>
    <t>TomášDoležal</t>
  </si>
  <si>
    <t>Doubravice2</t>
  </si>
  <si>
    <t>PardubiceVII</t>
  </si>
  <si>
    <t>auto.td@tiscali.cz</t>
  </si>
  <si>
    <t>603 473 879</t>
  </si>
  <si>
    <t>Po-Pá7:00-16:01</t>
  </si>
  <si>
    <t>Jaktáře1794</t>
  </si>
  <si>
    <t>UherskéHradiště</t>
  </si>
  <si>
    <t>Suzuki,Isuzu,Citroen,Opel,všechnavozidla</t>
  </si>
  <si>
    <t>49.12111</t>
  </si>
  <si>
    <t>17.49869</t>
  </si>
  <si>
    <t>48.8673611</t>
  </si>
  <si>
    <t>17.1145850</t>
  </si>
  <si>
    <t>Východní2134</t>
  </si>
  <si>
    <t>StaréMěsto</t>
  </si>
  <si>
    <t>49.0765914</t>
  </si>
  <si>
    <t>17.4560133</t>
  </si>
  <si>
    <t>63252732</t>
  </si>
  <si>
    <t>MilošJůzl</t>
  </si>
  <si>
    <t>Nerudova1848</t>
  </si>
  <si>
    <t>Humpolec</t>
  </si>
  <si>
    <t>mauto@post.cz</t>
  </si>
  <si>
    <t>73391123</t>
  </si>
  <si>
    <t>DavidSrp</t>
  </si>
  <si>
    <t>VLomech715/30</t>
  </si>
  <si>
    <t>Plzeň-Bolovec</t>
  </si>
  <si>
    <t>davidsrp@volny.cz </t>
  </si>
  <si>
    <t>158/2021</t>
  </si>
  <si>
    <t>ARAVERCZ,s.r.o.</t>
  </si>
  <si>
    <t>Vlčnov556</t>
  </si>
  <si>
    <t>Vlčnov</t>
  </si>
  <si>
    <t>MiroslavMáčala</t>
  </si>
  <si>
    <t>pojistneudalosti@araver.cz</t>
  </si>
  <si>
    <t>778 770 795</t>
  </si>
  <si>
    <t>VW,Škoda,Audi,Seat</t>
  </si>
  <si>
    <t>49.0213103</t>
  </si>
  <si>
    <t>17.5721367</t>
  </si>
  <si>
    <t>17.4.2023změnakontaktníosobynažádostservisu.</t>
  </si>
  <si>
    <t>Zerzavice2020</t>
  </si>
  <si>
    <t>49.0745686</t>
  </si>
  <si>
    <t>17.4559233</t>
  </si>
  <si>
    <t>Sv.Čecha1100</t>
  </si>
  <si>
    <t>UherskýBrod</t>
  </si>
  <si>
    <t>49.0267797</t>
  </si>
  <si>
    <t>17.6395369</t>
  </si>
  <si>
    <t>06126871</t>
  </si>
  <si>
    <t>Procariacenters.r.o.</t>
  </si>
  <si>
    <t>Plzeňská685</t>
  </si>
  <si>
    <t>Vejprnice</t>
  </si>
  <si>
    <t>p.Procházka</t>
  </si>
  <si>
    <t>prochazka@procariacenter.cz</t>
  </si>
  <si>
    <t>Rokycanská1422/11</t>
  </si>
  <si>
    <t>AlešPašek,JosefEichler,JiříKlas,</t>
  </si>
  <si>
    <t>ales.pasek@invelt.com,Josef.eichler@invelt.com,jiri.klas@invelt.com</t>
  </si>
  <si>
    <t>724126614,602427111,702186557</t>
  </si>
  <si>
    <t>49.7475431</t>
  </si>
  <si>
    <t>13.4264689</t>
  </si>
  <si>
    <t>03849601</t>
  </si>
  <si>
    <t>ZJ-serviss.r.o.</t>
  </si>
  <si>
    <t>Dobřichovická1014</t>
  </si>
  <si>
    <t>Černošice</t>
  </si>
  <si>
    <t>servis@zjservis.cz</t>
  </si>
  <si>
    <t>AutocentrumPreslspol.sr.o.</t>
  </si>
  <si>
    <t>Boubínská609</t>
  </si>
  <si>
    <t>Vimperk</t>
  </si>
  <si>
    <t>MarkétaPreslová</t>
  </si>
  <si>
    <t>marketa@autocentrumpresl.cz</t>
  </si>
  <si>
    <t>AutoHavlíks.r.o.</t>
  </si>
  <si>
    <t>Bavorovská733</t>
  </si>
  <si>
    <t>Netolice</t>
  </si>
  <si>
    <t>p.Havlík</t>
  </si>
  <si>
    <t>autohavlik@email.cz </t>
  </si>
  <si>
    <t>49.0525839</t>
  </si>
  <si>
    <t>14.1856706</t>
  </si>
  <si>
    <t>27.10.2021změnaemailu,původní:youngtimers@seznam.cz</t>
  </si>
  <si>
    <t>150/2020</t>
  </si>
  <si>
    <t>25529889</t>
  </si>
  <si>
    <t>Automechanika,a.s.</t>
  </si>
  <si>
    <t>Letecká2</t>
  </si>
  <si>
    <t>Prostějov</t>
  </si>
  <si>
    <t>MarekHolubář</t>
  </si>
  <si>
    <t>pojistneudalosti@automechanika.cz</t>
  </si>
  <si>
    <t>26872391</t>
  </si>
  <si>
    <t>AutocentrServisTDG,s.r.o.</t>
  </si>
  <si>
    <t>Velká84</t>
  </si>
  <si>
    <t>HraniceIII</t>
  </si>
  <si>
    <t>VlastimilTůma</t>
  </si>
  <si>
    <t>tdg@volny.cz </t>
  </si>
  <si>
    <t>142/2020</t>
  </si>
  <si>
    <t>25876651</t>
  </si>
  <si>
    <t>PPAUTOCENTRUMs.r.o.</t>
  </si>
  <si>
    <t>Tř.1máje</t>
  </si>
  <si>
    <t>Hranice</t>
  </si>
  <si>
    <t>PetrTománek</t>
  </si>
  <si>
    <t>tomanek@ppautocentrum.cz</t>
  </si>
  <si>
    <t>164/2021</t>
  </si>
  <si>
    <t>AUTOEMISTARGROUPs.r.o.</t>
  </si>
  <si>
    <t>17.listopadu2669</t>
  </si>
  <si>
    <t>FrýdekMístek</t>
  </si>
  <si>
    <t>VáclavTaichman</t>
  </si>
  <si>
    <t>taichman@autoemistar.cz</t>
  </si>
  <si>
    <t>Subaru,Mitsubishi,Ford,Isuzu,Suzuki</t>
  </si>
  <si>
    <t>Po-Pá6:30-17:00</t>
  </si>
  <si>
    <t>Od1.6.2024ukončenačinnost.</t>
  </si>
  <si>
    <t>165/2021</t>
  </si>
  <si>
    <t>EMISTARs.r.o.</t>
  </si>
  <si>
    <t>17.listopadu2337</t>
  </si>
  <si>
    <t>od1.4.2023ukončenásmlouva,přechodnaAutoemistarGroups.r.o.</t>
  </si>
  <si>
    <t>145/2020</t>
  </si>
  <si>
    <t>47053402</t>
  </si>
  <si>
    <t>Autostop,spol.s r.o.</t>
  </si>
  <si>
    <t>Luženská1992</t>
  </si>
  <si>
    <t>Rakovník</t>
  </si>
  <si>
    <t>LeošJiřinec</t>
  </si>
  <si>
    <t>leosjirinec@autostop-rakovnik.cz</t>
  </si>
  <si>
    <t>Josefininoúdolí145</t>
  </si>
  <si>
    <t>Liberec5</t>
  </si>
  <si>
    <t>Křižíkova1624</t>
  </si>
  <si>
    <t>J.Studená,P.Chroust</t>
  </si>
  <si>
    <t>opravy.so@autoschoner.cz</t>
  </si>
  <si>
    <t>VW,ŠKODA,CUPRA,SEAT</t>
  </si>
  <si>
    <t>50.1748139</t>
  </si>
  <si>
    <t>12.6669139</t>
  </si>
  <si>
    <t>168/2021</t>
  </si>
  <si>
    <t>KAROPs.r.o.</t>
  </si>
  <si>
    <t>UPivovaru17</t>
  </si>
  <si>
    <t>Lukov</t>
  </si>
  <si>
    <t>PetrPtáček</t>
  </si>
  <si>
    <t>info@karop.cz</t>
  </si>
  <si>
    <t>49.2921703</t>
  </si>
  <si>
    <t>17.7377492</t>
  </si>
  <si>
    <t>171/2021</t>
  </si>
  <si>
    <t>7Carss.r.o.</t>
  </si>
  <si>
    <t>Tovární890</t>
  </si>
  <si>
    <t>RychnovuJabloncenadNisou</t>
  </si>
  <si>
    <t>MichalKubina</t>
  </si>
  <si>
    <t>kubina@7cars.cz</t>
  </si>
  <si>
    <t>06115365</t>
  </si>
  <si>
    <t>AUTOVolyněs.r.o.</t>
  </si>
  <si>
    <t>Nádražní738</t>
  </si>
  <si>
    <t>Volyně</t>
  </si>
  <si>
    <t>FrantišekKůta</t>
  </si>
  <si>
    <t>info@autovolyne.cz</t>
  </si>
  <si>
    <t>49.1714619</t>
  </si>
  <si>
    <t>13.8921047</t>
  </si>
  <si>
    <t>NA006/2017 </t>
  </si>
  <si>
    <t>VolvoGroupCzechRepublic,s.r.o.</t>
  </si>
  <si>
    <t>Rovná110</t>
  </si>
  <si>
    <t>Rovná</t>
  </si>
  <si>
    <t>servis.strakonice@volvo.com</t>
  </si>
  <si>
    <t>724 483 745</t>
  </si>
  <si>
    <t>nákladnívozidlaVolvo</t>
  </si>
  <si>
    <t>Po-Pá07:00-18:00,So07:00-15:00</t>
  </si>
  <si>
    <t>49.2852</t>
  </si>
  <si>
    <t>13.956</t>
  </si>
  <si>
    <t>173/2021</t>
  </si>
  <si>
    <t>AutoservisJanečeks.r.o.</t>
  </si>
  <si>
    <t>Hloušecká265</t>
  </si>
  <si>
    <t>KutnáHora</t>
  </si>
  <si>
    <t>DanielJaneček</t>
  </si>
  <si>
    <t>info@autojanecek.cz</t>
  </si>
  <si>
    <t>Pondělí–Čtvrtek:6:00–18:00,Pátek:–6:00–12:00,Sobota–Neděle:popředchozídohodě</t>
  </si>
  <si>
    <t>174/2021</t>
  </si>
  <si>
    <t>AutocentrumNovotnýs.r.o.</t>
  </si>
  <si>
    <t>Cukrovarskázahrada2670</t>
  </si>
  <si>
    <t>PetrNovotný</t>
  </si>
  <si>
    <t>servis@autocentrumnovotny.cz</t>
  </si>
  <si>
    <t>415653438 </t>
  </si>
  <si>
    <t>Renault,Dacia,Mitsubishi</t>
  </si>
  <si>
    <t>Po-Pá9:00-17:00</t>
  </si>
  <si>
    <t>175/2021</t>
  </si>
  <si>
    <t>AutoBelda,s.r.o.</t>
  </si>
  <si>
    <t>JablonecnadJizerou800</t>
  </si>
  <si>
    <t>JablonecnadJizerou</t>
  </si>
  <si>
    <t>AdamStříbrný</t>
  </si>
  <si>
    <t>info@autobelda.cz</t>
  </si>
  <si>
    <t>Dacia,Renault</t>
  </si>
  <si>
    <t>Po-Pá: 7:30-11:30,12:30-16:30,So:8:00-12:00</t>
  </si>
  <si>
    <t>176/2021</t>
  </si>
  <si>
    <t>AutoInzats.r.o.</t>
  </si>
  <si>
    <t>Preslova441</t>
  </si>
  <si>
    <t>DvůrKrálovénadLabem</t>
  </si>
  <si>
    <t>martin.bartos@autoinzat.cz</t>
  </si>
  <si>
    <t>MartinBartoš</t>
  </si>
  <si>
    <t>Renault,Dacia+ostatníznačky</t>
  </si>
  <si>
    <t>Po-PáServis7-15:30,příjemvozideldoopravy7-18</t>
  </si>
  <si>
    <t>178/2021</t>
  </si>
  <si>
    <t>RašinoCarss.r.o.</t>
  </si>
  <si>
    <t>Brněnská1085</t>
  </si>
  <si>
    <t>Kuřim</t>
  </si>
  <si>
    <t>MilanJašek</t>
  </si>
  <si>
    <t>mjasek@rasino.cz</t>
  </si>
  <si>
    <t>179/2021</t>
  </si>
  <si>
    <t>Rašinoa.s.</t>
  </si>
  <si>
    <t>181/2021</t>
  </si>
  <si>
    <t>OPPORTUNITY,spol.sr.o.</t>
  </si>
  <si>
    <t>Sedláčkova2559/10</t>
  </si>
  <si>
    <t>MartinMička</t>
  </si>
  <si>
    <t>martin.micka@opportunity.cz</t>
  </si>
  <si>
    <t>Po-Pá7:30-18:00,So9:00-12:00</t>
  </si>
  <si>
    <t>Komenského9</t>
  </si>
  <si>
    <t>Boskovice</t>
  </si>
  <si>
    <t>ZdeněkNeubauer</t>
  </si>
  <si>
    <t>zdenek.neubauer@opportunity.cz</t>
  </si>
  <si>
    <t>49.14968</t>
  </si>
  <si>
    <t>17.13215</t>
  </si>
  <si>
    <t>184/2021</t>
  </si>
  <si>
    <t>40770958</t>
  </si>
  <si>
    <t>JiříHendrych-Autohelp</t>
  </si>
  <si>
    <t>Maroldova1740/4</t>
  </si>
  <si>
    <t>Praha4-Nusle</t>
  </si>
  <si>
    <t>MichalŠtoček</t>
  </si>
  <si>
    <t>stocek@auto-help.cz</t>
  </si>
  <si>
    <t>Po-Čt:8:00-18:00,Pá:8:00-17:00</t>
  </si>
  <si>
    <t>185/2021</t>
  </si>
  <si>
    <t>18631932</t>
  </si>
  <si>
    <t>AutoKoutCentrum,spol.sr.o.</t>
  </si>
  <si>
    <t>Pražská1820</t>
  </si>
  <si>
    <t>BrandýsnadLabem</t>
  </si>
  <si>
    <t>MarekRyšlavý</t>
  </si>
  <si>
    <t>marek.ryslavy@autokout.cz</t>
  </si>
  <si>
    <t>UPřelízky2601</t>
  </si>
  <si>
    <t>JiříHošek</t>
  </si>
  <si>
    <t>jiri.hosek@autokout.cz</t>
  </si>
  <si>
    <t>Hyundai+ostatníznačky</t>
  </si>
  <si>
    <t>186/2021</t>
  </si>
  <si>
    <t>AutoRN,s.r.o.</t>
  </si>
  <si>
    <t>ZaCihelnou533</t>
  </si>
  <si>
    <t>Trutnov</t>
  </si>
  <si>
    <t>PavelSvoboda</t>
  </si>
  <si>
    <t>svoboda@autorn.cz</t>
  </si>
  <si>
    <t>PneuKazdas.r.o.</t>
  </si>
  <si>
    <t>Klenovice7</t>
  </si>
  <si>
    <t>Klenovice</t>
  </si>
  <si>
    <t>obchodklenovice@pneukazda.cz</t>
  </si>
  <si>
    <t>188/2021</t>
  </si>
  <si>
    <t>AutoKubíčeks.r.o.</t>
  </si>
  <si>
    <t>Zábřežská2898/74a</t>
  </si>
  <si>
    <t>likvidace.sumperk@autokubicek.cz</t>
  </si>
  <si>
    <t>Holická 24</t>
  </si>
  <si>
    <t>likvidace.olomouc@autokubicek.cz</t>
  </si>
  <si>
    <t>JosefValouch</t>
  </si>
  <si>
    <t>Po-Pá:07:00-18:00,So:08:00-12:00</t>
  </si>
  <si>
    <t>49.9485836</t>
  </si>
  <si>
    <t>16.9546239</t>
  </si>
  <si>
    <t>PavelKrejčiřík</t>
  </si>
  <si>
    <t>49.5836656</t>
  </si>
  <si>
    <t>17.2703781</t>
  </si>
  <si>
    <t>189/2021</t>
  </si>
  <si>
    <t>BONOautoa.s.</t>
  </si>
  <si>
    <t>Malostranská579</t>
  </si>
  <si>
    <t>ŠenovuNovéhoJičína</t>
  </si>
  <si>
    <t>MartinToman</t>
  </si>
  <si>
    <t>toman@bonoauto.cz</t>
  </si>
  <si>
    <t>605 233393</t>
  </si>
  <si>
    <t>Po-Pá7:30-16:30</t>
  </si>
  <si>
    <t>Beskydská2062</t>
  </si>
  <si>
    <t>Opavská6233/20a</t>
  </si>
  <si>
    <t>Ostrava-Poruba</t>
  </si>
  <si>
    <t>190/2021</t>
  </si>
  <si>
    <t>AUTOELSOs.r.o.</t>
  </si>
  <si>
    <t>Cukrovarská900/10</t>
  </si>
  <si>
    <t>Praha9-Čakovice</t>
  </si>
  <si>
    <t>JanPecháček</t>
  </si>
  <si>
    <t>autoservis@auto-elso.cz</t>
  </si>
  <si>
    <t>Škoda,VW</t>
  </si>
  <si>
    <t>Po-Pá:07:00-18:00</t>
  </si>
  <si>
    <t>50.1510492</t>
  </si>
  <si>
    <t>14.5181253</t>
  </si>
  <si>
    <t>191/2021</t>
  </si>
  <si>
    <t>AutoservisJiříKošler-Boschservis</t>
  </si>
  <si>
    <t>Malénáměstí432</t>
  </si>
  <si>
    <t>Toužim</t>
  </si>
  <si>
    <t>JiříKošler</t>
  </si>
  <si>
    <t>autokosler@seznam.cz</t>
  </si>
  <si>
    <t>50.0603483</t>
  </si>
  <si>
    <t>12.9885364</t>
  </si>
  <si>
    <t>192/2021</t>
  </si>
  <si>
    <t>AUTOSERVISBSCs.r.o.</t>
  </si>
  <si>
    <t>Husovonáměstí90</t>
  </si>
  <si>
    <t>pavel.svoboda.bsc@seznam.cz</t>
  </si>
  <si>
    <t>193/2021</t>
  </si>
  <si>
    <t>AutoCentrumJih2000,a.s.,členskupinyAUTOUH</t>
  </si>
  <si>
    <t>Velkomoravská3950/26a</t>
  </si>
  <si>
    <t>ZdenekVacenovský</t>
  </si>
  <si>
    <t>z.vacenovsky@jih2000.cz</t>
  </si>
  <si>
    <t>Po-Pá08:00-12:00,13:00-17:00</t>
  </si>
  <si>
    <t>Čsl.armády848</t>
  </si>
  <si>
    <t>VeselínadLužnicíII</t>
  </si>
  <si>
    <t>Soběslavská2985</t>
  </si>
  <si>
    <t>AndreaJanouchová</t>
  </si>
  <si>
    <t>janouchova@cb-auto.cz</t>
  </si>
  <si>
    <t>14.68682</t>
  </si>
  <si>
    <t>227/2021</t>
  </si>
  <si>
    <t>RSAutoPavelSmítka</t>
  </si>
  <si>
    <t>Chlebov53</t>
  </si>
  <si>
    <t>Soběslav</t>
  </si>
  <si>
    <t>PavelSmítka</t>
  </si>
  <si>
    <t>info@hsmoto.cz</t>
  </si>
  <si>
    <t>Po-Pá:8:00-17:00</t>
  </si>
  <si>
    <t>49.2567050</t>
  </si>
  <si>
    <t>14.7498653</t>
  </si>
  <si>
    <t>195/2021</t>
  </si>
  <si>
    <t>AUTOSERVISspol.sr.o.,AutoservisMňuk</t>
  </si>
  <si>
    <t>Slunečná76</t>
  </si>
  <si>
    <t>VysokéMýto</t>
  </si>
  <si>
    <t>VáclavBeneš</t>
  </si>
  <si>
    <t>pu@autoservismnuk.cz</t>
  </si>
  <si>
    <t>465420 666</t>
  </si>
  <si>
    <t>Škoda,Fiat,Ostatníznačky</t>
  </si>
  <si>
    <t>196/2021</t>
  </si>
  <si>
    <t>AutoBalkars.r.o.</t>
  </si>
  <si>
    <t>Novohradská1043/70</t>
  </si>
  <si>
    <t>FilipMikeš</t>
  </si>
  <si>
    <t>mikes@balkar.cz</t>
  </si>
  <si>
    <t>Subaru,Kia,Ostatníznačky</t>
  </si>
  <si>
    <t>Po-Pá07:15-17:00</t>
  </si>
  <si>
    <t>AutorizovanýservisproznačkuSubaru.NeznačkovýproKIAaostatní.</t>
  </si>
  <si>
    <t>Od15.6.2023zařazendokonceptuFérservis.</t>
  </si>
  <si>
    <t>198/2021</t>
  </si>
  <si>
    <t>AutovarsPrahas.r.o.</t>
  </si>
  <si>
    <t>Jankovcova1535/2a</t>
  </si>
  <si>
    <t>Praha7-Holešovice</t>
  </si>
  <si>
    <t>MilanChvojka</t>
  </si>
  <si>
    <t>milan.chvojka@autovars.cz</t>
  </si>
  <si>
    <t>608 672881</t>
  </si>
  <si>
    <t>Opel,Chevrolet+ostatníznačky</t>
  </si>
  <si>
    <t>Po-Pá08:00-18:00,So09:00-13:00</t>
  </si>
  <si>
    <t>50.1047394</t>
  </si>
  <si>
    <t>14.4575036</t>
  </si>
  <si>
    <t>201/2021</t>
  </si>
  <si>
    <t>LadislavBureš</t>
  </si>
  <si>
    <t>Řepov188</t>
  </si>
  <si>
    <t>info@kovoworks.cz</t>
  </si>
  <si>
    <t>50.4068567</t>
  </si>
  <si>
    <t>14.9465122</t>
  </si>
  <si>
    <t>042023převodpodnovousmlouvuč.291/2023-změnaprávníformy.</t>
  </si>
  <si>
    <t>202/2021</t>
  </si>
  <si>
    <t>KarelKotouč</t>
  </si>
  <si>
    <t>Osadní5374</t>
  </si>
  <si>
    <t>Chomutov</t>
  </si>
  <si>
    <t>autoserviskotouc@gmail.com</t>
  </si>
  <si>
    <t>50.4585761</t>
  </si>
  <si>
    <t>13.3772353</t>
  </si>
  <si>
    <t>203/2021</t>
  </si>
  <si>
    <t>HAFiNTRUST,s.r.o.</t>
  </si>
  <si>
    <t>Markvartice</t>
  </si>
  <si>
    <t>autoservis@hafintrust.cz</t>
  </si>
  <si>
    <t>49.8362750</t>
  </si>
  <si>
    <t>18.2706239</t>
  </si>
  <si>
    <t>Náhradaza099/2018,převzetíservisuMiroslavRichtár.Pasivníspolupráce,nedoporučujeme.Posílámvýpověďsmlouvyk31.8.2023,spoluprácivypovídám.</t>
  </si>
  <si>
    <t>204/2021</t>
  </si>
  <si>
    <t>PřerostaŠvorc-auto,s.r.o.</t>
  </si>
  <si>
    <t>Veleslavínská48/39</t>
  </si>
  <si>
    <t>Praha6-Veleslavín</t>
  </si>
  <si>
    <t>JiříStarostka</t>
  </si>
  <si>
    <t>starostka@prerost-svorc.cz</t>
  </si>
  <si>
    <t>VW,Škoda</t>
  </si>
  <si>
    <t>Po-Pá07:00-19:00,So08:00-13:00</t>
  </si>
  <si>
    <t>50.0937058</t>
  </si>
  <si>
    <t>14.3493464</t>
  </si>
  <si>
    <t>ZaElektrárnou19</t>
  </si>
  <si>
    <t>VlastimilDuspiva</t>
  </si>
  <si>
    <t>duspiva@prerost-svorc.cz</t>
  </si>
  <si>
    <t>Po-Čt07:00-18:00,Pá07:00-17:00</t>
  </si>
  <si>
    <t>50.1099394</t>
  </si>
  <si>
    <t>14.4313567</t>
  </si>
  <si>
    <t>65566998</t>
  </si>
  <si>
    <t>JiříPolata</t>
  </si>
  <si>
    <t>Oldřichovská2300</t>
  </si>
  <si>
    <t>Tachov</t>
  </si>
  <si>
    <t>j.polata@centrum.cz</t>
  </si>
  <si>
    <t>S124/2023</t>
  </si>
  <si>
    <t>PetrKüffel</t>
  </si>
  <si>
    <t>Heydukova1290</t>
  </si>
  <si>
    <t>petr@kuffel.cz</t>
  </si>
  <si>
    <t>206/2021</t>
  </si>
  <si>
    <t>AUTOSALONKROMEXIMspol.sr.o.</t>
  </si>
  <si>
    <t>Hulínská2383/3</t>
  </si>
  <si>
    <t>DanielKalík</t>
  </si>
  <si>
    <t>kalik@kromexim.cz</t>
  </si>
  <si>
    <t>49.3088972</t>
  </si>
  <si>
    <t>17.4035181</t>
  </si>
  <si>
    <t>207/2021</t>
  </si>
  <si>
    <t>AutoWallis(NCAuto)</t>
  </si>
  <si>
    <t>Březhradská195</t>
  </si>
  <si>
    <t>PetrHolman</t>
  </si>
  <si>
    <t>holman@autowallis.cz</t>
  </si>
  <si>
    <t>BMW+BMWMotorrad</t>
  </si>
  <si>
    <t>Po-Pá:7:30-18:00,So:09:00-14:00</t>
  </si>
  <si>
    <t>50.1737194</t>
  </si>
  <si>
    <t>15.8016561</t>
  </si>
  <si>
    <t>Od2.10.2024změnadomény@stratosauto.czna@autowallis.czazměnanázvuzeStratosAutos.r.o.naAutoWallis.MajitelemjeNCAutovč.fakturačníadresy-vizOR.</t>
  </si>
  <si>
    <t>Dražkovice239</t>
  </si>
  <si>
    <t>Pardubice</t>
  </si>
  <si>
    <t>JindřichVaníček</t>
  </si>
  <si>
    <t>vanicek@autowallis.cz</t>
  </si>
  <si>
    <t>BMW</t>
  </si>
  <si>
    <t>Po-Pá:08:00-18:00</t>
  </si>
  <si>
    <t>50.0075303</t>
  </si>
  <si>
    <t>15.7715683</t>
  </si>
  <si>
    <t>ZaKlíčovem1</t>
  </si>
  <si>
    <t>LukášRoubal</t>
  </si>
  <si>
    <t>roubal@autowallis.cz</t>
  </si>
  <si>
    <t>Po-Pá:08:00-19:00,So:09:00-14:00</t>
  </si>
  <si>
    <t>50.1225272</t>
  </si>
  <si>
    <t>14.5099706</t>
  </si>
  <si>
    <t>208/2021</t>
  </si>
  <si>
    <t>AutosalonKlokočkaCentruma.s.</t>
  </si>
  <si>
    <t>Karlovarská660</t>
  </si>
  <si>
    <t>Praha6-Řepy</t>
  </si>
  <si>
    <t>JanČejka-Škoda,PetrHudec-VW,LukášJansa-Audi</t>
  </si>
  <si>
    <t>jan.cejka@klokocka.cz,lukas.jansa@klokocka.cz,petr.hudec@klokocka.cz</t>
  </si>
  <si>
    <t>Škoda-JanČejka-724925746,VW-PetrHudec-607033438,Audi-Lukášjansa-607033431</t>
  </si>
  <si>
    <t>50.0767122</t>
  </si>
  <si>
    <t>14.2986622</t>
  </si>
  <si>
    <t>Borského989/1</t>
  </si>
  <si>
    <t>Praha5-Hlubočepy</t>
  </si>
  <si>
    <t>BarboraValentová</t>
  </si>
  <si>
    <t>barbora.valentova@klokocka.cz</t>
  </si>
  <si>
    <t>50.0335267</t>
  </si>
  <si>
    <t>14.3822814</t>
  </si>
  <si>
    <t>210/2021</t>
  </si>
  <si>
    <t>AUTONEJDLs.r.o.</t>
  </si>
  <si>
    <t>pojistneudalosti@autonejdl.cz</t>
  </si>
  <si>
    <t>Renault,Dacia,Škoda,Citroen</t>
  </si>
  <si>
    <t>49.3913619</t>
  </si>
  <si>
    <t>13.2757342</t>
  </si>
  <si>
    <t>K1.1.2023docházíkfůzisAutocentrumJanŠmucler,AutoNejdlzaniká.</t>
  </si>
  <si>
    <t>211/2021</t>
  </si>
  <si>
    <t>VVAUTO,s.r.o.</t>
  </si>
  <si>
    <t>Hrnčířská218</t>
  </si>
  <si>
    <t>EduardPravda</t>
  </si>
  <si>
    <t>pravda@vvauto.cz</t>
  </si>
  <si>
    <t>Po-Pá07:00-16:00</t>
  </si>
  <si>
    <t>49.9575558</t>
  </si>
  <si>
    <t>15.2851292</t>
  </si>
  <si>
    <t>213/2021</t>
  </si>
  <si>
    <t>AUTABOREKa.s.</t>
  </si>
  <si>
    <t>Pražská285</t>
  </si>
  <si>
    <t>JaromírŠára</t>
  </si>
  <si>
    <t>jaromir.sara@autaborek.cz</t>
  </si>
  <si>
    <t>Po-Pá:07:00-17:00</t>
  </si>
  <si>
    <t>49.0192131</t>
  </si>
  <si>
    <t>14.4966183</t>
  </si>
  <si>
    <t>214/2021</t>
  </si>
  <si>
    <t>JiříSoučeks.r.o.</t>
  </si>
  <si>
    <t>Jiráskovopředměstí899</t>
  </si>
  <si>
    <t>JindřichůvHradec</t>
  </si>
  <si>
    <t>JanBlecha</t>
  </si>
  <si>
    <t>jan.blecha@jirisoucek.cz</t>
  </si>
  <si>
    <t>725 411771</t>
  </si>
  <si>
    <t>Kia,Renault,Dacia</t>
  </si>
  <si>
    <t>Po-Pá:7:00-12:00-12:30-17:00</t>
  </si>
  <si>
    <t>49.1344797</t>
  </si>
  <si>
    <t>15.0114928</t>
  </si>
  <si>
    <t>216/2021</t>
  </si>
  <si>
    <t>Bodasys.r.o.</t>
  </si>
  <si>
    <t>Slavíkova113</t>
  </si>
  <si>
    <t>Jince</t>
  </si>
  <si>
    <t>JakubŘehák</t>
  </si>
  <si>
    <t>servis@bodasy.cz</t>
  </si>
  <si>
    <t>Po-Pá:8:00-12:00,13:00-17:00,So:9:00-12:00</t>
  </si>
  <si>
    <t>218/2021</t>
  </si>
  <si>
    <t>LakRacings.r.o.</t>
  </si>
  <si>
    <t>Chotíkov500</t>
  </si>
  <si>
    <t>Chotíkov</t>
  </si>
  <si>
    <t>PetrStaněk</t>
  </si>
  <si>
    <t>petr.stanek@lakracing.cz</t>
  </si>
  <si>
    <t>Po-Čt:7:00-17:00,Pá:7:00-15:00</t>
  </si>
  <si>
    <t>49.8020417</t>
  </si>
  <si>
    <t>13.3074517</t>
  </si>
  <si>
    <t>všechnavozidla,Tesla</t>
  </si>
  <si>
    <t>219/2021</t>
  </si>
  <si>
    <t>AUTOŠEVČÍKc.z.,spol.sr.o.</t>
  </si>
  <si>
    <t>ČeskéVrbné2379</t>
  </si>
  <si>
    <t>PetrŘíha</t>
  </si>
  <si>
    <t>riha@autosevcik.cz</t>
  </si>
  <si>
    <t>725 914 838   </t>
  </si>
  <si>
    <t>49.0017122</t>
  </si>
  <si>
    <t>14.4482442</t>
  </si>
  <si>
    <t>Dopravní35</t>
  </si>
  <si>
    <t>Strakonice</t>
  </si>
  <si>
    <t>JiříDub</t>
  </si>
  <si>
    <t>dub@autosevcik.cz               </t>
  </si>
  <si>
    <t>777 207319</t>
  </si>
  <si>
    <t>Po-Pá:07:00-17:00,So:08:00-12:00</t>
  </si>
  <si>
    <t>49.2580244</t>
  </si>
  <si>
    <t>13.9147544</t>
  </si>
  <si>
    <t>Rožmberská1219</t>
  </si>
  <si>
    <t>Prachatice</t>
  </si>
  <si>
    <t>TomášJanoušek</t>
  </si>
  <si>
    <t>janousek@autosevcik.cz</t>
  </si>
  <si>
    <t>777 207344  </t>
  </si>
  <si>
    <t>49.0184333</t>
  </si>
  <si>
    <t>13.9959181</t>
  </si>
  <si>
    <t>Vinařického961/II</t>
  </si>
  <si>
    <t>Vodňany</t>
  </si>
  <si>
    <t>JakubKummel</t>
  </si>
  <si>
    <t>kummel@autosevcik.cz</t>
  </si>
  <si>
    <t>725 460230 </t>
  </si>
  <si>
    <t>49.1409519</t>
  </si>
  <si>
    <t>14.182740</t>
  </si>
  <si>
    <t>Špidrova119</t>
  </si>
  <si>
    <t>PetrSladovník</t>
  </si>
  <si>
    <t>sladovnik@autosevcik.cz</t>
  </si>
  <si>
    <t>Po-Pá:07:00-17:00,So:08:00-11:00</t>
  </si>
  <si>
    <t>49.0549661</t>
  </si>
  <si>
    <t>13.7933381</t>
  </si>
  <si>
    <t>220/2021</t>
  </si>
  <si>
    <t>DOLÁKs.r.o.</t>
  </si>
  <si>
    <t>Evropská126</t>
  </si>
  <si>
    <t>Dubno</t>
  </si>
  <si>
    <t>RadekDanda</t>
  </si>
  <si>
    <t>radek.danda@dolak.cz                </t>
  </si>
  <si>
    <t>725 857 078</t>
  </si>
  <si>
    <t>Toyota+ostatníznačky</t>
  </si>
  <si>
    <t>Po-Pá:7:00-16:00,So:09:00-12:00</t>
  </si>
  <si>
    <t>49.6949303</t>
  </si>
  <si>
    <t>14.0326975</t>
  </si>
  <si>
    <t>ZaŠkodovkou801/1</t>
  </si>
  <si>
    <t>KryštofPravda</t>
  </si>
  <si>
    <t>krystof.pravda@dolak.cz             </t>
  </si>
  <si>
    <t>725 089 574</t>
  </si>
  <si>
    <t>49.0037733</t>
  </si>
  <si>
    <t>14.4514572</t>
  </si>
  <si>
    <t>Soběslavská2861</t>
  </si>
  <si>
    <t>PavelRohlík</t>
  </si>
  <si>
    <t>pavel.rohlik@dolak.cz                 </t>
  </si>
  <si>
    <t>602 365915</t>
  </si>
  <si>
    <t>49.4013664</t>
  </si>
  <si>
    <t>14.6883189</t>
  </si>
  <si>
    <t>Šobrova2097/1</t>
  </si>
  <si>
    <t>BohumilHrdlička</t>
  </si>
  <si>
    <t>bohumil.hrdlicka@dolak.cz                   </t>
  </si>
  <si>
    <t>728 694 791</t>
  </si>
  <si>
    <t>49.3042264</t>
  </si>
  <si>
    <t>14.1580725</t>
  </si>
  <si>
    <t>ULetiště1074/2</t>
  </si>
  <si>
    <t>Plzeň3</t>
  </si>
  <si>
    <t>ŠtěpánBednář</t>
  </si>
  <si>
    <t>stepan.bednar@dolak.cz             </t>
  </si>
  <si>
    <t>606 941 925</t>
  </si>
  <si>
    <t>49.7282342</t>
  </si>
  <si>
    <t>13.3432633</t>
  </si>
  <si>
    <t>221/2021</t>
  </si>
  <si>
    <t>MANITECHUherskéHradiště,s.r.o.</t>
  </si>
  <si>
    <t>Moravníky1392</t>
  </si>
  <si>
    <t>RomanMikulčík</t>
  </si>
  <si>
    <t>nehody@manitech-uh.cz</t>
  </si>
  <si>
    <t>49.0774614</t>
  </si>
  <si>
    <t>17.4813681</t>
  </si>
  <si>
    <t>222/2021</t>
  </si>
  <si>
    <t>AUTOKřížs.r.o.</t>
  </si>
  <si>
    <t>ProkopaVelikého646</t>
  </si>
  <si>
    <t>Domažlice</t>
  </si>
  <si>
    <t>JanaKřížová</t>
  </si>
  <si>
    <t>jana.krizova@autakriz.cz</t>
  </si>
  <si>
    <t>Po-Pá:7:30-12:00,12:45-16:15,So:09:00-11:00</t>
  </si>
  <si>
    <t>49.44068</t>
  </si>
  <si>
    <t>12.93634</t>
  </si>
  <si>
    <t>225/2021</t>
  </si>
  <si>
    <t>AUTONEJDLKLATOVYs.r.o.</t>
  </si>
  <si>
    <t>K1.1.2023docházíkfůzisAutocentrumJanŠmucler,AutoNejdlKlatovyzaniká.</t>
  </si>
  <si>
    <t>226/2021</t>
  </si>
  <si>
    <t>HSMOTOs.r.o.</t>
  </si>
  <si>
    <t>Měšická1993/2</t>
  </si>
  <si>
    <t>Suzuki,Jawa,MotoMorini</t>
  </si>
  <si>
    <t>Po-Pá:9:00-17:00</t>
  </si>
  <si>
    <t>49.40236</t>
  </si>
  <si>
    <t>14.6162</t>
  </si>
  <si>
    <t>Motoservis</t>
  </si>
  <si>
    <t>49.4043586</t>
  </si>
  <si>
    <t>14.6866408</t>
  </si>
  <si>
    <t>46981756</t>
  </si>
  <si>
    <t>LITON,spol.s.r.o.</t>
  </si>
  <si>
    <t>Litohoř200</t>
  </si>
  <si>
    <t>Litohoř</t>
  </si>
  <si>
    <t>PetrJelínek</t>
  </si>
  <si>
    <t>jelinek130@seznam.cz</t>
  </si>
  <si>
    <t>228/2022</t>
  </si>
  <si>
    <t>HyundaiLXMmotorss.r.o.</t>
  </si>
  <si>
    <t>Revoluční2108/108</t>
  </si>
  <si>
    <t>VladimírJahoda</t>
  </si>
  <si>
    <t>vladimir.jahoda@hyundailxm.cz</t>
  </si>
  <si>
    <t>737 242992</t>
  </si>
  <si>
    <t>49.6314</t>
  </si>
  <si>
    <t>18.14179</t>
  </si>
  <si>
    <t>Beskydská151</t>
  </si>
  <si>
    <t>AlešDrozd</t>
  </si>
  <si>
    <t>ales.drozd@hyundailxm.cz</t>
  </si>
  <si>
    <t>739 664651</t>
  </si>
  <si>
    <t>49.58157</t>
  </si>
  <si>
    <t>18.32307</t>
  </si>
  <si>
    <t>RadekWicker</t>
  </si>
  <si>
    <t>radek.wicker@hyundailxm.cz   </t>
  </si>
  <si>
    <t>604 959586</t>
  </si>
  <si>
    <t>49.8316369</t>
  </si>
  <si>
    <t>18.1813978</t>
  </si>
  <si>
    <t>232/2022</t>
  </si>
  <si>
    <t>POSEIDONJH,spol.sr.o.</t>
  </si>
  <si>
    <t>NáměstíEmyDestinové27</t>
  </si>
  <si>
    <t>StrážnadNežárkou</t>
  </si>
  <si>
    <t>JiříMlsna</t>
  </si>
  <si>
    <t>mlsna.j@seznam.cz</t>
  </si>
  <si>
    <t>Po-Pá:8:00-16:00</t>
  </si>
  <si>
    <t>49.0698431</t>
  </si>
  <si>
    <t>14.9053997</t>
  </si>
  <si>
    <t>233/2022</t>
  </si>
  <si>
    <t>SAMOHÝLMBa.s.</t>
  </si>
  <si>
    <t>třídaTomášeBati532</t>
  </si>
  <si>
    <t>DanielPlášek</t>
  </si>
  <si>
    <t>nehody@samohylmb.cz</t>
  </si>
  <si>
    <t>MB</t>
  </si>
  <si>
    <t>Po-Pá:08:00-19:00</t>
  </si>
  <si>
    <t>49.2177153</t>
  </si>
  <si>
    <t>17.6290347</t>
  </si>
  <si>
    <t>234/2022</t>
  </si>
  <si>
    <t>AUTOLAKYZAJÍCs.r.o.</t>
  </si>
  <si>
    <t>Školní22</t>
  </si>
  <si>
    <t>Most-Rudolice</t>
  </si>
  <si>
    <t>LucieZajícová</t>
  </si>
  <si>
    <t>autolakyzajic@seznam.cz</t>
  </si>
  <si>
    <t>50.54266</t>
  </si>
  <si>
    <t>13.73188</t>
  </si>
  <si>
    <t>235/2022</t>
  </si>
  <si>
    <t>AutoSkořepa</t>
  </si>
  <si>
    <t>DolníNovosadská60/76</t>
  </si>
  <si>
    <t>Olomouc-NovéSady</t>
  </si>
  <si>
    <t>JanSkořepa</t>
  </si>
  <si>
    <t>auto.skorepa@email.cz</t>
  </si>
  <si>
    <t>49.6532</t>
  </si>
  <si>
    <t>17.24202</t>
  </si>
  <si>
    <t>236/2022</t>
  </si>
  <si>
    <t>DirectautoPraha,s.r.o.</t>
  </si>
  <si>
    <t>Chodecká2341/2</t>
  </si>
  <si>
    <t>Praha6</t>
  </si>
  <si>
    <t>Nehodovécentrum</t>
  </si>
  <si>
    <t>nehody.praha-strahov@direct-auto.cz</t>
  </si>
  <si>
    <t>705 789 780</t>
  </si>
  <si>
    <t>Broumarská1503</t>
  </si>
  <si>
    <t>Info.praha@direct-auto.cz</t>
  </si>
  <si>
    <t>50.0838144</t>
  </si>
  <si>
    <t>14.3842367</t>
  </si>
  <si>
    <t>Od.1.1.2023značkaKIApouzejakoneuautorizovanýservis.Od21.5.2024směrujemevšechnyznačkynavšechnypražsképobočkyDA.</t>
  </si>
  <si>
    <t>50.1037772</t>
  </si>
  <si>
    <t>14.5565553</t>
  </si>
  <si>
    <t>Od21.5.2024směrujemevšechnyznačkynavšechnypražsképobočkyDA.</t>
  </si>
  <si>
    <t>237/2022</t>
  </si>
  <si>
    <t>AUTOHlaváčeka.s.</t>
  </si>
  <si>
    <t>Týnecká669/5</t>
  </si>
  <si>
    <t>Olomouc-Holice</t>
  </si>
  <si>
    <t>LýskováJitka</t>
  </si>
  <si>
    <t>lyskova@hlavacek.cz</t>
  </si>
  <si>
    <t>Škoda,VW,Audi,Kia</t>
  </si>
  <si>
    <t>Po-Pá:06:30-18:00</t>
  </si>
  <si>
    <t>49.5744961</t>
  </si>
  <si>
    <t>17.2994908</t>
  </si>
  <si>
    <t>Nedošín125</t>
  </si>
  <si>
    <t>Litomyšl</t>
  </si>
  <si>
    <t>TomášHolomek</t>
  </si>
  <si>
    <t>tomas.holomek@hlavacek.cz</t>
  </si>
  <si>
    <t>49.8825356</t>
  </si>
  <si>
    <t>16.2926069</t>
  </si>
  <si>
    <t>Plumlovská183</t>
  </si>
  <si>
    <t>PavlaZahradníková</t>
  </si>
  <si>
    <t>zahradnikova@hlavacek.cz</t>
  </si>
  <si>
    <t>Kia</t>
  </si>
  <si>
    <t>49.4718333</t>
  </si>
  <si>
    <t>17.0803075</t>
  </si>
  <si>
    <t>Těšínská3012/93</t>
  </si>
  <si>
    <t>Opava-Předměstí</t>
  </si>
  <si>
    <t>MichalSondel</t>
  </si>
  <si>
    <t>sondel@hlavacek.cz</t>
  </si>
  <si>
    <t>49.9286350</t>
  </si>
  <si>
    <t>17.9349139</t>
  </si>
  <si>
    <t>238/2022</t>
  </si>
  <si>
    <t>AUTO3000s.r.o.</t>
  </si>
  <si>
    <t>Hornická1613</t>
  </si>
  <si>
    <t>JanKříž</t>
  </si>
  <si>
    <t>jankriz@auto3000.cz</t>
  </si>
  <si>
    <t>777275 714</t>
  </si>
  <si>
    <t>50.1774569</t>
  </si>
  <si>
    <t>12.6560233</t>
  </si>
  <si>
    <t>240/2022</t>
  </si>
  <si>
    <t>AutocentrumLeošMalík</t>
  </si>
  <si>
    <t>Plhovská320</t>
  </si>
  <si>
    <t>Náchod</t>
  </si>
  <si>
    <t>LeošMalík</t>
  </si>
  <si>
    <t>servis@auto-malik.net</t>
  </si>
  <si>
    <t>50.4180836</t>
  </si>
  <si>
    <t>16.1655475</t>
  </si>
  <si>
    <t>241/2022</t>
  </si>
  <si>
    <t>Bc.PetrPilát</t>
  </si>
  <si>
    <t>NaKarlově107</t>
  </si>
  <si>
    <t>Benešov</t>
  </si>
  <si>
    <t>PetrPilát</t>
  </si>
  <si>
    <t>info@zmizeno.cz</t>
  </si>
  <si>
    <t>Od28.8.2023přerušenodoodvolání,zdravotnídůvody/operace.Zmapyjejmažu.</t>
  </si>
  <si>
    <t>242/2022</t>
  </si>
  <si>
    <t>JiříSvěrák-AUTOESO</t>
  </si>
  <si>
    <t>Rybník254</t>
  </si>
  <si>
    <t>Rybník</t>
  </si>
  <si>
    <t>JiříSvěrák</t>
  </si>
  <si>
    <t>autoeso@cominnet.cz</t>
  </si>
  <si>
    <t>49.8844278</t>
  </si>
  <si>
    <t>16.4771519</t>
  </si>
  <si>
    <t>243/2022</t>
  </si>
  <si>
    <t>AUTOKOMPLEXOLOMOUCs.r.o.</t>
  </si>
  <si>
    <t>Svatoplukova963/14</t>
  </si>
  <si>
    <t>Litovel</t>
  </si>
  <si>
    <t>JosefŽák</t>
  </si>
  <si>
    <t>zak@autokomplex-ol.cz</t>
  </si>
  <si>
    <t>Po-Pá:8:00-16:30</t>
  </si>
  <si>
    <t>49.6914042</t>
  </si>
  <si>
    <t>17.0724050</t>
  </si>
  <si>
    <t>Leštínská32</t>
  </si>
  <si>
    <t>Zábřeh</t>
  </si>
  <si>
    <t>VladimírTill</t>
  </si>
  <si>
    <t>till@autokomplex-ol.cz</t>
  </si>
  <si>
    <t>49.8750811</t>
  </si>
  <si>
    <t>16.8942664</t>
  </si>
  <si>
    <t>244/2022</t>
  </si>
  <si>
    <t>CanoCar,s.r.o.</t>
  </si>
  <si>
    <t>Olomoucká176</t>
  </si>
  <si>
    <t>Brno-Černovice</t>
  </si>
  <si>
    <t>ZbyněkVrána</t>
  </si>
  <si>
    <t>zbynek.vrana@canocar.cz</t>
  </si>
  <si>
    <t>Suzuki,Lada,UAZ</t>
  </si>
  <si>
    <t>49.1841928</t>
  </si>
  <si>
    <t>16.6617375</t>
  </si>
  <si>
    <t>245/2022</t>
  </si>
  <si>
    <t>AutoLoverss.r.o.</t>
  </si>
  <si>
    <t>Žižkova703/72</t>
  </si>
  <si>
    <t>RadekŠimák</t>
  </si>
  <si>
    <t>simak@auto-lovers.cz</t>
  </si>
  <si>
    <t>50.651809209426</t>
  </si>
  <si>
    <t>14.018589447393</t>
  </si>
  <si>
    <t>246/2022</t>
  </si>
  <si>
    <t>CMNs.r.o.</t>
  </si>
  <si>
    <t>Tržní3130/3b</t>
  </si>
  <si>
    <t>PřerovI-Město</t>
  </si>
  <si>
    <t>servis.prerov@cmnauto.cz</t>
  </si>
  <si>
    <t>KrejčíPavel</t>
  </si>
  <si>
    <t>Renault,Dacia,Ostatníznačky</t>
  </si>
  <si>
    <t>Po-Pá:07:30-17:00,So:08:00-12:00</t>
  </si>
  <si>
    <t>49.4530050</t>
  </si>
  <si>
    <t>17.4382564</t>
  </si>
  <si>
    <t>Grmelova2008/13</t>
  </si>
  <si>
    <t>Ostrava-MariánskéHory</t>
  </si>
  <si>
    <t>ŽurováRenata</t>
  </si>
  <si>
    <t>servis.ostrava@cmnauto.cz</t>
  </si>
  <si>
    <t>49.8341936</t>
  </si>
  <si>
    <t>18.2490528</t>
  </si>
  <si>
    <t>247/2022</t>
  </si>
  <si>
    <t>AutosetCentrumČRpluss.r.o.</t>
  </si>
  <si>
    <t>Lidická166</t>
  </si>
  <si>
    <t>Třinec-StaréMěsto</t>
  </si>
  <si>
    <t>RadekBielesz</t>
  </si>
  <si>
    <t>radek.bielesz@autoset.cz</t>
  </si>
  <si>
    <t>737 215045</t>
  </si>
  <si>
    <t>Po-Pá:07:30-17:00</t>
  </si>
  <si>
    <t>49.6763692</t>
  </si>
  <si>
    <t>18.6669758</t>
  </si>
  <si>
    <t>Michálkovická1932</t>
  </si>
  <si>
    <t>MonikaHeisigová</t>
  </si>
  <si>
    <t>monika.heisigova@autoset.cz</t>
  </si>
  <si>
    <t>737 215 046</t>
  </si>
  <si>
    <t>49.8442264</t>
  </si>
  <si>
    <t>18.3093300</t>
  </si>
  <si>
    <t>JurijeGagarina1589/2a</t>
  </si>
  <si>
    <t>Havířov-Bludovickýkopec</t>
  </si>
  <si>
    <t>LukášPohludka</t>
  </si>
  <si>
    <t>lukas.pohludka@autoset.cz</t>
  </si>
  <si>
    <t>731 444 901</t>
  </si>
  <si>
    <t>49.7671903</t>
  </si>
  <si>
    <t>18.4564411</t>
  </si>
  <si>
    <t>Tř.Těreškovové2347/50</t>
  </si>
  <si>
    <t>Karviná</t>
  </si>
  <si>
    <t>VáclavSiuda</t>
  </si>
  <si>
    <t>vaclavsiuda@vastoil.cz</t>
  </si>
  <si>
    <t>604 803 253</t>
  </si>
  <si>
    <t>49.8589944</t>
  </si>
  <si>
    <t>18.5546831</t>
  </si>
  <si>
    <t>248/2022</t>
  </si>
  <si>
    <t>AutoVrbovkas.r.o.</t>
  </si>
  <si>
    <t>TomášČernák</t>
  </si>
  <si>
    <t>50.6779575</t>
  </si>
  <si>
    <t>14.5404900</t>
  </si>
  <si>
    <t>249/2022</t>
  </si>
  <si>
    <t>DoktorDůleks.r.o.</t>
  </si>
  <si>
    <t>Pospíšilova1236/18a</t>
  </si>
  <si>
    <t>DagmarKozáková</t>
  </si>
  <si>
    <t>direct@doktor-dulek.cz</t>
  </si>
  <si>
    <t>50.2143514</t>
  </si>
  <si>
    <t>15.8461875</t>
  </si>
  <si>
    <t>Původníemail:servis@doktor-dulek.cz,změna062023.PRD</t>
  </si>
  <si>
    <t>250/2022</t>
  </si>
  <si>
    <t>AUTOSERVISMIPs.r.o.</t>
  </si>
  <si>
    <t>Vilsnická74/6</t>
  </si>
  <si>
    <t>Děčín7</t>
  </si>
  <si>
    <t>kancelar@mipauto.cz</t>
  </si>
  <si>
    <t>50.7564653</t>
  </si>
  <si>
    <t>14.1901606</t>
  </si>
  <si>
    <t>252/2022</t>
  </si>
  <si>
    <t>AutosalonKlokočkaBetas.r.o.</t>
  </si>
  <si>
    <t>petr.novotny@klokocka.cz</t>
  </si>
  <si>
    <t>253/2022</t>
  </si>
  <si>
    <t>JosefDvořák-AutoopravnaPegas</t>
  </si>
  <si>
    <t>Úvoz1286/9</t>
  </si>
  <si>
    <t>ZbyněkBábor</t>
  </si>
  <si>
    <t>info@autoopravnapegas.cz</t>
  </si>
  <si>
    <t>49.306758</t>
  </si>
  <si>
    <t>16.532395</t>
  </si>
  <si>
    <t>254/2022</t>
  </si>
  <si>
    <t>AutosalonKudrnas.r.o.</t>
  </si>
  <si>
    <t>Příčná1245</t>
  </si>
  <si>
    <t>RadimFromelius</t>
  </si>
  <si>
    <t>fromelius@autokudrna.cz</t>
  </si>
  <si>
    <t>Škoda,Kia,Ostatníznačky</t>
  </si>
  <si>
    <t>49.8504333</t>
  </si>
  <si>
    <t>18.4170703</t>
  </si>
  <si>
    <t>255/2022</t>
  </si>
  <si>
    <t>AutodůmVránas.r.o.</t>
  </si>
  <si>
    <t>Železničářů1492/3</t>
  </si>
  <si>
    <t>tomas.puczok@autodum-vrana.cz</t>
  </si>
  <si>
    <t>Škoda,Ostatníznačky</t>
  </si>
  <si>
    <t>TomášPuczok</t>
  </si>
  <si>
    <t>49.7899781</t>
  </si>
  <si>
    <t>18.4103661</t>
  </si>
  <si>
    <t>49.0791317</t>
  </si>
  <si>
    <t>17.4850269</t>
  </si>
  <si>
    <t>22.12.2021-změnaadresy(původní:ZaOlšávkou365)</t>
  </si>
  <si>
    <t>257/2022</t>
  </si>
  <si>
    <t>SAGAPRAHAs.r.o.</t>
  </si>
  <si>
    <t>Daimlerova2296/2</t>
  </si>
  <si>
    <t>Praha4-Chodov</t>
  </si>
  <si>
    <t>JanVlček,LumírHoleček</t>
  </si>
  <si>
    <t>jan.j.vlcek@rcm-saga.cz,lumir.holecek@rcm-saga.cz               </t>
  </si>
  <si>
    <t>50.0382269</t>
  </si>
  <si>
    <t>14.4949075</t>
  </si>
  <si>
    <t>Od3/2024změnanázvufirmyzpůvodního:Mercedes-BenzPRAHAs.r.o.</t>
  </si>
  <si>
    <t>Bavorská2666/16</t>
  </si>
  <si>
    <t>Praha5-Stodůlky</t>
  </si>
  <si>
    <t>VladimírBoev,KarelHoleček</t>
  </si>
  <si>
    <t>vladimir.boev@rcm-saga.cz,karel.holecek@rcm-saga.cz                 </t>
  </si>
  <si>
    <t>50.0549558</t>
  </si>
  <si>
    <t>14.3153169</t>
  </si>
  <si>
    <t>259/2022</t>
  </si>
  <si>
    <t>KODECAR,spol.sr.o.</t>
  </si>
  <si>
    <t>NadPorubkou2355</t>
  </si>
  <si>
    <t>AlešPudel</t>
  </si>
  <si>
    <t>pudel@kodecar.cz</t>
  </si>
  <si>
    <t>Mitsubishi,MG,Mazda,Mercedes-Benz</t>
  </si>
  <si>
    <t>49.8210033</t>
  </si>
  <si>
    <t>18.1785542</t>
  </si>
  <si>
    <t>260/2022</t>
  </si>
  <si>
    <t>AutoMalčev-LenkaMalčevová</t>
  </si>
  <si>
    <t>Rostoklaty8</t>
  </si>
  <si>
    <t>Rostoklaty</t>
  </si>
  <si>
    <t>LenkaMalčevová</t>
  </si>
  <si>
    <t>lenka@automalcev.cz</t>
  </si>
  <si>
    <t>50.0761525</t>
  </si>
  <si>
    <t>14.8018839</t>
  </si>
  <si>
    <t xml:space="preserve"> DIRECT</t>
  </si>
  <si>
    <t>261/2022</t>
  </si>
  <si>
    <t>Jakub Hrdina - Autonation</t>
  </si>
  <si>
    <t>Na Zlaté stezce 937</t>
  </si>
  <si>
    <t>Dobříš</t>
  </si>
  <si>
    <t>Jakub Hrdina</t>
  </si>
  <si>
    <t>servis@autonation.cz</t>
  </si>
  <si>
    <t>Po-Pá: 8:00-16:00</t>
  </si>
  <si>
    <t>49.7917597</t>
  </si>
  <si>
    <t>14.1815494</t>
  </si>
  <si>
    <t>13.11.2023 jsem poslal výpověď, ukončení spolupráce je k 1.1.2024.</t>
  </si>
  <si>
    <t>262/2022</t>
  </si>
  <si>
    <t>JosefLesák-AutoservisLesák</t>
  </si>
  <si>
    <t>Mořičovská251</t>
  </si>
  <si>
    <t>Ostrov</t>
  </si>
  <si>
    <t>JosefLesák</t>
  </si>
  <si>
    <t>pneukv@seznam.cz</t>
  </si>
  <si>
    <t>50.3003992</t>
  </si>
  <si>
    <t>12.9636756</t>
  </si>
  <si>
    <t>264/2022</t>
  </si>
  <si>
    <t>MMCARGroups.r.o.</t>
  </si>
  <si>
    <t>Malá43/6</t>
  </si>
  <si>
    <t>49.7360483</t>
  </si>
  <si>
    <t>13.3492919</t>
  </si>
  <si>
    <t>20-50</t>
  </si>
  <si>
    <t>PICK–UPservisapřistavenínáhradníhovozidlapřiopravě(má-linaněhoklientnárok)poPlzniZDARMA</t>
  </si>
  <si>
    <t>265/2022</t>
  </si>
  <si>
    <t>JE&amp;NE,spol.sr.o.</t>
  </si>
  <si>
    <t>Branka506/36</t>
  </si>
  <si>
    <t>Brno-Komín</t>
  </si>
  <si>
    <t>jene@jene.cz</t>
  </si>
  <si>
    <t>Po-Pá:08:00-16:00</t>
  </si>
  <si>
    <t>49.2204742</t>
  </si>
  <si>
    <t>16.5500564</t>
  </si>
  <si>
    <t>266/2022</t>
  </si>
  <si>
    <t>LoudaAutoa.s.</t>
  </si>
  <si>
    <t>Hněvkovského603/81</t>
  </si>
  <si>
    <t>PetrHejtmánek</t>
  </si>
  <si>
    <t>petr.hejtmanek@louda.cz</t>
  </si>
  <si>
    <t>Škoda,VW,Seat,Cupra</t>
  </si>
  <si>
    <t>49.1671067</t>
  </si>
  <si>
    <t>16.6296094</t>
  </si>
  <si>
    <t>Dimitrovova1110/2</t>
  </si>
  <si>
    <t>Svitavy</t>
  </si>
  <si>
    <t>TomášKadlec</t>
  </si>
  <si>
    <t>servissvi@louda.cz</t>
  </si>
  <si>
    <t>49.7547031</t>
  </si>
  <si>
    <t>16.4652592</t>
  </si>
  <si>
    <t>Hradecká555</t>
  </si>
  <si>
    <t>JakubPelech</t>
  </si>
  <si>
    <t>jakub.pelech@louda.cz</t>
  </si>
  <si>
    <t>Škoda,VW,Audi,Mazda</t>
  </si>
  <si>
    <t>50.0542983</t>
  </si>
  <si>
    <t>15.7689397</t>
  </si>
  <si>
    <t>Teplého2692</t>
  </si>
  <si>
    <t>LukášPelc</t>
  </si>
  <si>
    <t>lukas.pelc@louda.cz</t>
  </si>
  <si>
    <t>50.0274656</t>
  </si>
  <si>
    <t>15.7629106</t>
  </si>
  <si>
    <t>Halvíčkova158</t>
  </si>
  <si>
    <t>Kolín-Nebovidy</t>
  </si>
  <si>
    <t>JanMatoušek</t>
  </si>
  <si>
    <t>jan.matousek@louda.cz</t>
  </si>
  <si>
    <t>Škoda,Seat,Hyundai,Ford</t>
  </si>
  <si>
    <t>50.0044783</t>
  </si>
  <si>
    <t>15.2372636</t>
  </si>
  <si>
    <t>Choťánky166</t>
  </si>
  <si>
    <t>MichalKmoch</t>
  </si>
  <si>
    <t>michal.kmoch@louda.cz</t>
  </si>
  <si>
    <t>50.1450103</t>
  </si>
  <si>
    <t>15.1709719</t>
  </si>
  <si>
    <t>Kolbenova891/37</t>
  </si>
  <si>
    <t>KarelToupal</t>
  </si>
  <si>
    <t>karel.toupal@louda.cz</t>
  </si>
  <si>
    <t>50.1083258</t>
  </si>
  <si>
    <t>14.5483992</t>
  </si>
  <si>
    <t>Českobrodská42</t>
  </si>
  <si>
    <t>Praha-DolníPočernice</t>
  </si>
  <si>
    <t>PetrRezler-Mazda,Ford,VáclavNýč-Hyundai</t>
  </si>
  <si>
    <t>petr.rezler@louda.cz,vaclav.nyc@louda.cz</t>
  </si>
  <si>
    <t>703858828-V.Nýč,703858838-P.Rezler</t>
  </si>
  <si>
    <t>Hyundai,Mazda,Ford</t>
  </si>
  <si>
    <t>50.0821481</t>
  </si>
  <si>
    <t>14.5897081</t>
  </si>
  <si>
    <t>Tanvaldská1585</t>
  </si>
  <si>
    <t>MilanČacha</t>
  </si>
  <si>
    <t>milan.cacha@louda.cz</t>
  </si>
  <si>
    <t>VW,Audi,Seat</t>
  </si>
  <si>
    <t>50.7551058</t>
  </si>
  <si>
    <t>15.0804247</t>
  </si>
  <si>
    <t>Teplická346</t>
  </si>
  <si>
    <t>Děčín-Bynov</t>
  </si>
  <si>
    <t>MiroslavŠír</t>
  </si>
  <si>
    <t>miroslav.sir@louda.cz</t>
  </si>
  <si>
    <t>50.7810608</t>
  </si>
  <si>
    <t>14.1470739</t>
  </si>
  <si>
    <t>Pobočkauzavřenak30.9.2024.</t>
  </si>
  <si>
    <t>ÚstínadLabem-Trmice</t>
  </si>
  <si>
    <t>50.6497892</t>
  </si>
  <si>
    <t>14.0034836</t>
  </si>
  <si>
    <t>Dvořákova83</t>
  </si>
  <si>
    <t>Krupka-NovéModlany</t>
  </si>
  <si>
    <t>AnetaKubíková</t>
  </si>
  <si>
    <t>aneta.kubikova@louda.cz</t>
  </si>
  <si>
    <t>Škoda,VW,Seat,Audi</t>
  </si>
  <si>
    <t>50.6621611</t>
  </si>
  <si>
    <t>13.8743486</t>
  </si>
  <si>
    <t>Teplice</t>
  </si>
  <si>
    <t>KarelZucha</t>
  </si>
  <si>
    <t>karel.zucha@louda.cz</t>
  </si>
  <si>
    <t>50.6581008</t>
  </si>
  <si>
    <t>13.8644111</t>
  </si>
  <si>
    <t>UStaréTrati1733/5</t>
  </si>
  <si>
    <t>TomášHolický</t>
  </si>
  <si>
    <t>tomas.holicky@louda.cz</t>
  </si>
  <si>
    <t>48.9930144</t>
  </si>
  <si>
    <t>14.4575108</t>
  </si>
  <si>
    <t>Písecká382</t>
  </si>
  <si>
    <t>49.2679131</t>
  </si>
  <si>
    <t>13.9148886</t>
  </si>
  <si>
    <t>Znojemská4461/86a</t>
  </si>
  <si>
    <t>PavelKosztolányi</t>
  </si>
  <si>
    <t>pkosztolanyi@automaca.cz</t>
  </si>
  <si>
    <t>Škoda,Seat,Cupra,Fiat</t>
  </si>
  <si>
    <t>49.3808258</t>
  </si>
  <si>
    <t>15.5909581</t>
  </si>
  <si>
    <t>Praha5-Zličín</t>
  </si>
  <si>
    <t>info.servis@rpz.cz</t>
  </si>
  <si>
    <t>50.0503353</t>
  </si>
  <si>
    <t>14.2916950</t>
  </si>
  <si>
    <t>268/2022</t>
  </si>
  <si>
    <t>RTDTruckserviss.r.o.</t>
  </si>
  <si>
    <t>Nám.Svobody16</t>
  </si>
  <si>
    <t>Dubí-Mstišov</t>
  </si>
  <si>
    <t>JakubKlaban</t>
  </si>
  <si>
    <t>jakub.klaban@rtd-truck.cz</t>
  </si>
  <si>
    <t>269/2022</t>
  </si>
  <si>
    <t>AUTONOMAs.r.o.</t>
  </si>
  <si>
    <t>Karlovarská6</t>
  </si>
  <si>
    <t>Doksy</t>
  </si>
  <si>
    <t>JaroslavNobilis</t>
  </si>
  <si>
    <t>autonoma@autonoma.cz</t>
  </si>
  <si>
    <t>50.1237075</t>
  </si>
  <si>
    <t>14.0399158</t>
  </si>
  <si>
    <t>271/2022</t>
  </si>
  <si>
    <t>AutolakovnaBTTOs.r.o.</t>
  </si>
  <si>
    <t>NaLánech1</t>
  </si>
  <si>
    <t>MartinDoseděl</t>
  </si>
  <si>
    <t>martin.dosedel@btto.cz</t>
  </si>
  <si>
    <t>spec</t>
  </si>
  <si>
    <t>Původnísmlouvač.133/2020-BTTOs.r.o..,IČ27545121.Od2023převedenonanovoufirmuTAVAK,resp.AutolakovnaBTTO.</t>
  </si>
  <si>
    <t>Heydukova511</t>
  </si>
  <si>
    <t>Polička</t>
  </si>
  <si>
    <t>49.7120503</t>
  </si>
  <si>
    <t>16.2530356</t>
  </si>
  <si>
    <t>272/2022</t>
  </si>
  <si>
    <t>AUTOMOTIVE ZONE s.r.o.</t>
  </si>
  <si>
    <t>Náchodská 2030/252</t>
  </si>
  <si>
    <t>Praha 9 - Horní Počernice</t>
  </si>
  <si>
    <t>Sněhota</t>
  </si>
  <si>
    <t>info@automotivezone.cz</t>
  </si>
  <si>
    <t>50.1179850</t>
  </si>
  <si>
    <t>14.6476989</t>
  </si>
  <si>
    <t>Ukončení činnosti k 31.12.2023. Oznámení od jednatele p. Kašpara emailem ze dne 24.1.2024.</t>
  </si>
  <si>
    <t>273/2022</t>
  </si>
  <si>
    <t>AutocentrumTelnices.r.o.</t>
  </si>
  <si>
    <t>Draha448</t>
  </si>
  <si>
    <t>Telnice</t>
  </si>
  <si>
    <t>autocentrumtelnice@seznam.cz</t>
  </si>
  <si>
    <t>49.0965089</t>
  </si>
  <si>
    <t>16.7154086</t>
  </si>
  <si>
    <t>proflotiluRohlík.czaleiveřejný</t>
  </si>
  <si>
    <t>274/2022</t>
  </si>
  <si>
    <t>TOMservices.r.o.</t>
  </si>
  <si>
    <t>Platěnice56</t>
  </si>
  <si>
    <t>Moravany</t>
  </si>
  <si>
    <t>JaroslavMatěna</t>
  </si>
  <si>
    <t>matena@tomservice.cz</t>
  </si>
  <si>
    <t>50.0042097</t>
  </si>
  <si>
    <t>15.9450650</t>
  </si>
  <si>
    <t>276/2023</t>
  </si>
  <si>
    <t>ASPAUTOSKLO-SERVIS-PLUSs.r.o.</t>
  </si>
  <si>
    <t>NaValech5509/11</t>
  </si>
  <si>
    <t>JiříDostál</t>
  </si>
  <si>
    <t>777154 479</t>
  </si>
  <si>
    <t>49.8359175</t>
  </si>
  <si>
    <t>18.1902072</t>
  </si>
  <si>
    <t>Uvozidelstarších5tiletbudouprimárněpoužíványkopravámalternativníkvalitativněsrovnatelnénáhradnídíly(dodávanénapř.ELIT,AUTOKELLYapod.).</t>
  </si>
  <si>
    <t>278/2023</t>
  </si>
  <si>
    <t>BOSPORautos.r.o.</t>
  </si>
  <si>
    <t>Průmyslová829</t>
  </si>
  <si>
    <t>Kosmonosy</t>
  </si>
  <si>
    <t>MarekKálecký</t>
  </si>
  <si>
    <t>servis@bospor.cz</t>
  </si>
  <si>
    <t>50.4305114</t>
  </si>
  <si>
    <t>14.9337406</t>
  </si>
  <si>
    <t>279/2023</t>
  </si>
  <si>
    <t>AUTOMIMAs.r.o.</t>
  </si>
  <si>
    <t>Bochenkova2987/26</t>
  </si>
  <si>
    <t>MarekMetz</t>
  </si>
  <si>
    <t>servis@automima.cz</t>
  </si>
  <si>
    <t>49.9410986</t>
  </si>
  <si>
    <t>17.8877133</t>
  </si>
  <si>
    <t>280/2023</t>
  </si>
  <si>
    <t>AUTO-SAKUs.r.o.</t>
  </si>
  <si>
    <t>Václavskénám.253</t>
  </si>
  <si>
    <t>Unhošť</t>
  </si>
  <si>
    <t>tomas@saku.cz</t>
  </si>
  <si>
    <t>50.0845028</t>
  </si>
  <si>
    <t>14.1316436</t>
  </si>
  <si>
    <t>281/2023</t>
  </si>
  <si>
    <t>AutoslužbyČeskýBrods.r.o.</t>
  </si>
  <si>
    <t>ProkopaVelikého1312</t>
  </si>
  <si>
    <t>ČeskýBrod</t>
  </si>
  <si>
    <t>info@autosluzbycb.cz</t>
  </si>
  <si>
    <t>50.0713844</t>
  </si>
  <si>
    <t>14.8636856</t>
  </si>
  <si>
    <t>283/2023</t>
  </si>
  <si>
    <t>ElánAuto-Motos.r.o.</t>
  </si>
  <si>
    <t>Jarošovská1337</t>
  </si>
  <si>
    <t>MiroslavŠíma</t>
  </si>
  <si>
    <t>autolakovna.elan@seznam.cz</t>
  </si>
  <si>
    <t>49.1551983</t>
  </si>
  <si>
    <t>15.0188017</t>
  </si>
  <si>
    <t>284/2023</t>
  </si>
  <si>
    <t>AUTOMamuts.r.o.</t>
  </si>
  <si>
    <t>Dukelskýchhrdinů2738</t>
  </si>
  <si>
    <t>RadekFišer</t>
  </si>
  <si>
    <t>radek.fiser@automamut.cz</t>
  </si>
  <si>
    <t>50.1090006</t>
  </si>
  <si>
    <t>13.7102731</t>
  </si>
  <si>
    <t>Prokopova430</t>
  </si>
  <si>
    <t>50.1010089</t>
  </si>
  <si>
    <t>13.7280986</t>
  </si>
  <si>
    <t>285/2023</t>
  </si>
  <si>
    <t>ORŠULAs.r.o.</t>
  </si>
  <si>
    <t>Blanenská1858/109</t>
  </si>
  <si>
    <t>PavelOršula</t>
  </si>
  <si>
    <t>p.orsula@seznam.cz</t>
  </si>
  <si>
    <t>49.3163189</t>
  </si>
  <si>
    <t>16.5444075</t>
  </si>
  <si>
    <t>ZaOlšávkou365</t>
  </si>
  <si>
    <t>TomášHrazdílek</t>
  </si>
  <si>
    <t>t.hrazdilek@jih2000.cz</t>
  </si>
  <si>
    <t>49.0551578</t>
  </si>
  <si>
    <t>17.4670314</t>
  </si>
  <si>
    <t>287/2023</t>
  </si>
  <si>
    <t>Autorals.r.o.</t>
  </si>
  <si>
    <t>Tupesy35</t>
  </si>
  <si>
    <t>Radošovice</t>
  </si>
  <si>
    <t>RadekVítkovský</t>
  </si>
  <si>
    <t>info@autolakovna-la.cz</t>
  </si>
  <si>
    <t>49.0085706</t>
  </si>
  <si>
    <t>14.0309528</t>
  </si>
  <si>
    <t>Od23.4.2024změnanázvuzAutolakovnaLaziště,Lakovna,SpiesHecker</t>
  </si>
  <si>
    <t>288/2023</t>
  </si>
  <si>
    <t>C-KODECAR,spol.sr.o.</t>
  </si>
  <si>
    <t>NadPorubou2355</t>
  </si>
  <si>
    <t>Citroen,DS,Peugeot</t>
  </si>
  <si>
    <t>289/2023</t>
  </si>
  <si>
    <t>DušanHoppAutoDílyServiss.r.o.</t>
  </si>
  <si>
    <t>Malénáměstí2278/2</t>
  </si>
  <si>
    <t>dusanhopp@seznam.cz</t>
  </si>
  <si>
    <t>ext.Lakovna</t>
  </si>
  <si>
    <t>290/2023</t>
  </si>
  <si>
    <t>AutoservisPotužákJan</t>
  </si>
  <si>
    <t>Polní319</t>
  </si>
  <si>
    <t>NováRole</t>
  </si>
  <si>
    <t>JanPotužák</t>
  </si>
  <si>
    <t>potuzak@atlas.cz</t>
  </si>
  <si>
    <t>50.2692233</t>
  </si>
  <si>
    <t>12.7912506</t>
  </si>
  <si>
    <t>291/2023</t>
  </si>
  <si>
    <t>KOVOWORKSRENOVATIONSs.r.o.</t>
  </si>
  <si>
    <t>293/2023</t>
  </si>
  <si>
    <t>Au-techs.r.o.</t>
  </si>
  <si>
    <t>Lidická1057</t>
  </si>
  <si>
    <t>HavlíčkůvBrod</t>
  </si>
  <si>
    <t>RomanKašpar</t>
  </si>
  <si>
    <t>roman.kaspar@au-tech.cz</t>
  </si>
  <si>
    <t>774 486321</t>
  </si>
  <si>
    <t>49.5935075</t>
  </si>
  <si>
    <t>15.5781564</t>
  </si>
  <si>
    <t>294/2023</t>
  </si>
  <si>
    <t>AUTONEVĚDĚL,s.r.o.</t>
  </si>
  <si>
    <t>Bratčice250</t>
  </si>
  <si>
    <t>Bratčice</t>
  </si>
  <si>
    <t>AlešNevěděl</t>
  </si>
  <si>
    <t>ales@autonevedel.cz</t>
  </si>
  <si>
    <t>49.0635289</t>
  </si>
  <si>
    <t>16.5272228</t>
  </si>
  <si>
    <t>295/2023</t>
  </si>
  <si>
    <t>JanLoskot</t>
  </si>
  <si>
    <t>Lužnická2922</t>
  </si>
  <si>
    <t>jan.loskot@volny.cz</t>
  </si>
  <si>
    <t>49.4110319</t>
  </si>
  <si>
    <t>14.6679936</t>
  </si>
  <si>
    <t>296/2023</t>
  </si>
  <si>
    <t>Au-techmotos.r.o.</t>
  </si>
  <si>
    <t>NaOkrajích39</t>
  </si>
  <si>
    <t>Spojil</t>
  </si>
  <si>
    <t>servis@autechmoto.cz</t>
  </si>
  <si>
    <t>TomášLežík</t>
  </si>
  <si>
    <t>50.0468528</t>
  </si>
  <si>
    <t>15.8202011</t>
  </si>
  <si>
    <t>200tislimitprohlídkyjeodzovenodaut.značkyHyundai.Od12/2024změnanázvuzjapakos.r.o.</t>
  </si>
  <si>
    <t>TomášMíchal</t>
  </si>
  <si>
    <t>774 756 836</t>
  </si>
  <si>
    <t>28811097</t>
  </si>
  <si>
    <t>MotocentrumCotkytles.r.o.</t>
  </si>
  <si>
    <t>Cotkytle38</t>
  </si>
  <si>
    <t>Cotkytle</t>
  </si>
  <si>
    <t>MilanHemrlík</t>
  </si>
  <si>
    <t>servis@motor-centrum.cz</t>
  </si>
  <si>
    <t>608 433612</t>
  </si>
  <si>
    <t>S.D.S.s.r.o.</t>
  </si>
  <si>
    <t>Třebovská126</t>
  </si>
  <si>
    <t>ÚstínadOrlicí</t>
  </si>
  <si>
    <t>servis@autosds.cz</t>
  </si>
  <si>
    <t>159/2021</t>
  </si>
  <si>
    <t>42214831</t>
  </si>
  <si>
    <t>MilanEliáš-Eli</t>
  </si>
  <si>
    <t>Řetová306</t>
  </si>
  <si>
    <t>Řetová</t>
  </si>
  <si>
    <t>TomášBlažek</t>
  </si>
  <si>
    <t>tomas.blazek@auto-eli.cz</t>
  </si>
  <si>
    <t>301/2023</t>
  </si>
  <si>
    <t>DirectautoPříbrams.r.o.</t>
  </si>
  <si>
    <t>Dubno121</t>
  </si>
  <si>
    <t>info.pribram@direct-auto.cz</t>
  </si>
  <si>
    <t>Mazda</t>
  </si>
  <si>
    <t>RomanBláha</t>
  </si>
  <si>
    <t>Mazda,Ostatníznačky(Férservis)</t>
  </si>
  <si>
    <t>49.6911461</t>
  </si>
  <si>
    <t>14.0398078</t>
  </si>
  <si>
    <t>AutorizaceMazda,Ostatníznačkybezomezení</t>
  </si>
  <si>
    <t>302/2023</t>
  </si>
  <si>
    <t>AUTOJEREMIÁŠOVAs.r.o.</t>
  </si>
  <si>
    <t>Jeremiášova2599/1a</t>
  </si>
  <si>
    <t>info@autojeremiasova.cz</t>
  </si>
  <si>
    <t>KIA,Mazda,Nissan,Mitsubishi</t>
  </si>
  <si>
    <t>50.0415825</t>
  </si>
  <si>
    <t>14.3357797</t>
  </si>
  <si>
    <t>303/2023</t>
  </si>
  <si>
    <t>Kolbenova859/15</t>
  </si>
  <si>
    <t>Praha9-Vysočany</t>
  </si>
  <si>
    <t>MichalKaut,TomášKorpa,AlešMiškovský</t>
  </si>
  <si>
    <t>nehody.praha@autobond.cz</t>
  </si>
  <si>
    <t>MichalKaut702152777,TomášKorpa602240701,AlešMiškovský602122285</t>
  </si>
  <si>
    <t>Toyota,KIA,Suzuki</t>
  </si>
  <si>
    <t>50.1106736</t>
  </si>
  <si>
    <t>14.5245497</t>
  </si>
  <si>
    <t>Studentská325</t>
  </si>
  <si>
    <t>KarlovyVary-Doubí</t>
  </si>
  <si>
    <t>EvaKřížková</t>
  </si>
  <si>
    <t>nehody.vary@autobond.cz</t>
  </si>
  <si>
    <t>50.2135594</t>
  </si>
  <si>
    <t>12.8277056</t>
  </si>
  <si>
    <t>Mitsubishikončík31.12.2023</t>
  </si>
  <si>
    <t>Koterovská170</t>
  </si>
  <si>
    <t>Plzeň-Slovany</t>
  </si>
  <si>
    <t>PetrZahradník</t>
  </si>
  <si>
    <t>petr.zahradnik@autobond.cz</t>
  </si>
  <si>
    <t>KIA,Ford</t>
  </si>
  <si>
    <t>49.7215869</t>
  </si>
  <si>
    <t>13.4148847</t>
  </si>
  <si>
    <t>celápobočkakončík31.12.2023</t>
  </si>
  <si>
    <t>Krmelínská762/12</t>
  </si>
  <si>
    <t>Ostrava-Hrabová</t>
  </si>
  <si>
    <t>LukášHánl,MartinKlor,MartinSlezák</t>
  </si>
  <si>
    <t>nehody.ostrava@autobond.cz</t>
  </si>
  <si>
    <t>Toyota,KIA,Suzuki,Lexus</t>
  </si>
  <si>
    <t>49.7783458</t>
  </si>
  <si>
    <t>18.2692789</t>
  </si>
  <si>
    <t>Subarukončík31.12.2023</t>
  </si>
  <si>
    <t>Opavská798/4</t>
  </si>
  <si>
    <t>Ostrava-Svinov</t>
  </si>
  <si>
    <t>JiříKotek</t>
  </si>
  <si>
    <t>jiri.kotek@autobond.cz</t>
  </si>
  <si>
    <t>Toyota</t>
  </si>
  <si>
    <t>49.8255167</t>
  </si>
  <si>
    <t>18.2072072</t>
  </si>
  <si>
    <t>Krnovská3025/108</t>
  </si>
  <si>
    <t>DanielBeneš</t>
  </si>
  <si>
    <t>daniel.benes@autobond.cz</t>
  </si>
  <si>
    <t>49.9465042</t>
  </si>
  <si>
    <t>17.8851347</t>
  </si>
  <si>
    <t>Frýdecká53</t>
  </si>
  <si>
    <t>PetrSmuž</t>
  </si>
  <si>
    <t>petr.smuz@autobond.cz</t>
  </si>
  <si>
    <t>49.6640439</t>
  </si>
  <si>
    <t>18.6546922</t>
  </si>
  <si>
    <t>Jesenická2831/2a</t>
  </si>
  <si>
    <t>PetrChaloupka</t>
  </si>
  <si>
    <t>petr.chaloupka@autobond.cz</t>
  </si>
  <si>
    <t>49.9571400</t>
  </si>
  <si>
    <t>16.9719072</t>
  </si>
  <si>
    <t>Fordkončík31.12.2023</t>
  </si>
  <si>
    <t>304/2023</t>
  </si>
  <si>
    <t>ARSERVISs.r.o.</t>
  </si>
  <si>
    <t>Jarošovská869</t>
  </si>
  <si>
    <t>JanaDvořáková</t>
  </si>
  <si>
    <t>pu@arservis.cz</t>
  </si>
  <si>
    <t>Škoda,Peugeot,Hyundai</t>
  </si>
  <si>
    <t>49.1546342</t>
  </si>
  <si>
    <t>15.0166781</t>
  </si>
  <si>
    <t>306/2023</t>
  </si>
  <si>
    <t>CaravanCentreMoravia,s.r.o.</t>
  </si>
  <si>
    <t>Kotojedy56</t>
  </si>
  <si>
    <t>servis@karavancm.cz</t>
  </si>
  <si>
    <t>EuraMobil,Mobilvetta,Laika,Etrusco,Forster,McLOUIS,VANTourer,FendtCARAVAN,ROLLERTEAM,CamperElnagh,CaravanInternational</t>
  </si>
  <si>
    <t>49.2775786</t>
  </si>
  <si>
    <t>17.4025961</t>
  </si>
  <si>
    <t>307/2023</t>
  </si>
  <si>
    <t>AutoservisHodousekspol.sr.o.</t>
  </si>
  <si>
    <t>NaPilníku307</t>
  </si>
  <si>
    <t>Štíty</t>
  </si>
  <si>
    <t>JaroslavHodousek</t>
  </si>
  <si>
    <t>servis@autoservis-hudousek.cz</t>
  </si>
  <si>
    <t>583 440 284</t>
  </si>
  <si>
    <t>49.9653322</t>
  </si>
  <si>
    <t>16.7783508</t>
  </si>
  <si>
    <t>308/2023</t>
  </si>
  <si>
    <t>BKpneus.r.o.</t>
  </si>
  <si>
    <t>NaBřezích112</t>
  </si>
  <si>
    <t>DolníBenešov</t>
  </si>
  <si>
    <t>JiříBallarin</t>
  </si>
  <si>
    <t>info@bkpneu.cz</t>
  </si>
  <si>
    <t>49.9196828</t>
  </si>
  <si>
    <t>18.1049822</t>
  </si>
  <si>
    <t>309/2023</t>
  </si>
  <si>
    <t>AutoservisKMKs.r.o.</t>
  </si>
  <si>
    <t>Cítolibská2679</t>
  </si>
  <si>
    <t>PetrKundela</t>
  </si>
  <si>
    <t>autoservis.kmk@ln.cz</t>
  </si>
  <si>
    <t>50.3470133</t>
  </si>
  <si>
    <t>13.8016800</t>
  </si>
  <si>
    <t>312/2023</t>
  </si>
  <si>
    <t>RudolfRaška-AutolakovnaŘečany</t>
  </si>
  <si>
    <t>ZaHumny411</t>
  </si>
  <si>
    <t>ŘečanynadLabem</t>
  </si>
  <si>
    <t>autolakovna-recany@seznam.cz</t>
  </si>
  <si>
    <t>50.0395836</t>
  </si>
  <si>
    <t>15.4705392</t>
  </si>
  <si>
    <t>313/2023</t>
  </si>
  <si>
    <t>Kodecar-Opavas.r.o.</t>
  </si>
  <si>
    <t>Krnovská233/133</t>
  </si>
  <si>
    <t>PatrikNowicky</t>
  </si>
  <si>
    <t>nowicky@kodecar.cz</t>
  </si>
  <si>
    <t>605 285525</t>
  </si>
  <si>
    <t>Mitsubishi,MG,Ostatníznačky</t>
  </si>
  <si>
    <t>49.9494578</t>
  </si>
  <si>
    <t>17.8758408</t>
  </si>
  <si>
    <t>315/2023</t>
  </si>
  <si>
    <t>KarosářCentrums.r.o.</t>
  </si>
  <si>
    <t>Sádek16</t>
  </si>
  <si>
    <t>VelkéHeraltice</t>
  </si>
  <si>
    <t>JanMrkva</t>
  </si>
  <si>
    <t>info@karosarcentrum.cz</t>
  </si>
  <si>
    <t>732 366 101</t>
  </si>
  <si>
    <t>49.953086</t>
  </si>
  <si>
    <t>17.7467347</t>
  </si>
  <si>
    <t>VelkéVelhartice</t>
  </si>
  <si>
    <t>316/2024</t>
  </si>
  <si>
    <t>AutoBílíks.r.o.</t>
  </si>
  <si>
    <t>bilikauto@seznam.cz</t>
  </si>
  <si>
    <t>48.8558708</t>
  </si>
  <si>
    <t>17.0365283</t>
  </si>
  <si>
    <t>Lakovna,Standox</t>
  </si>
  <si>
    <t>317/2024</t>
  </si>
  <si>
    <t>Reginaa.s.</t>
  </si>
  <si>
    <t>BratříŠtefanů492</t>
  </si>
  <si>
    <t>PavelLuňák</t>
  </si>
  <si>
    <t>jaroslav.lunak@autoregina.cz</t>
  </si>
  <si>
    <t>Citroen,Suzuki,Piaggio,Ostatníznačky</t>
  </si>
  <si>
    <t>50.2174008</t>
  </si>
  <si>
    <t>15.8733747</t>
  </si>
  <si>
    <t>318/2024</t>
  </si>
  <si>
    <t>AutoVikia.s.</t>
  </si>
  <si>
    <t>Letiště1876</t>
  </si>
  <si>
    <t>Otrokovice</t>
  </si>
  <si>
    <t>OldřichTihelka,MichaelaŠtěpáníková</t>
  </si>
  <si>
    <t>tihelka@autouh.cz,stepanikova@autouh.cz</t>
  </si>
  <si>
    <t>Tihelka603726245,Štěpaníková731991209</t>
  </si>
  <si>
    <t>Ford,Ostatníznačky</t>
  </si>
  <si>
    <t>49.1930400</t>
  </si>
  <si>
    <t>17.5235328</t>
  </si>
  <si>
    <t>Tř.T.Bati415</t>
  </si>
  <si>
    <t>MartinLiška,DagmarBaďurová</t>
  </si>
  <si>
    <t>service@autoviki.cz,service4@autoviki.cz</t>
  </si>
  <si>
    <t>Liška736646950,Baďurová731663784</t>
  </si>
  <si>
    <t>49.2157831</t>
  </si>
  <si>
    <t>17.6247764</t>
  </si>
  <si>
    <t>319/2024</t>
  </si>
  <si>
    <t>AutoHorskýs.r.o.</t>
  </si>
  <si>
    <t>Skladová623/17</t>
  </si>
  <si>
    <t>Plzeň-Koterov</t>
  </si>
  <si>
    <t>AlešTrávníček,JiříLifka</t>
  </si>
  <si>
    <t>info@autohorsky.cz</t>
  </si>
  <si>
    <t>49.7221700</t>
  </si>
  <si>
    <t>13.4131683</t>
  </si>
  <si>
    <t>320/2024</t>
  </si>
  <si>
    <t>CARPOINTs.r.o.</t>
  </si>
  <si>
    <t>Masarykova570</t>
  </si>
  <si>
    <t>Domažlice-BezděkovskéPředměstí</t>
  </si>
  <si>
    <t>IvoVojtko</t>
  </si>
  <si>
    <t>i.vojtko@carpoint.cz</t>
  </si>
  <si>
    <t>770 197819</t>
  </si>
  <si>
    <t>49.4333525</t>
  </si>
  <si>
    <t>12.9519047</t>
  </si>
  <si>
    <t>321/2024</t>
  </si>
  <si>
    <t>AutocentrumLukáš</t>
  </si>
  <si>
    <t>Masarykova752</t>
  </si>
  <si>
    <t>ValašskéMeziříčí</t>
  </si>
  <si>
    <t>VladimírJaník,LeošVelík</t>
  </si>
  <si>
    <t>nehody.vm@auto-lukas.cz</t>
  </si>
  <si>
    <t>Škoda,VW,KIA,Citroen</t>
  </si>
  <si>
    <t>49.4922358</t>
  </si>
  <si>
    <t>17.9620803</t>
  </si>
  <si>
    <t>Meziříčská2607</t>
  </si>
  <si>
    <t>RožnovpodRadhoštěm</t>
  </si>
  <si>
    <t>MiroslavMarek</t>
  </si>
  <si>
    <t>nehody.ro@auto-lukas.cz</t>
  </si>
  <si>
    <t>49.4594639</t>
  </si>
  <si>
    <t>18.1255972</t>
  </si>
  <si>
    <t>FilipDufek</t>
  </si>
  <si>
    <t>nehody.nj@auto-lukas.cz</t>
  </si>
  <si>
    <t>49.6002064</t>
  </si>
  <si>
    <t>18.0085183</t>
  </si>
  <si>
    <t>322/2024</t>
  </si>
  <si>
    <t>EKOMONT-Autoslužbys.r.o.</t>
  </si>
  <si>
    <t>Náchodská2030/252</t>
  </si>
  <si>
    <t>Praha9-HorníPočernice</t>
  </si>
  <si>
    <t>StanislavLank</t>
  </si>
  <si>
    <t>slank@ekomont-autosluzby.cz</t>
  </si>
  <si>
    <t>50.1178011</t>
  </si>
  <si>
    <t>14.6476883</t>
  </si>
  <si>
    <t>323/2024</t>
  </si>
  <si>
    <t>FRANCECAR,s.r.o.</t>
  </si>
  <si>
    <t>BratříŠtefanů978/81a</t>
  </si>
  <si>
    <t>RadekJelínek</t>
  </si>
  <si>
    <t>radek.jelinek@francecar.cz</t>
  </si>
  <si>
    <t>50.2190103</t>
  </si>
  <si>
    <t>15.8926869</t>
  </si>
  <si>
    <t>Dražkovice156</t>
  </si>
  <si>
    <t>Pardubice-Dražkovice</t>
  </si>
  <si>
    <t>FrantišekMázl</t>
  </si>
  <si>
    <t>frantisek.mazl@francecar.cz</t>
  </si>
  <si>
    <t>50.0086294</t>
  </si>
  <si>
    <t>15.7736125</t>
  </si>
  <si>
    <t>324/2024</t>
  </si>
  <si>
    <t>HyundaiHradecs.r.o.</t>
  </si>
  <si>
    <t>MariánMatlák</t>
  </si>
  <si>
    <t>karoseriehk@hyundaihk.cz</t>
  </si>
  <si>
    <t>325/2024</t>
  </si>
  <si>
    <t>P.S.Colorextras.r.o.</t>
  </si>
  <si>
    <t>Novoveská95/11</t>
  </si>
  <si>
    <t>PetrSmička</t>
  </si>
  <si>
    <t>p.s.colorextra@seznam.cz</t>
  </si>
  <si>
    <t>49.8336683</t>
  </si>
  <si>
    <t>18.2500242</t>
  </si>
  <si>
    <t>326/2024</t>
  </si>
  <si>
    <t>DYRŠMÍDs.r.o.</t>
  </si>
  <si>
    <t>Chomutovská2100</t>
  </si>
  <si>
    <t>Jirkov</t>
  </si>
  <si>
    <t>MartinHanzlík</t>
  </si>
  <si>
    <t>martin.hanzlik@dyrsmid.cz</t>
  </si>
  <si>
    <t>50.4908328</t>
  </si>
  <si>
    <t>13.4485089</t>
  </si>
  <si>
    <t>328/2024</t>
  </si>
  <si>
    <t>JosefFratrič-Opravavozidel</t>
  </si>
  <si>
    <t>Rolavská87/22</t>
  </si>
  <si>
    <t>KarolínaKindlová</t>
  </si>
  <si>
    <t>fratric.servis@gmail.com</t>
  </si>
  <si>
    <t>50.2751031</t>
  </si>
  <si>
    <t>12.7821536</t>
  </si>
  <si>
    <t>ext.Lakovna(lakujeuPotužáka)</t>
  </si>
  <si>
    <t>329/2024</t>
  </si>
  <si>
    <t>AutoPalaceButovices.r.o.</t>
  </si>
  <si>
    <t>Bucharova1186/16</t>
  </si>
  <si>
    <t>LukášCibulka</t>
  </si>
  <si>
    <t>nehody.butovice@autopalace.cz</t>
  </si>
  <si>
    <t>50.0549550</t>
  </si>
  <si>
    <t>14.3433561</t>
  </si>
  <si>
    <t>332/2024</t>
  </si>
  <si>
    <t>LexAutoTBs.r.o.</t>
  </si>
  <si>
    <t>NadPorubkou2390</t>
  </si>
  <si>
    <t>MartinKorytář</t>
  </si>
  <si>
    <t>martin.korytar@lexauto.cz</t>
  </si>
  <si>
    <t>49.8212969</t>
  </si>
  <si>
    <t>18.1760700</t>
  </si>
  <si>
    <t>333/2024</t>
  </si>
  <si>
    <t>ToyotaTsushoPrahas.r.o.</t>
  </si>
  <si>
    <t>Obchodní105</t>
  </si>
  <si>
    <t>Čestlice</t>
  </si>
  <si>
    <t>HoráčekJiří</t>
  </si>
  <si>
    <t>j.horacek@tsusho.cz,t.dzurba@tsusho.cz,f.sadilek@tsusho.cz</t>
  </si>
  <si>
    <t>50.0006753</t>
  </si>
  <si>
    <t>14.5762517</t>
  </si>
  <si>
    <t>Československéhoexilu544/3</t>
  </si>
  <si>
    <t>SuchanTomáš</t>
  </si>
  <si>
    <t>t.suchan@tsusho.cz</t>
  </si>
  <si>
    <t>50.0170361</t>
  </si>
  <si>
    <t>14.4053817</t>
  </si>
  <si>
    <t>LexusPrůhonice-ToyotaTsushoPrahas.r.o.</t>
  </si>
  <si>
    <t>KChotobuzi330</t>
  </si>
  <si>
    <t>DoležalMartin</t>
  </si>
  <si>
    <t>m.dolezal@lexuspruhonice.cz</t>
  </si>
  <si>
    <t>Lexus</t>
  </si>
  <si>
    <t>50.0006631</t>
  </si>
  <si>
    <t>14.5713739</t>
  </si>
  <si>
    <t>ZaDálnicí1/338</t>
  </si>
  <si>
    <t>StejskalMarek</t>
  </si>
  <si>
    <t>m.stejskal@tsusho.cz</t>
  </si>
  <si>
    <t>ToyotaProfessional</t>
  </si>
  <si>
    <t>49.9989225</t>
  </si>
  <si>
    <t>14.5758486</t>
  </si>
  <si>
    <t>334/2024</t>
  </si>
  <si>
    <t>AUTOZÁBRANAs.r.o.</t>
  </si>
  <si>
    <t>Ondřejov25</t>
  </si>
  <si>
    <t>Ondřejov</t>
  </si>
  <si>
    <t>PavelZábrana</t>
  </si>
  <si>
    <t>https://www.autozabrana.cz/</t>
  </si>
  <si>
    <t>49.42623</t>
  </si>
  <si>
    <t>15.2195</t>
  </si>
  <si>
    <t>336/2024</t>
  </si>
  <si>
    <t>ZdeněkValský-AutoservisValský</t>
  </si>
  <si>
    <t>KDolíkám116/3</t>
  </si>
  <si>
    <t>HradecKrálové-SvobodnéDvory</t>
  </si>
  <si>
    <t>ZdeněkValský</t>
  </si>
  <si>
    <t>ValskyZdenek@seznam.cz</t>
  </si>
  <si>
    <t>50.2260661</t>
  </si>
  <si>
    <t>15.7883894</t>
  </si>
  <si>
    <t>337/2024</t>
  </si>
  <si>
    <t>TC-HKspol.sr.o.</t>
  </si>
  <si>
    <t>ZaNádražím1561</t>
  </si>
  <si>
    <t>KostelecnadOrlicí</t>
  </si>
  <si>
    <t>PetrChadima</t>
  </si>
  <si>
    <t>chadima@tc-hk.cz</t>
  </si>
  <si>
    <t>602 564 903</t>
  </si>
  <si>
    <t>50.1132464</t>
  </si>
  <si>
    <t>16.2289847</t>
  </si>
  <si>
    <t>338/2024</t>
  </si>
  <si>
    <t>PYRAMIDAPrůhonices.r.o.</t>
  </si>
  <si>
    <t>UPyramidy721</t>
  </si>
  <si>
    <t>Průhonice</t>
  </si>
  <si>
    <t>VladimírMrázek</t>
  </si>
  <si>
    <t>vladimir.mrazek@pyramidapruhonice.cz</t>
  </si>
  <si>
    <t>Renault,Dacia,Alpina,Seat,Cupra</t>
  </si>
  <si>
    <t>50.0026725</t>
  </si>
  <si>
    <t>14.5692106</t>
  </si>
  <si>
    <t>vlastnílakovna</t>
  </si>
  <si>
    <t>Ostatníznačky</t>
  </si>
  <si>
    <t>Aut.servisRenault,Dacia,Alpina,Seat,Cupra.Vlastnílakovna.</t>
  </si>
  <si>
    <t>339/2024</t>
  </si>
  <si>
    <t>CARSETs.r.o.</t>
  </si>
  <si>
    <t>Krátká596/4</t>
  </si>
  <si>
    <t>Vyškov</t>
  </si>
  <si>
    <t>JiříBednář</t>
  </si>
  <si>
    <t>bednar@carset.cz</t>
  </si>
  <si>
    <t>49.2874989</t>
  </si>
  <si>
    <t>17.0062681</t>
  </si>
  <si>
    <t>340/2024</t>
  </si>
  <si>
    <t>MAGNUMCAR,a.s.</t>
  </si>
  <si>
    <t>Brněnská444/37</t>
  </si>
  <si>
    <t>RomanVaculčík</t>
  </si>
  <si>
    <t>roman.vaculcik@magnumcar.cz</t>
  </si>
  <si>
    <t>49.2671122</t>
  </si>
  <si>
    <t>16.9830622</t>
  </si>
  <si>
    <t>341/2024</t>
  </si>
  <si>
    <t>APCorse,s.r.o.</t>
  </si>
  <si>
    <t>Komerční548</t>
  </si>
  <si>
    <t>Nupaky</t>
  </si>
  <si>
    <t>PetrVávra</t>
  </si>
  <si>
    <t>petr@apcorse.cz</t>
  </si>
  <si>
    <t>49.9872089</t>
  </si>
  <si>
    <t>14.6007544</t>
  </si>
  <si>
    <t>342/2024</t>
  </si>
  <si>
    <t>KarpichCars.r.o.</t>
  </si>
  <si>
    <t>Praha10</t>
  </si>
  <si>
    <t>MartinKarpíšek</t>
  </si>
  <si>
    <t>karpisek@karpichcar.cz</t>
  </si>
  <si>
    <t>773 525243</t>
  </si>
  <si>
    <t>50.0647886</t>
  </si>
  <si>
    <t>14.4916242</t>
  </si>
  <si>
    <t>343/2024</t>
  </si>
  <si>
    <t>ProKoplik-AUTOs.r.o.</t>
  </si>
  <si>
    <t>Větrná103/24</t>
  </si>
  <si>
    <t>PřerovVI-Újezdec</t>
  </si>
  <si>
    <t>MartinaDostálová</t>
  </si>
  <si>
    <t>prokoplik@seznam.cz</t>
  </si>
  <si>
    <t>49.4327872</t>
  </si>
  <si>
    <t>17.4733725</t>
  </si>
  <si>
    <t>specpodminky</t>
  </si>
  <si>
    <t>345/2024</t>
  </si>
  <si>
    <t>AUTOKEJVALs.r.o.</t>
  </si>
  <si>
    <t>NaStezce465/1</t>
  </si>
  <si>
    <t>ZdeněkKučera</t>
  </si>
  <si>
    <t>ZK@autokejval.cz</t>
  </si>
  <si>
    <t>50.2496947</t>
  </si>
  <si>
    <t>12.8804283</t>
  </si>
  <si>
    <t>346/2024</t>
  </si>
  <si>
    <t>MotoparkOstravas.r.o.</t>
  </si>
  <si>
    <t>Opavská5637</t>
  </si>
  <si>
    <t>Ostrava-Třebovice</t>
  </si>
  <si>
    <t>Yamaha-LiborHavlas,Honda-DanielHarok</t>
  </si>
  <si>
    <t>servis-honda@motopark.cz,servis-yamaha@motopark.cz</t>
  </si>
  <si>
    <t>Honda-720950643,Yamaha-724250100</t>
  </si>
  <si>
    <t>Yamaha,Honda</t>
  </si>
  <si>
    <t>49.8246356</t>
  </si>
  <si>
    <t>18.2170789</t>
  </si>
  <si>
    <t>HondaseopravujepodIČ06699235MOTOOSTRAVA,YamahaseopravujepodIČ285872272MPOWER</t>
  </si>
  <si>
    <t>Dolníhejčínská350/31</t>
  </si>
  <si>
    <t>Olomouc9</t>
  </si>
  <si>
    <t>Yamaha-JiříKolář</t>
  </si>
  <si>
    <t>servis-yamahaol@motopark.cz</t>
  </si>
  <si>
    <t>725 090 325</t>
  </si>
  <si>
    <t>Yamaha</t>
  </si>
  <si>
    <t>49.6020953</t>
  </si>
  <si>
    <t>17.2446850</t>
  </si>
  <si>
    <t>Pasecká5575</t>
  </si>
  <si>
    <t>Honda-PavelŠulák</t>
  </si>
  <si>
    <t>servis-honda-zlin@motopark.cz</t>
  </si>
  <si>
    <t>725 300 518</t>
  </si>
  <si>
    <t>49.2416936</t>
  </si>
  <si>
    <t>17.6634597</t>
  </si>
  <si>
    <t>347/2024</t>
  </si>
  <si>
    <t>AutoJIPEs.r.o.</t>
  </si>
  <si>
    <t>MiloviceuHořic23</t>
  </si>
  <si>
    <t>Hořice</t>
  </si>
  <si>
    <t>TomášJiran</t>
  </si>
  <si>
    <t>jiran@autojipe.cz</t>
  </si>
  <si>
    <t>50.3278267</t>
  </si>
  <si>
    <t>15.6343819</t>
  </si>
  <si>
    <t>348/2024</t>
  </si>
  <si>
    <t>TRENDCARa.s.</t>
  </si>
  <si>
    <t>I.P.Pavlova120</t>
  </si>
  <si>
    <t>Olomouc-HorníLán</t>
  </si>
  <si>
    <t>LuděkKment-Toyota,Honda,MilanHrubý-Mitsubishi,Suzuki,PetrBezděk-Subaru</t>
  </si>
  <si>
    <t>ludek.kment@trendcar.cz,milan.hruby@trendcar.cz,petr.bezdek@trendcar.cz</t>
  </si>
  <si>
    <t>LuděkKment-737204732,MilanHrubý-737204731,PetrBezděk-733373614</t>
  </si>
  <si>
    <t>Subaru,Honda,Mitsubishi,Suzuki,Toyota</t>
  </si>
  <si>
    <t>49.5768369</t>
  </si>
  <si>
    <t>17.2254617</t>
  </si>
  <si>
    <t>Dukelská91</t>
  </si>
  <si>
    <t>PavelUrban</t>
  </si>
  <si>
    <t>pavel.urban@trendcar.cz</t>
  </si>
  <si>
    <t>49.6169858</t>
  </si>
  <si>
    <t>17.9933603</t>
  </si>
  <si>
    <t>349/2024</t>
  </si>
  <si>
    <t>DOKAR,spol.sr.o.</t>
  </si>
  <si>
    <t>UCihláře3559</t>
  </si>
  <si>
    <t>LukášAubrecht</t>
  </si>
  <si>
    <t>poj@fordhb.cz</t>
  </si>
  <si>
    <t>49.6189108</t>
  </si>
  <si>
    <t>15.5774983</t>
  </si>
  <si>
    <t>28618980</t>
  </si>
  <si>
    <t>AutocentrumMAXServiss.r.o.</t>
  </si>
  <si>
    <t>Bobrky2233</t>
  </si>
  <si>
    <t>ezechylpetr@seznam.cz</t>
  </si>
  <si>
    <t>3079368</t>
  </si>
  <si>
    <t>IvDvSERVISs.r.o.</t>
  </si>
  <si>
    <t>Průsečná500/1</t>
  </si>
  <si>
    <t>p.Dvořák</t>
  </si>
  <si>
    <t>j.dvorak@idservis.com</t>
  </si>
  <si>
    <t>148/2020</t>
  </si>
  <si>
    <t>29262666</t>
  </si>
  <si>
    <t>PEMotorss.r.o.</t>
  </si>
  <si>
    <t>Družstevní3392/5a</t>
  </si>
  <si>
    <t>VlastimilElis</t>
  </si>
  <si>
    <t>info@pemotors.cz</t>
  </si>
  <si>
    <t>149/2020</t>
  </si>
  <si>
    <t>Hyundai,Ford</t>
  </si>
  <si>
    <t>PRD</t>
  </si>
  <si>
    <t>353/2025</t>
  </si>
  <si>
    <t>Ing.MartinaMichaliková</t>
  </si>
  <si>
    <t>JanGrygrar</t>
  </si>
  <si>
    <t>354/2025</t>
  </si>
  <si>
    <t>LouwmanMotorPrahas.r.o.</t>
  </si>
  <si>
    <t>Sárská2664/3</t>
  </si>
  <si>
    <t>Bc.LucieDupalová</t>
  </si>
  <si>
    <t>l.dupalova@louwman.cz</t>
  </si>
  <si>
    <t>50.0527564</t>
  </si>
  <si>
    <t>14.2997744</t>
  </si>
  <si>
    <t>355/2025</t>
  </si>
  <si>
    <t>AUTOTREND,spol.sr.o.</t>
  </si>
  <si>
    <t>Českémládeže1101</t>
  </si>
  <si>
    <t>Liberec6</t>
  </si>
  <si>
    <t>JanWaldhauser,VítBondy</t>
  </si>
  <si>
    <t>jan.waldhauser@autotrendliberec.cz,vit.bondy@autotrendliberec.cz</t>
  </si>
  <si>
    <t>Škoda,SeatCupra,VW,VWužitkovo</t>
  </si>
  <si>
    <t>50.7434533</t>
  </si>
  <si>
    <t>15.0480692</t>
  </si>
  <si>
    <t>356/2025</t>
  </si>
  <si>
    <t>Uhlířská872/13</t>
  </si>
  <si>
    <t>357/2025</t>
  </si>
  <si>
    <t>RostislavSrnec</t>
  </si>
  <si>
    <t>Větrnýkopec202</t>
  </si>
  <si>
    <t>Jemnice</t>
  </si>
  <si>
    <t>VladimíraSrncová</t>
  </si>
  <si>
    <t>rostislav.srnec@quick.cz</t>
  </si>
  <si>
    <t>49.0143519</t>
  </si>
  <si>
    <t>15.5746186</t>
  </si>
  <si>
    <t>lakovna</t>
  </si>
  <si>
    <t>08951802</t>
  </si>
  <si>
    <t>AutoservisBERTs.r.o.-HubertKřesťan</t>
  </si>
  <si>
    <t>HamrynadSázavou410</t>
  </si>
  <si>
    <t>HamrynadSázavou</t>
  </si>
  <si>
    <t>HubertKřesťan</t>
  </si>
  <si>
    <t>hubertkr@autobert.cz</t>
  </si>
  <si>
    <t>01498002</t>
  </si>
  <si>
    <t>TDCarss.r.o.</t>
  </si>
  <si>
    <t>Nížkov260</t>
  </si>
  <si>
    <t>Nížkov</t>
  </si>
  <si>
    <t>FilipJaroš</t>
  </si>
  <si>
    <t>toufar.david@centrum.cz</t>
  </si>
  <si>
    <t>161/2021</t>
  </si>
  <si>
    <t>41590872</t>
  </si>
  <si>
    <t>OttoBojanovský</t>
  </si>
  <si>
    <t>Jabloňov10</t>
  </si>
  <si>
    <t>Bojanovska@seznam.cz</t>
  </si>
  <si>
    <t>002/2016</t>
  </si>
  <si>
    <t>28226101</t>
  </si>
  <si>
    <t>HSAutosdružení,s.r.o.</t>
  </si>
  <si>
    <t>UElektry888/3</t>
  </si>
  <si>
    <t>p.Hančl,p.Ševela</t>
  </si>
  <si>
    <t>info@hsautosdruzeni.cz</t>
  </si>
  <si>
    <t>Uvozidelstarších5tiletbudouprimárněpoužíványkopravámalternativníkvalitativněsrovnatelnénáhradnídíly</t>
  </si>
  <si>
    <t>D8/E55,Exit1,Zemědělská195</t>
  </si>
  <si>
    <t>HAVEX-autos.r.o. </t>
  </si>
  <si>
    <t>Lodžská814/24a</t>
  </si>
  <si>
    <t>bohnice.servis@havex.cz</t>
  </si>
  <si>
    <t>Škoda,Seat</t>
  </si>
  <si>
    <t>7:00-18:00|7:00-18:00|7:00-18:00|7:00-18:00|7:00-18:00|-|-</t>
  </si>
  <si>
    <t>052/2017</t>
  </si>
  <si>
    <t>61528901</t>
  </si>
  <si>
    <t>AutoservisNeumann</t>
  </si>
  <si>
    <t>Fučíkova617</t>
  </si>
  <si>
    <t>Raspenava</t>
  </si>
  <si>
    <t>LubošNeumann</t>
  </si>
  <si>
    <t>smedavan@volny.cz</t>
  </si>
  <si>
    <t>359/2025</t>
  </si>
  <si>
    <t>MKAutoserviss.r.o.</t>
  </si>
  <si>
    <t>Kolbenova159/5B</t>
  </si>
  <si>
    <t>VáclavSvoboda</t>
  </si>
  <si>
    <t>kolbenova@mkautoservis.cz</t>
  </si>
  <si>
    <t>50.1107336</t>
  </si>
  <si>
    <t>14.5100275</t>
  </si>
  <si>
    <t>Novoveská22</t>
  </si>
  <si>
    <t>Mratín</t>
  </si>
  <si>
    <t>VáclavSedlák</t>
  </si>
  <si>
    <t>info@mkautoservis.cz</t>
  </si>
  <si>
    <t>50.2038756</t>
  </si>
  <si>
    <t>14.5508342</t>
  </si>
  <si>
    <t>AUTOSERVISŠÁRAs.r.o.</t>
  </si>
  <si>
    <t>Vrchlického838</t>
  </si>
  <si>
    <t>Libochovice</t>
  </si>
  <si>
    <t>LenkaBrůnová</t>
  </si>
  <si>
    <t>saraservis@centrum.cz</t>
  </si>
  <si>
    <t>50.4018417</t>
  </si>
  <si>
    <t>14.0307681</t>
  </si>
  <si>
    <t>Vlastnílakovna</t>
  </si>
  <si>
    <t>360/2025</t>
  </si>
  <si>
    <t>KristianHartoš</t>
  </si>
  <si>
    <t>Opavská72</t>
  </si>
  <si>
    <t>Hněvošice</t>
  </si>
  <si>
    <t>kristian.h@seznam.cz</t>
  </si>
  <si>
    <t>50.0028528</t>
  </si>
  <si>
    <t>18.0077003</t>
  </si>
  <si>
    <t>361/2025</t>
  </si>
  <si>
    <t>BRNOCAR,a.s.</t>
  </si>
  <si>
    <t>Palackéhotřída483/155</t>
  </si>
  <si>
    <t>TomášPalčík</t>
  </si>
  <si>
    <t>palcik@brnocar.cz</t>
  </si>
  <si>
    <t>Ford,Citroen,Peugeot,Jaecoo,Omodo</t>
  </si>
  <si>
    <t>PO–PA:7:30–18:00</t>
  </si>
  <si>
    <t>49.2340039</t>
  </si>
  <si>
    <t>16.5872922</t>
  </si>
  <si>
    <t>080/2017</t>
  </si>
  <si>
    <t>24704954</t>
  </si>
  <si>
    <t>ABautos.r.o.</t>
  </si>
  <si>
    <t>Puchmajerova9</t>
  </si>
  <si>
    <t>JanBureš</t>
  </si>
  <si>
    <t>autoservis@autoservis-bures.cz</t>
  </si>
  <si>
    <t>KeHřbitovu1</t>
  </si>
  <si>
    <t>Cheb</t>
  </si>
  <si>
    <t>M.Pechová,P.Hošková</t>
  </si>
  <si>
    <t>opravy.ch@autoschoner.cz</t>
  </si>
  <si>
    <t>ŠKODA,VW</t>
  </si>
  <si>
    <t>50.0861769</t>
  </si>
  <si>
    <t>12.4006136</t>
  </si>
  <si>
    <t>121/2019</t>
  </si>
  <si>
    <t>AutoservisLUCA</t>
  </si>
  <si>
    <t>Kateřinská235</t>
  </si>
  <si>
    <t>Liberec-StrážnadNisou</t>
  </si>
  <si>
    <t>VeronikaŠtuplová,LubošMaruškevič</t>
  </si>
  <si>
    <t>kancelar@autoservisluca.cz</t>
  </si>
  <si>
    <t>167/2021</t>
  </si>
  <si>
    <t>65531477</t>
  </si>
  <si>
    <t>PetrMikeš-GarageMotrio </t>
  </si>
  <si>
    <t>Šachetní241</t>
  </si>
  <si>
    <t>StaréSedlo</t>
  </si>
  <si>
    <t>PetrMikeš</t>
  </si>
  <si>
    <t>petr.mikes@garagemotrio.cz</t>
  </si>
  <si>
    <t>194/2021</t>
  </si>
  <si>
    <t>BoháčMilans.r.o.</t>
  </si>
  <si>
    <t>ObceLežáků814</t>
  </si>
  <si>
    <t>Chrudim</t>
  </si>
  <si>
    <t>VojtěchTesař</t>
  </si>
  <si>
    <t>vojtech.tesar@renault-chrudim.cz</t>
  </si>
  <si>
    <t>49.9374839</t>
  </si>
  <si>
    <t>15.7965642</t>
  </si>
  <si>
    <t>364/2025</t>
  </si>
  <si>
    <t>AUTOCENTRÁLAs.r.o.</t>
  </si>
  <si>
    <t>Markvartovická1906/7</t>
  </si>
  <si>
    <t>Hlučín</t>
  </si>
  <si>
    <t>VeronikaPeterková</t>
  </si>
  <si>
    <t>veronika.peterkova@autocentrala.cz</t>
  </si>
  <si>
    <t>49.8988600</t>
  </si>
  <si>
    <t>18.2050814</t>
  </si>
  <si>
    <t>Třebovická5534</t>
  </si>
  <si>
    <t>JanBortel</t>
  </si>
  <si>
    <t>jan.bortel@autocentrala.cz</t>
  </si>
  <si>
    <t>49.8277133</t>
  </si>
  <si>
    <t>18.1964736</t>
  </si>
  <si>
    <t>Ostravská1946/12</t>
  </si>
  <si>
    <t>Karviná-Fryštát</t>
  </si>
  <si>
    <t>LudvíkFilipczyk</t>
  </si>
  <si>
    <t>ludvik.filipczyk@autocentrala.cz</t>
  </si>
  <si>
    <t>49.8539206</t>
  </si>
  <si>
    <t>18.5299456</t>
  </si>
  <si>
    <t>369/2025</t>
  </si>
  <si>
    <t>AutocentrumCARLACKs.r.o.</t>
  </si>
  <si>
    <t>Závodumíru306/184</t>
  </si>
  <si>
    <t>KarlovyVary-StaráRole</t>
  </si>
  <si>
    <t>JosefFratrič</t>
  </si>
  <si>
    <t>371/2025</t>
  </si>
  <si>
    <t>KAROSÁRNAOMAROs.r.o.</t>
  </si>
  <si>
    <t>OseknadBečvouč.401</t>
  </si>
  <si>
    <t>OseknadBečvou</t>
  </si>
  <si>
    <t>Mgr.DanielMatušenko</t>
  </si>
  <si>
    <t>matusenko@omaro.cz</t>
  </si>
  <si>
    <t>49.5112431</t>
  </si>
  <si>
    <t>17.5195469</t>
  </si>
  <si>
    <t>374/2025</t>
  </si>
  <si>
    <t>AutoRepairSystems,a.s.</t>
  </si>
  <si>
    <t>Usilnice949/11</t>
  </si>
  <si>
    <t>ŠárkaZemanová</t>
  </si>
  <si>
    <t>info@autorepairsystems.cz</t>
  </si>
  <si>
    <t>50.0881736</t>
  </si>
  <si>
    <t>14.3213606</t>
  </si>
  <si>
    <t>379/2025</t>
  </si>
  <si>
    <t>MiroslavČech</t>
  </si>
  <si>
    <t>Ledenecká-St.Pohůrka180</t>
  </si>
  <si>
    <t>StaráPohůrka</t>
  </si>
  <si>
    <t>380/2025</t>
  </si>
  <si>
    <t>AutocentrumSovjáks.r.o.</t>
  </si>
  <si>
    <t>Čeladná600</t>
  </si>
  <si>
    <t>Čeladná</t>
  </si>
  <si>
    <t>381/2025</t>
  </si>
  <si>
    <t>205/2021</t>
  </si>
  <si>
    <t>AUTAs.r.o.</t>
  </si>
  <si>
    <t>Žižkova660</t>
  </si>
  <si>
    <t>Příbram2</t>
  </si>
  <si>
    <t>LubošKašák</t>
  </si>
  <si>
    <t>lubos.kasak@auta.pb.cz </t>
  </si>
  <si>
    <t>Kia,Nissan,Opel</t>
  </si>
  <si>
    <t>Po-Pá08:00-18:00,So08:30-12:00</t>
  </si>
  <si>
    <t>49.6901064</t>
  </si>
  <si>
    <t>14.0293783</t>
  </si>
  <si>
    <t>388/2025</t>
  </si>
  <si>
    <t>AutolakovnaO+Us.r.o.</t>
  </si>
  <si>
    <t>Pratecká902/12b</t>
  </si>
  <si>
    <t>K01/2017</t>
  </si>
  <si>
    <t>27169642</t>
  </si>
  <si>
    <t>AutoQliniQs.r.o.</t>
  </si>
  <si>
    <t>Křivenická863/50</t>
  </si>
  <si>
    <t>Praha8-Čimice</t>
  </si>
  <si>
    <t>pí.Salaquardová</t>
  </si>
  <si>
    <t>info@qliniq.cz</t>
  </si>
  <si>
    <t>NA010/2020</t>
  </si>
  <si>
    <t>286891</t>
  </si>
  <si>
    <t>MasterTrucks.r.o.</t>
  </si>
  <si>
    <t>Nádražní640</t>
  </si>
  <si>
    <t>MěšiceuPrahy</t>
  </si>
  <si>
    <t>MartinPracný</t>
  </si>
  <si>
    <t>servis@mastertruck.cz</t>
  </si>
  <si>
    <t>NeautorizovanýNákladníservis</t>
  </si>
  <si>
    <t>všechnanákladní,přívěsy,návěsy</t>
  </si>
  <si>
    <t>Kvítkovická1386</t>
  </si>
  <si>
    <t>Napajedla</t>
  </si>
  <si>
    <t>RomanViceník</t>
  </si>
  <si>
    <t>roman.vicenik@vodarek-transport.cz</t>
  </si>
  <si>
    <t>Černásilnice</t>
  </si>
  <si>
    <t>RadekŽižka</t>
  </si>
  <si>
    <t>servishradiste@mastertruck.cz</t>
  </si>
  <si>
    <t>NA001/2017</t>
  </si>
  <si>
    <t>25352776</t>
  </si>
  <si>
    <t>KAR-mobils.r.o.</t>
  </si>
  <si>
    <t>Rolsberská638/66</t>
  </si>
  <si>
    <t>LubomírJordák,BřetislavHudeček</t>
  </si>
  <si>
    <t>lubomir.jordak@kar.cz,bretislav.hudecek@kar.cz</t>
  </si>
  <si>
    <t>všechnanákladnívozidla,autobusy,návěsy</t>
  </si>
  <si>
    <t>specializcenaIVECO(Ducatoapod.)</t>
  </si>
  <si>
    <t>Žerotínova830/63</t>
  </si>
  <si>
    <t>Vítkovická3257/7</t>
  </si>
  <si>
    <t>JiříLžičař,BřetislavHudeček</t>
  </si>
  <si>
    <t>martin.stiburek@kar.cz,bretislav.hudecek@kar.cz</t>
  </si>
  <si>
    <t>739 509 557</t>
  </si>
  <si>
    <t>Palackého1675/25</t>
  </si>
  <si>
    <t>6:30-14:30|6:30-14:30|6:30-14:30|6:30-14:30|6:30-14:30|-|-.</t>
  </si>
  <si>
    <t>PodNádražím1204/6</t>
  </si>
  <si>
    <t>Čáslav</t>
  </si>
  <si>
    <t>AlešBalcar,BřetislavHudeček</t>
  </si>
  <si>
    <t>pavel.stejskal@kar.cz,bretislav.hudecek@kar.cz</t>
  </si>
  <si>
    <t>6:00-14:00|6:00-14:00|6:00-14:00|6:00-14:00|6:00-14:00|-|-.</t>
  </si>
  <si>
    <t>NaOstrově177</t>
  </si>
  <si>
    <t>Bezručova1326/6</t>
  </si>
  <si>
    <t>JiříCycoň,BřetislavHudeček</t>
  </si>
  <si>
    <t>jiri.cycon@kar.cz,bretislav.hudecek@kar.cz</t>
  </si>
  <si>
    <t>6:00-18:00|6:00-18:00|6:00-18:00|6:00-18:00|6:00-18:00|-|-.</t>
  </si>
  <si>
    <t>Albrechtická1787/121</t>
  </si>
  <si>
    <t>Krnov</t>
  </si>
  <si>
    <t>MartinHöfer,BřetislavHudeček</t>
  </si>
  <si>
    <t>martin.hofer@kar.cz,bretislav.hudecek@kar.cz</t>
  </si>
  <si>
    <t>ŽlutýKopec1438/23</t>
  </si>
  <si>
    <t>Sokolohradská629</t>
  </si>
  <si>
    <t>Chotěboř</t>
  </si>
  <si>
    <t>JosefKotan,BřetislavHudeček</t>
  </si>
  <si>
    <t>josef.kotan@kar.cz,bretislav.hudecek@kar.cz</t>
  </si>
  <si>
    <t>Koželská679</t>
  </si>
  <si>
    <t>LedečnadSázavou</t>
  </si>
  <si>
    <t>JaroslavMisar,BřetislavHudeček</t>
  </si>
  <si>
    <t>jaroslav.misar@kar.cz,bretislav.hudecek@kar.cz</t>
  </si>
  <si>
    <t>Sloupno71</t>
  </si>
  <si>
    <t>Sloupno</t>
  </si>
  <si>
    <t>RadekŠebela,BřetislavHudeček</t>
  </si>
  <si>
    <t>radek.sebela@kar.cz,bretislav.hudecek@kar.cz</t>
  </si>
  <si>
    <t>NA002/2017</t>
  </si>
  <si>
    <t>60462710</t>
  </si>
  <si>
    <t>IvecoTruckCentrum,s.r.o.</t>
  </si>
  <si>
    <t>UMexika1310</t>
  </si>
  <si>
    <t>Nýřany</t>
  </si>
  <si>
    <t>OldřichKantner</t>
  </si>
  <si>
    <t>oldrich.kantner@ivecotc.cz</t>
  </si>
  <si>
    <t>nákladnívozidlaIVECO</t>
  </si>
  <si>
    <t>7:00-20:00|7:00-20:00|7:00-20:00|7:00-20:00|7:00-20:00|-|-. </t>
  </si>
  <si>
    <t>vypovězenozestranyservisuk31.10.</t>
  </si>
  <si>
    <t>NA003/2017</t>
  </si>
  <si>
    <t>47716711</t>
  </si>
  <si>
    <t>KERNCHEBs.r.o.</t>
  </si>
  <si>
    <t>Truhlářská1714/3,</t>
  </si>
  <si>
    <t>Ing.FrantišekPetránek</t>
  </si>
  <si>
    <t>servis@kern-cheb.cz</t>
  </si>
  <si>
    <t>7:00-21:00|7:00-21:00|7:00-21:00|7:00-21:00|7:00-21:00|8:00-13:00|-. </t>
  </si>
  <si>
    <t>NA005/2017</t>
  </si>
  <si>
    <t>25436309</t>
  </si>
  <si>
    <t>KOMERSIANORDS.r.o.</t>
  </si>
  <si>
    <t>Málkov70</t>
  </si>
  <si>
    <t>info@ivecochomutov.cz</t>
  </si>
  <si>
    <t>nákladníautaIVECO</t>
  </si>
  <si>
    <t>7:00-17:00|7:00-17:00|7:00-17:00|7:00-17:00|7:00-17:00|8:00-12:00|-. </t>
  </si>
  <si>
    <t>NA006/2017</t>
  </si>
  <si>
    <t>61055239</t>
  </si>
  <si>
    <t>Obchodní109</t>
  </si>
  <si>
    <t>PetrCtibůrek</t>
  </si>
  <si>
    <t>info.cz@volvo.com</t>
  </si>
  <si>
    <t>nákladnívozidlaVOLVO</t>
  </si>
  <si>
    <t>7:00-20:00|7:00-20:00|7:00-20:00|7:00-20:00|7:00-20:00|8:00-16:00|-. </t>
  </si>
  <si>
    <t>Obchodní277</t>
  </si>
  <si>
    <t>PeterPalko</t>
  </si>
  <si>
    <t>servis.praha@volvo.com</t>
  </si>
  <si>
    <t>nákladnívozidlaRENAULT</t>
  </si>
  <si>
    <t>Vlčkovická237/1</t>
  </si>
  <si>
    <t>servis.hradec@volvo.com</t>
  </si>
  <si>
    <t>7:00-20:00|7:00-20:00|7:00-20:00|7:00-20:00|7:00-20:00|7:00-15:00|-. </t>
  </si>
  <si>
    <t>UMexika1308</t>
  </si>
  <si>
    <t>servis.plzen@volvo.com</t>
  </si>
  <si>
    <t>377 183 470</t>
  </si>
  <si>
    <t>7:00-20:00|7:00-20:00|7:00-20:00|7:00-20:00|7:00-20:00|7:00-16:00|-. </t>
  </si>
  <si>
    <t>Plzeňská430</t>
  </si>
  <si>
    <t>Loděnice</t>
  </si>
  <si>
    <t>servis.lodenice@volvo.com</t>
  </si>
  <si>
    <t>724 483 209</t>
  </si>
  <si>
    <t>7:00-20:00|7:00-20:00|7:00-20:00|7:00-20:00|7:00-20:00|8:00-15:00|-. </t>
  </si>
  <si>
    <t>Přepeřská1602</t>
  </si>
  <si>
    <t>Turnov</t>
  </si>
  <si>
    <t>servis.turnov@volvo.com</t>
  </si>
  <si>
    <t>7:00-18:00|7:00-18:00|7:00-18:00|7:00-18:00|7:00-18:00|7:00-13:00|-. </t>
  </si>
  <si>
    <t>Žižkova731</t>
  </si>
  <si>
    <t>servis.usti@volvo.com</t>
  </si>
  <si>
    <t>7:00-20:00|7:00-20:00|7:00-20:00|7:00-20:00|7:00-20:00|7:00-14:00|-. </t>
  </si>
  <si>
    <t>CentralTradeParkD11573</t>
  </si>
  <si>
    <t>servis.humpolec@volvo.com</t>
  </si>
  <si>
    <t>7:00-18:00|7:00-18:00|7:00-18:00|7:00-18:00|7:00-18:00|7:00-14:00|-. </t>
  </si>
  <si>
    <t>256/2022</t>
  </si>
  <si>
    <t>TUkasČSAOa.s.</t>
  </si>
  <si>
    <t>Černokostelecká114/565</t>
  </si>
  <si>
    <t>recepce.csao@tukas.cz</t>
  </si>
  <si>
    <t>50.0768586</t>
  </si>
  <si>
    <t>14.5234081</t>
  </si>
  <si>
    <t>původníkontakty:Stanislav.Zachar@TUkas.cz,778 480952.Změna25112022.</t>
  </si>
  <si>
    <t>Řípská20</t>
  </si>
  <si>
    <t>Brno–Slatina</t>
  </si>
  <si>
    <t>servis.brno@volvo.com</t>
  </si>
  <si>
    <t>Vintrovna211/15</t>
  </si>
  <si>
    <t>Popůvky</t>
  </si>
  <si>
    <t>servis.popuvky@renault-trucks.com</t>
  </si>
  <si>
    <t>7:00-19:00|7:00-19:00|7:00-19:00|7:00-19:00|7:00-19:00|7:00-15:30|-. </t>
  </si>
  <si>
    <t>Moravní1636</t>
  </si>
  <si>
    <t>servis.otrokovice@volvo.com</t>
  </si>
  <si>
    <t>6:00-20:15|6:00-20:15|6:00-20:15|6:00-20:15|6:00-20:15|7:00-14:00|-. </t>
  </si>
  <si>
    <t>NaStatkách553</t>
  </si>
  <si>
    <t>servis.olomouc@volvo.com</t>
  </si>
  <si>
    <t>UPlnírny1140/1</t>
  </si>
  <si>
    <t>Havířov–ProstředníSuchá</t>
  </si>
  <si>
    <t>servis.havirov@volvo.com</t>
  </si>
  <si>
    <t>724 483 293</t>
  </si>
  <si>
    <t>6:00-20:00|6:00-20:00|6:00-20:00|6:00-20:00|6:00-20:00|7:00-15:00|-. </t>
  </si>
  <si>
    <t>Střádalů656</t>
  </si>
  <si>
    <t>Ostrava–Kunčičky</t>
  </si>
  <si>
    <t>servis.ostrava@renault-trucks.com</t>
  </si>
  <si>
    <t>286/2023</t>
  </si>
  <si>
    <t>ICOMtransporta.s.</t>
  </si>
  <si>
    <t>Jiráskova1424/78</t>
  </si>
  <si>
    <t>mbservis@icomtransport.cz</t>
  </si>
  <si>
    <t>Mercedes-Benz</t>
  </si>
  <si>
    <t>49.4034022</t>
  </si>
  <si>
    <t>15.5745131</t>
  </si>
  <si>
    <t>Zdibsko495</t>
  </si>
  <si>
    <t>Klecany</t>
  </si>
  <si>
    <t>servis.klecany@volvo.com</t>
  </si>
  <si>
    <t>Po-Pá07:00-20:00,So07:00-15:00</t>
  </si>
  <si>
    <t>50.16687</t>
  </si>
  <si>
    <t>14.39554</t>
  </si>
  <si>
    <t>NA007/2017</t>
  </si>
  <si>
    <t>26017555</t>
  </si>
  <si>
    <t>KOPYTRUCKs.r.o.</t>
  </si>
  <si>
    <t>Okružní1628</t>
  </si>
  <si>
    <t>p.Kopecký</t>
  </si>
  <si>
    <t>kopecky@kopy-truck.cz,loskot@kopy-truck.cz,svoboda@kopy-truck.cz,stepan@kopy-truck.cz</t>
  </si>
  <si>
    <t>603218508,603218863,603218771</t>
  </si>
  <si>
    <t>Daf</t>
  </si>
  <si>
    <t>6:00-21:15|6:00-21:15|6:00-21:15|6:00-21:15|6:00-21:15|6:30-12:00|-.</t>
  </si>
  <si>
    <t>NA008/2017</t>
  </si>
  <si>
    <t>Dornych116/65</t>
  </si>
  <si>
    <t>brno@agrotec.cz</t>
  </si>
  <si>
    <t>Iveco,užitkováFIAT</t>
  </si>
  <si>
    <t>Po–Pá7:00–20:00,So8:00–14:00</t>
  </si>
  <si>
    <t>ULékárny1337/5</t>
  </si>
  <si>
    <t>HorníSuchá</t>
  </si>
  <si>
    <t>hornisucha@agrotec.cz</t>
  </si>
  <si>
    <t>Po–Pá7:00–16:30,So8:00–13:00</t>
  </si>
  <si>
    <t>UDálnice2</t>
  </si>
  <si>
    <t>hustopece@agrotec.cz</t>
  </si>
  <si>
    <t>383/2025</t>
  </si>
  <si>
    <t>TomášOndráček</t>
  </si>
  <si>
    <t>Královická326</t>
  </si>
  <si>
    <t>Zápy</t>
  </si>
  <si>
    <t>Šternberská300</t>
  </si>
  <si>
    <t>zlin@agrotec.cz</t>
  </si>
  <si>
    <t>Po–Pá7:00–18:00,So8:00–13:00</t>
  </si>
  <si>
    <t>NA009/2018</t>
  </si>
  <si>
    <t>62915274</t>
  </si>
  <si>
    <t>NevaGroups.ro.</t>
  </si>
  <si>
    <t>průmyslovázónaMexiko,D5,exit93</t>
  </si>
  <si>
    <t>PetrStuchlík</t>
  </si>
  <si>
    <t>petr.stuchlik@nevagroup.cz</t>
  </si>
  <si>
    <t>DAF</t>
  </si>
  <si>
    <t>NA012/2021</t>
  </si>
  <si>
    <t>24204323</t>
  </si>
  <si>
    <t>ServisDopravníTechnikya.s.</t>
  </si>
  <si>
    <t>K přívozu2604/23</t>
  </si>
  <si>
    <t>PetrKučera</t>
  </si>
  <si>
    <t>kucera@sdt-me.cz</t>
  </si>
  <si>
    <t>Kögel,Kässbohrer,KRONE,Fliegl,SVAN</t>
  </si>
  <si>
    <t>NA004/2017</t>
  </si>
  <si>
    <t>Pražská330</t>
  </si>
  <si>
    <t>PetrHron</t>
  </si>
  <si>
    <t>servis.lodenice@ivecotc.cz</t>
  </si>
  <si>
    <t>731 689 404</t>
  </si>
  <si>
    <t>6:30-22:00|6:30-22:00|6:30-22:00|6:30-22:00|6:30-22:00|7:00-12:00|-. </t>
  </si>
  <si>
    <t>Pekárenská255/77</t>
  </si>
  <si>
    <t>servis.budejovice@volvo.com</t>
  </si>
  <si>
    <t>6:00-18:00|6:00-18:00|6:00-18:00|6:00-18:00|6:00-18:00|6:00-18:00|-. </t>
  </si>
  <si>
    <t>NA017/2021</t>
  </si>
  <si>
    <t>KAMEXTRANSPORT,s.r.o.</t>
  </si>
  <si>
    <t>Kostelanská2122</t>
  </si>
  <si>
    <t>MichaelaHrňová</t>
  </si>
  <si>
    <t>hrnova@kamex.cz</t>
  </si>
  <si>
    <t>49.0724481</t>
  </si>
  <si>
    <t>17.4233594</t>
  </si>
  <si>
    <t>NA018/2022</t>
  </si>
  <si>
    <t>JIPOCARTRANSPORT,s.r.o.</t>
  </si>
  <si>
    <t>Střítež3</t>
  </si>
  <si>
    <t>StřítežuJihlavy</t>
  </si>
  <si>
    <t>JiříStejnek</t>
  </si>
  <si>
    <t>jiri.stejnek@jipocar.cz</t>
  </si>
  <si>
    <t>49.4593158</t>
  </si>
  <si>
    <t>15.6128567</t>
  </si>
  <si>
    <t>NA019/2022</t>
  </si>
  <si>
    <t>VYDRUSspol.sr.o.</t>
  </si>
  <si>
    <t>Pivovarská382</t>
  </si>
  <si>
    <t>Králíky</t>
  </si>
  <si>
    <t>MichalNovák</t>
  </si>
  <si>
    <t>m.novak@vydrus.cz</t>
  </si>
  <si>
    <t>50.0930761</t>
  </si>
  <si>
    <t>16.7558022</t>
  </si>
  <si>
    <t>NA021/2022</t>
  </si>
  <si>
    <t>ServisRokas.r.o.</t>
  </si>
  <si>
    <t>Ústrašín68</t>
  </si>
  <si>
    <t>Ústrašín</t>
  </si>
  <si>
    <t>RomanStejskal</t>
  </si>
  <si>
    <t>stejskal@roka-servis.cz</t>
  </si>
  <si>
    <t>731 676 162</t>
  </si>
  <si>
    <t>pouzevlastnívozidlaflotily</t>
  </si>
  <si>
    <t>NA022/2022</t>
  </si>
  <si>
    <t>PTN-VESTRA,s.r.o.</t>
  </si>
  <si>
    <t>Sedlnice530</t>
  </si>
  <si>
    <t>Sedlnice</t>
  </si>
  <si>
    <t>RadekVáňa,PetrBuček</t>
  </si>
  <si>
    <t>servis@vestra.cz</t>
  </si>
  <si>
    <t>RadekVáňa-605250389,PetrBuček-603230820</t>
  </si>
  <si>
    <t>MANtruckabus</t>
  </si>
  <si>
    <t>Po-Pá:06:30-20:00,So:07:00-13:00</t>
  </si>
  <si>
    <t>49.6727219</t>
  </si>
  <si>
    <t>18.1126689</t>
  </si>
  <si>
    <t>NA023/2022</t>
  </si>
  <si>
    <t>PavelPospíšil</t>
  </si>
  <si>
    <t>Hradčany71</t>
  </si>
  <si>
    <t>Hradčany</t>
  </si>
  <si>
    <t>pavel.pospisil@pospisiltransporte.cz</t>
  </si>
  <si>
    <t>všechnanákladnívozidla,návěsy</t>
  </si>
  <si>
    <t>NA024/2022</t>
  </si>
  <si>
    <t>NA025/2022</t>
  </si>
  <si>
    <t>i</t>
  </si>
  <si>
    <t>NA026/2023</t>
  </si>
  <si>
    <t>SandandMetals.r.o.</t>
  </si>
  <si>
    <t>Dědina482</t>
  </si>
  <si>
    <t>Otnice</t>
  </si>
  <si>
    <t>MartinaNavrátilová,JiříBorovička</t>
  </si>
  <si>
    <t>sandandmetal@seznam.cz</t>
  </si>
  <si>
    <t>všechnyautobusy</t>
  </si>
  <si>
    <t>49.0883069</t>
  </si>
  <si>
    <t>16.8086675</t>
  </si>
  <si>
    <t>NA027/2023</t>
  </si>
  <si>
    <t>DONAK,spol.sr.o.</t>
  </si>
  <si>
    <t>Průmyslová726/8a</t>
  </si>
  <si>
    <t>JanKrál</t>
  </si>
  <si>
    <t>jan.kral@donak.cz</t>
  </si>
  <si>
    <t>49.2920881</t>
  </si>
  <si>
    <t>17.0064228</t>
  </si>
  <si>
    <t>opravujepouzevlastníflotilu,neveřejný</t>
  </si>
  <si>
    <t>NA028/2023</t>
  </si>
  <si>
    <t>TURBOSOLSERVIS,spol.sr.o.</t>
  </si>
  <si>
    <t>Kšírova682/246</t>
  </si>
  <si>
    <t>JiříDumek</t>
  </si>
  <si>
    <t>dumek@turbosol.cz</t>
  </si>
  <si>
    <t>FordTrucks,Schmitz,KOGEL,SCHWARZMULLER,PANAV,SVAN,FLIEGL,AVIA</t>
  </si>
  <si>
    <t>49.1601369</t>
  </si>
  <si>
    <t>16.6196747</t>
  </si>
  <si>
    <t>Lipenská47</t>
  </si>
  <si>
    <t>olomouc@agrotec.cz</t>
  </si>
  <si>
    <t>NA029/2023</t>
  </si>
  <si>
    <t>Okružní612</t>
  </si>
  <si>
    <t>mbservishu@icomtransport.cz</t>
  </si>
  <si>
    <t>606 781757</t>
  </si>
  <si>
    <t>49.5399308</t>
  </si>
  <si>
    <t>15.3452017</t>
  </si>
  <si>
    <t>NA030/2023</t>
  </si>
  <si>
    <t>MALINA-VRŠEs.r.o.</t>
  </si>
  <si>
    <t>Zachrašťany123</t>
  </si>
  <si>
    <t>Zachrašťany</t>
  </si>
  <si>
    <t>LukášDoležal</t>
  </si>
  <si>
    <t>lukas.dolezal@malina-vrse.cz</t>
  </si>
  <si>
    <t>50.2138233</t>
  </si>
  <si>
    <t>15.4834339</t>
  </si>
  <si>
    <t>NA032/2023</t>
  </si>
  <si>
    <t>KAD,spol.sr.o.</t>
  </si>
  <si>
    <t>Vápenická475</t>
  </si>
  <si>
    <t>OndřejMachačka</t>
  </si>
  <si>
    <t>ondrej.machacka@kad.cz</t>
  </si>
  <si>
    <t>všechnanákladnívozidla,autobusy</t>
  </si>
  <si>
    <t>50.6200431</t>
  </si>
  <si>
    <t>15.6235900</t>
  </si>
  <si>
    <t>NA035/2024</t>
  </si>
  <si>
    <t>ScaniaCzechRepublics.r.o.</t>
  </si>
  <si>
    <t>Sobinská186</t>
  </si>
  <si>
    <t>Chrášťany</t>
  </si>
  <si>
    <t>ZdeněkVorlíček(vedoucíservisu),LukášVorlíček</t>
  </si>
  <si>
    <t>zdenek.vorlicek@scania.com,lukas.vorlicek@scania.com</t>
  </si>
  <si>
    <t>Scania,Ostatníznačky,Přívěsyanávěsy</t>
  </si>
  <si>
    <t>Po-Ne:7:00-19:00</t>
  </si>
  <si>
    <t>50.0512700</t>
  </si>
  <si>
    <t>14.2715919</t>
  </si>
  <si>
    <t>Modletice105</t>
  </si>
  <si>
    <t>PetrTerč(vedoucíservisu),JosefProkop</t>
  </si>
  <si>
    <t>petr.terc@scania.com,josef.prokop@scania.com</t>
  </si>
  <si>
    <t>49.9709211</t>
  </si>
  <si>
    <t>14.6125247</t>
  </si>
  <si>
    <t>Žižkova875/249</t>
  </si>
  <si>
    <t>MiloslavKoubek(vedoucíservisu),RadekMarták</t>
  </si>
  <si>
    <t>miloslav.koubek@scania.com,radek.martak@scania.com</t>
  </si>
  <si>
    <t>50.6493200</t>
  </si>
  <si>
    <t>14.0147358</t>
  </si>
  <si>
    <t>Průmyslová1315</t>
  </si>
  <si>
    <t>JanPokuta(vedoucíservisu),VasylPavlycuk</t>
  </si>
  <si>
    <t>jan.pokuta@scania.com,vasyl.pavlycuk@scania.com</t>
  </si>
  <si>
    <t>50.4294011</t>
  </si>
  <si>
    <t>14.9364342</t>
  </si>
  <si>
    <t>UPily677</t>
  </si>
  <si>
    <t>PavelBeneš(vedoucíservisu),JakubTrnka</t>
  </si>
  <si>
    <t>pavel.benes@scania.com,jakub.trnka@scania.com</t>
  </si>
  <si>
    <t>724 163006,602388863</t>
  </si>
  <si>
    <t>48.9891556</t>
  </si>
  <si>
    <t>14.5143539</t>
  </si>
  <si>
    <t>Heydukova1286</t>
  </si>
  <si>
    <t>PetrBašta(vedoucíservisu),RomanSlavík</t>
  </si>
  <si>
    <t>petr.basta@scania.com,roman.slavik@scania.com</t>
  </si>
  <si>
    <t>49.2592311</t>
  </si>
  <si>
    <t>13.9230575</t>
  </si>
  <si>
    <t>Hájecká1068/14</t>
  </si>
  <si>
    <t>ZdeněkVach(vedoucíservisu),LenkaFučíková</t>
  </si>
  <si>
    <t>zdenek.vach@scania.com,lenka.fucikova@scania.com</t>
  </si>
  <si>
    <t>49.1715114</t>
  </si>
  <si>
    <t>16.6394003</t>
  </si>
  <si>
    <t>HruškovéDvory129</t>
  </si>
  <si>
    <t>Jihlava-Průmyslovázóna</t>
  </si>
  <si>
    <t>MichalŠilhavý(vedoucíservisu)</t>
  </si>
  <si>
    <t>michal.silhavy@scania.com</t>
  </si>
  <si>
    <t>49.4138600</t>
  </si>
  <si>
    <t>15.6035511</t>
  </si>
  <si>
    <t>Lipenská1170/45</t>
  </si>
  <si>
    <t>VladimírVybíral(vedoucíservisu),MichalHroza</t>
  </si>
  <si>
    <t>vladimir.vybiral@scania.com,michal.hroza@scania.com</t>
  </si>
  <si>
    <t>49.5903094</t>
  </si>
  <si>
    <t>17.2964817</t>
  </si>
  <si>
    <t>VizoviceRazov</t>
  </si>
  <si>
    <t>Vizovice</t>
  </si>
  <si>
    <t>JiříPonížil(vedoucíservisu)</t>
  </si>
  <si>
    <t>jiri.ponizil@scania.com</t>
  </si>
  <si>
    <t>49.2123578</t>
  </si>
  <si>
    <t>17.8321128</t>
  </si>
  <si>
    <t>Místecká872</t>
  </si>
  <si>
    <t>Paskov</t>
  </si>
  <si>
    <t>VladimírPospíšil(vedoucíservisu),PetrPrášek</t>
  </si>
  <si>
    <t>vladimir.pospisil@scania.com,petr.prasek@scania.com</t>
  </si>
  <si>
    <t>49.7169967</t>
  </si>
  <si>
    <t>18.2997600</t>
  </si>
  <si>
    <t>Třanovice300</t>
  </si>
  <si>
    <t>Hnojník</t>
  </si>
  <si>
    <t>VladimírPospíšil(vedoucíservisu),VladimírVašek</t>
  </si>
  <si>
    <t>vladimir.pospisil@scania.com,vladimir.vasek@scania.com</t>
  </si>
  <si>
    <t>49.7139622</t>
  </si>
  <si>
    <t>18.5288736</t>
  </si>
  <si>
    <t>NA037/2024</t>
  </si>
  <si>
    <t>Schmitz,Koegel,Panav</t>
  </si>
  <si>
    <t>S001/2016</t>
  </si>
  <si>
    <t>všechnavozidlaautosklo</t>
  </si>
  <si>
    <t>S002/2016</t>
  </si>
  <si>
    <t>AutoskloNovodvorská</t>
  </si>
  <si>
    <t>Novodvorská375/23</t>
  </si>
  <si>
    <t>PetrSkorčík</t>
  </si>
  <si>
    <t>info@autosklo-novodvorska.cz</t>
  </si>
  <si>
    <t>S003/2016</t>
  </si>
  <si>
    <t>291 28 889</t>
  </si>
  <si>
    <t>Auto Svárov.cz</t>
  </si>
  <si>
    <t>Kozákova 3084</t>
  </si>
  <si>
    <t>Česká Lípa</t>
  </si>
  <si>
    <t>Tomáš Kozák</t>
  </si>
  <si>
    <t>Autosklo DIRECT</t>
  </si>
  <si>
    <t>všechna vozidla autosklo</t>
  </si>
  <si>
    <t>S004/2016</t>
  </si>
  <si>
    <t>S005/2016</t>
  </si>
  <si>
    <t>AutoskloBíláHora-PavelČerný</t>
  </si>
  <si>
    <t>Doubravínova335/26</t>
  </si>
  <si>
    <t>PavelČerný</t>
  </si>
  <si>
    <t>autosklobilahora@seznam.cz</t>
  </si>
  <si>
    <t>9:00-18:00|9:00-18:00|9:00-18:00|9:00-18:00|9:00-18:00|-|-.</t>
  </si>
  <si>
    <t>S006/2016</t>
  </si>
  <si>
    <t>NA016/2021</t>
  </si>
  <si>
    <t>TruckServiceZlína.s.</t>
  </si>
  <si>
    <t>TřídaTomášeBati258</t>
  </si>
  <si>
    <t>service@truckservice.cz</t>
  </si>
  <si>
    <t>nákladnívozidlaMAN</t>
  </si>
  <si>
    <t>Po-Pá06:00-18:00,So08:00-13:00</t>
  </si>
  <si>
    <t>49.29834</t>
  </si>
  <si>
    <t>17.73112</t>
  </si>
  <si>
    <t>S007/2016</t>
  </si>
  <si>
    <t>MobilníAutosklo</t>
  </si>
  <si>
    <t>Klášterská135/2</t>
  </si>
  <si>
    <t>MartinBalín</t>
  </si>
  <si>
    <t>vymeny@mobilni-autosklo.cz</t>
  </si>
  <si>
    <t>MobilníautoskloDIRECT</t>
  </si>
  <si>
    <t>AVN</t>
  </si>
  <si>
    <t>ANV</t>
  </si>
  <si>
    <t>pouzelokalitapromobilníservis,nenízdepobočka</t>
  </si>
  <si>
    <t>Velkénáměstí114</t>
  </si>
  <si>
    <t>Velkénáměstí3</t>
  </si>
  <si>
    <t>Žižkovonáměstí3</t>
  </si>
  <si>
    <t>nám.Míru62</t>
  </si>
  <si>
    <t>Masarykovonáměstí1</t>
  </si>
  <si>
    <t>Hornická1695</t>
  </si>
  <si>
    <t>Nám.PřemyslaOtakaraII</t>
  </si>
  <si>
    <t>Rokycanova1929</t>
  </si>
  <si>
    <t>Velkénáměstí2</t>
  </si>
  <si>
    <t>Tyršova108</t>
  </si>
  <si>
    <t>nám.KráleJiříhozPoděbrad1/14</t>
  </si>
  <si>
    <t>Manětínská1549/18</t>
  </si>
  <si>
    <t>dílna</t>
  </si>
  <si>
    <t>Línská158</t>
  </si>
  <si>
    <t>Tlučná</t>
  </si>
  <si>
    <t>NáměstíSvobody1428</t>
  </si>
  <si>
    <t>Stříbro</t>
  </si>
  <si>
    <t>S008/2017</t>
  </si>
  <si>
    <t>AutoskloROGERs.r.o.</t>
  </si>
  <si>
    <t>Železná697/4</t>
  </si>
  <si>
    <t>brno@autoskloroger.cz</t>
  </si>
  <si>
    <t>Vančurovonáměstí309</t>
  </si>
  <si>
    <t>hradeckralove@autoskloroger.cz</t>
  </si>
  <si>
    <t>Divišova8</t>
  </si>
  <si>
    <t>olomouc@autoskloroger.cz</t>
  </si>
  <si>
    <t>Mladých322</t>
  </si>
  <si>
    <t>pardubice@autoskloroger.cz</t>
  </si>
  <si>
    <t>Žerotínova2</t>
  </si>
  <si>
    <t>sumperk@autoskloroger.cz</t>
  </si>
  <si>
    <t>Malenovice1162</t>
  </si>
  <si>
    <t>zlin@autoskloroger.cz</t>
  </si>
  <si>
    <t>Dobšická6</t>
  </si>
  <si>
    <t>znojmo@autoskloroger.cz</t>
  </si>
  <si>
    <t>S009/2017</t>
  </si>
  <si>
    <t>AUTOSKLOTEAMs.r.o.</t>
  </si>
  <si>
    <t>Dr.MiladyHorákové672/30a</t>
  </si>
  <si>
    <t>MichalBelda</t>
  </si>
  <si>
    <t>liberec@autoskloteam.cz</t>
  </si>
  <si>
    <t>Drážďanská814/83a</t>
  </si>
  <si>
    <t>DagmarNevímová</t>
  </si>
  <si>
    <t>usti@autoskloteam.cz</t>
  </si>
  <si>
    <t>UMasokombinátu1242</t>
  </si>
  <si>
    <t>ZdeněkNevím</t>
  </si>
  <si>
    <t>boleslav@autoskloteam.cz</t>
  </si>
  <si>
    <t>Mlékojedská987</t>
  </si>
  <si>
    <t>Litoměřice</t>
  </si>
  <si>
    <t>FilipWiederman</t>
  </si>
  <si>
    <t>litomerice@autoskloteam.cz</t>
  </si>
  <si>
    <t>KHájům2671/8</t>
  </si>
  <si>
    <t>DavidRůžička</t>
  </si>
  <si>
    <t>praha@autoskloteam.cz</t>
  </si>
  <si>
    <t>Dalovická11</t>
  </si>
  <si>
    <t>karlovyvary@autoskloteam.cz</t>
  </si>
  <si>
    <t>Smetanova4265/66</t>
  </si>
  <si>
    <t>JaroslavJirout</t>
  </si>
  <si>
    <t>jablonec@autoskloteam.cz</t>
  </si>
  <si>
    <t>S010/2017</t>
  </si>
  <si>
    <t>622 40 129</t>
  </si>
  <si>
    <t>SAN PLUS, s.r.o.</t>
  </si>
  <si>
    <t>Palackého 94</t>
  </si>
  <si>
    <t>Milan Šenkýř</t>
  </si>
  <si>
    <t>zrušeno</t>
  </si>
  <si>
    <t>Sluneční 3115</t>
  </si>
  <si>
    <t>Petr Pluhař</t>
  </si>
  <si>
    <t>S011/2017</t>
  </si>
  <si>
    <t>AutosklaservisWebers.r.o.</t>
  </si>
  <si>
    <t>Žatecká3304</t>
  </si>
  <si>
    <t>pí.Weberová</t>
  </si>
  <si>
    <t>most@autosklaservis.cz</t>
  </si>
  <si>
    <t>Nákladní1983</t>
  </si>
  <si>
    <t>teplice@autosklaservis.cz</t>
  </si>
  <si>
    <t>S012/2017</t>
  </si>
  <si>
    <t>466 83 950</t>
  </si>
  <si>
    <t>AUTOSKLO K + M spol. s.r.o. (NESMĚROVAT)</t>
  </si>
  <si>
    <t>Karlov 1247</t>
  </si>
  <si>
    <t>Velké Meziříčí</t>
  </si>
  <si>
    <t>Petr Humlíček</t>
  </si>
  <si>
    <t>autosklovm@autosklokm.cz</t>
  </si>
  <si>
    <t>sleva 5% z AVN na díly</t>
  </si>
  <si>
    <t>od 102023 pobočka zrušená</t>
  </si>
  <si>
    <t>AUTOSKLOK+Mspol.s.r.o.</t>
  </si>
  <si>
    <t>Prostřední2792/1</t>
  </si>
  <si>
    <t>DanielMarkovec</t>
  </si>
  <si>
    <t>autosklocb@autosklokm.cz</t>
  </si>
  <si>
    <t>Zavadilská2106</t>
  </si>
  <si>
    <t>FrantišekSamec</t>
  </si>
  <si>
    <t>autosklota@autosklokm.cz</t>
  </si>
  <si>
    <t>Pražská313/45</t>
  </si>
  <si>
    <t>JiříHubáček</t>
  </si>
  <si>
    <t>autosklopi@autosklokm.cz</t>
  </si>
  <si>
    <t>Jarošovská1162</t>
  </si>
  <si>
    <t>JaroslavFiala</t>
  </si>
  <si>
    <t>autosklojh@autosklokm.cz</t>
  </si>
  <si>
    <t>Fáblovka402</t>
  </si>
  <si>
    <t>TomášCepl</t>
  </si>
  <si>
    <t>autosklopa@autosklokm.cz</t>
  </si>
  <si>
    <t>pobočkaod6/2023přesunutananovouadresu(původíGen.Svobody110).</t>
  </si>
  <si>
    <t>Brněnská346</t>
  </si>
  <si>
    <t>Třebíč-NovéMěsto</t>
  </si>
  <si>
    <t>StanislavBlažíček</t>
  </si>
  <si>
    <t>autosklotr@autosklokm.cz</t>
  </si>
  <si>
    <t>Konopišťská2356</t>
  </si>
  <si>
    <t>IvetaInterholcová</t>
  </si>
  <si>
    <t>autosklobn@autosklokm.cz</t>
  </si>
  <si>
    <t>pobočkaod6/2023přesunutananovouadresu</t>
  </si>
  <si>
    <t>Chvalšinská236</t>
  </si>
  <si>
    <t>TomášŠíma</t>
  </si>
  <si>
    <t>autosklock@autosklokm.cz</t>
  </si>
  <si>
    <t>DanielLux</t>
  </si>
  <si>
    <t>autosklost@autosklokm.cz</t>
  </si>
  <si>
    <t>Kyjovská3281</t>
  </si>
  <si>
    <t>PetrDušek</t>
  </si>
  <si>
    <t>autosklohb@autosklokm.cz</t>
  </si>
  <si>
    <t>FůzeazměnanaAUTOSKLOK+Mspol.s.r.o.,IČ:46683950.PůvodnínázevAutosklo-Servis,IČ:64258076,číslosmlouvy:S014/20217.</t>
  </si>
  <si>
    <t>Znojemská5455/80d</t>
  </si>
  <si>
    <t>MichalStaněk</t>
  </si>
  <si>
    <t>autoskloji@autosklokm.cz</t>
  </si>
  <si>
    <t>S014/2017</t>
  </si>
  <si>
    <t>290 89 646</t>
  </si>
  <si>
    <t>AUTOSKLO – servis – RADA, s.r.o.</t>
  </si>
  <si>
    <t>Bolešiny 2</t>
  </si>
  <si>
    <t>p. Rada, pí. Radová</t>
  </si>
  <si>
    <t>rada@autoskla-rada.cz</t>
  </si>
  <si>
    <t>prodali se Carglassu, ukončena spolupráce</t>
  </si>
  <si>
    <t>Koterovská 158</t>
  </si>
  <si>
    <t>Plzeňská 719</t>
  </si>
  <si>
    <t>Rohova 98</t>
  </si>
  <si>
    <t>S015/2017</t>
  </si>
  <si>
    <t>AutosklaCARSiNKVs.r.o.</t>
  </si>
  <si>
    <t>PodParkem19/36</t>
  </si>
  <si>
    <t>JosefŠtěrba</t>
  </si>
  <si>
    <t>info@carsin.cz</t>
  </si>
  <si>
    <t>S016/2017</t>
  </si>
  <si>
    <t>KRAutosklo</t>
  </si>
  <si>
    <t>Dolínecká3161/2</t>
  </si>
  <si>
    <t>MartinRůžek,JiříKratochvíl</t>
  </si>
  <si>
    <t>jiri.kratochvil@kr-autosklo.cz</t>
  </si>
  <si>
    <t>Od102024změnaadresy.PůvodníVKorytech1537/10.</t>
  </si>
  <si>
    <t>S017/2017</t>
  </si>
  <si>
    <t>JosefHořejší-AutoskloJH</t>
  </si>
  <si>
    <t>Křížová646/41</t>
  </si>
  <si>
    <t>Smíchov</t>
  </si>
  <si>
    <t>JosefHořejší</t>
  </si>
  <si>
    <t>radlice@autosklojh.cz</t>
  </si>
  <si>
    <t>Výpadová1147/4</t>
  </si>
  <si>
    <t>Radotín</t>
  </si>
  <si>
    <t>radotin@autosklojh.cz</t>
  </si>
  <si>
    <t>S018/2017</t>
  </si>
  <si>
    <t>JAROSLAVBERAN-AutoskloPlus</t>
  </si>
  <si>
    <t>Kloboučnická1435/24</t>
  </si>
  <si>
    <t>JaroslavBeran</t>
  </si>
  <si>
    <t>autoskloplus@seznam.cz</t>
  </si>
  <si>
    <t>7:30-17:00|7:30-17:00|7:30-17:00|7:30-17:00|7:30-17:00|-|-.</t>
  </si>
  <si>
    <t>S019/2017</t>
  </si>
  <si>
    <t>630 74 273</t>
  </si>
  <si>
    <t>Autosklo TS Lety u Dobřichovic</t>
  </si>
  <si>
    <t>Pražská 454</t>
  </si>
  <si>
    <t>Dobřichovice</t>
  </si>
  <si>
    <t>Roman Kalkus</t>
  </si>
  <si>
    <t>praha@autoskolts.cz</t>
  </si>
  <si>
    <t>již neexistuje, 02/2023</t>
  </si>
  <si>
    <t>Autosklo TS s.r.o.</t>
  </si>
  <si>
    <t>Modřanská 1915/4</t>
  </si>
  <si>
    <t>praha@autosklots.cz</t>
  </si>
  <si>
    <t>7:30-17:00|7:30-17:00|7:30-17:00|7:30-17:00|7:30-15:00|-|-.</t>
  </si>
  <si>
    <t>S020/2017</t>
  </si>
  <si>
    <t>AUTOSKLOTOROs.r.o.</t>
  </si>
  <si>
    <t>Opatovská874/25</t>
  </si>
  <si>
    <t>KateřinaMichalská,ZdeněkKysela</t>
  </si>
  <si>
    <t>toro@autosklotoro.cz</t>
  </si>
  <si>
    <t>FrantiškaDiviše1275/1a</t>
  </si>
  <si>
    <t>Tečovská1239</t>
  </si>
  <si>
    <t>S021/2017</t>
  </si>
  <si>
    <t>AUTOSKLAALKAs.r.o.</t>
  </si>
  <si>
    <t>Holická162/60</t>
  </si>
  <si>
    <t>AlešHrabčík</t>
  </si>
  <si>
    <t>autosklaalka@autosklaalka.cz</t>
  </si>
  <si>
    <t>S022/2017</t>
  </si>
  <si>
    <t>AutoskloservisCZs r.o.</t>
  </si>
  <si>
    <t>Vinohradská28</t>
  </si>
  <si>
    <t>VáclavKopecký</t>
  </si>
  <si>
    <t>vinohradska@autosklocz.cz</t>
  </si>
  <si>
    <t>Zrušenapobočka</t>
  </si>
  <si>
    <t>Moskevská2035/21</t>
  </si>
  <si>
    <t>Modřanská1915/14</t>
  </si>
  <si>
    <t>modrany@autosklocz.cz</t>
  </si>
  <si>
    <t>VáclavaBalého25/1</t>
  </si>
  <si>
    <t>PetrKvětenský</t>
  </si>
  <si>
    <t>radotin@autosklocz.cz</t>
  </si>
  <si>
    <t>Podbabská17</t>
  </si>
  <si>
    <t>JiříLipovský</t>
  </si>
  <si>
    <t>podbabska@autosklocz.cz</t>
  </si>
  <si>
    <t>PodVlachovkou19</t>
  </si>
  <si>
    <t>MichalHynek</t>
  </si>
  <si>
    <t>vlachovka@autosklocz.cz</t>
  </si>
  <si>
    <t>Hloubětínská1</t>
  </si>
  <si>
    <t>JanHoller</t>
  </si>
  <si>
    <t>hloubetin@autosklocz.cz</t>
  </si>
  <si>
    <t>S023/2017</t>
  </si>
  <si>
    <t>SimonaCíchová</t>
  </si>
  <si>
    <t>BratříMrštíků2171</t>
  </si>
  <si>
    <t>autosklocicha@autosklocicha.cz</t>
  </si>
  <si>
    <t>S024/2017</t>
  </si>
  <si>
    <t>FrantišekCícha–AutoskloCícha</t>
  </si>
  <si>
    <t>FrantišekCícha</t>
  </si>
  <si>
    <t>S025/2017</t>
  </si>
  <si>
    <t>AUTOSKLOMiroslavČudeks.r.o.</t>
  </si>
  <si>
    <t>Frýdecká64</t>
  </si>
  <si>
    <t>DušanPavlovič</t>
  </si>
  <si>
    <t>info@autosklotrinec.cz</t>
  </si>
  <si>
    <t>8:00-16:00|8:00-16:00|8:00-16:00|8:00-16:00|8:00-15:00|-|-.</t>
  </si>
  <si>
    <t>S026/2017</t>
  </si>
  <si>
    <t>764 61 971</t>
  </si>
  <si>
    <t>Jiří Dostál – AUTOSKLO PLUS</t>
  </si>
  <si>
    <t>Pan Dostál převedl aktivity na ič:14266971, 276/2023, ASP AUTOSKLO - SERVIS - PLUS s.r.o.</t>
  </si>
  <si>
    <t>S027/2017</t>
  </si>
  <si>
    <t>AUTOSKLOOSTRAVAPORUBAs.r.o.</t>
  </si>
  <si>
    <t>Opavská89/115</t>
  </si>
  <si>
    <t>p.Křikava,pí.Křikavová</t>
  </si>
  <si>
    <t>autosklo-poruba@seznam.cz</t>
  </si>
  <si>
    <t>8:00-17:00|8:00-17:00|8:00-17:00|8:00-17:00|8:00-16:00|-|-.</t>
  </si>
  <si>
    <t>Pavlíkova294</t>
  </si>
  <si>
    <t>8:00-17:00|8:00-17:00|8:00-17:00|8:00-17:00|8:00-16:00|-|-. </t>
  </si>
  <si>
    <t>S028/2017</t>
  </si>
  <si>
    <t>AutosklaVACEKs.r.o.</t>
  </si>
  <si>
    <t>Vinohrady475/7</t>
  </si>
  <si>
    <t>pí.Vacková</t>
  </si>
  <si>
    <t>INFO@AUTO-SKLA.CZ</t>
  </si>
  <si>
    <t>S029/2017</t>
  </si>
  <si>
    <t>AutoskloLASSY,s.r.o.</t>
  </si>
  <si>
    <t>Křenová51</t>
  </si>
  <si>
    <t>lassy@autosklolassy.cz</t>
  </si>
  <si>
    <t>Dobšická5</t>
  </si>
  <si>
    <t>znojmo@autosklolassy.cz</t>
  </si>
  <si>
    <t>S030/2017</t>
  </si>
  <si>
    <t>Brumovská279/B</t>
  </si>
  <si>
    <t>Val.Klobouky</t>
  </si>
  <si>
    <t>S031/2017</t>
  </si>
  <si>
    <t>AUTOSKLO-SLEZSKÁs.r.o.</t>
  </si>
  <si>
    <t>Poděbradova3208/98</t>
  </si>
  <si>
    <t>KristýnaPoláková,JanWojnar</t>
  </si>
  <si>
    <t>ostrava@autosklo.com</t>
  </si>
  <si>
    <t>Krnovská110c</t>
  </si>
  <si>
    <t>VěraBilerová,LumírBiler</t>
  </si>
  <si>
    <t>opava@autosklo.com</t>
  </si>
  <si>
    <t>ANo</t>
  </si>
  <si>
    <t>Příborská2394</t>
  </si>
  <si>
    <t>AnežkaSvobodová</t>
  </si>
  <si>
    <t>f.mistek@autosklo.com</t>
  </si>
  <si>
    <t>640 85 317</t>
  </si>
  <si>
    <t>AUTOSKLO-SLEZSKÁ s.r.o.</t>
  </si>
  <si>
    <t>B. Martinů 1885/2</t>
  </si>
  <si>
    <t>Ivana Knaiblová</t>
  </si>
  <si>
    <t>n.jicin@autosklo.com</t>
  </si>
  <si>
    <t>tuto pobočku již nemají - 12/2022</t>
  </si>
  <si>
    <t>Masarykova 755</t>
  </si>
  <si>
    <t>Valašské Meziříčí</t>
  </si>
  <si>
    <t>Martin Křižka</t>
  </si>
  <si>
    <t>valmez@autosklo.com</t>
  </si>
  <si>
    <t>S032/2017</t>
  </si>
  <si>
    <t>AMTAUTO-SKLAs.r.o.</t>
  </si>
  <si>
    <t>Myslbekova743</t>
  </si>
  <si>
    <t>AlešHruška</t>
  </si>
  <si>
    <t>info@amtliberec.cz</t>
  </si>
  <si>
    <t>S033/2017</t>
  </si>
  <si>
    <t>AutoskloJC-JanČervenka</t>
  </si>
  <si>
    <t>NaVýběžku11</t>
  </si>
  <si>
    <t>JanČervenka</t>
  </si>
  <si>
    <t>autosklojc@seznam.cz</t>
  </si>
  <si>
    <t>S034/2017</t>
  </si>
  <si>
    <t>AutoskloTSOstravas.r.o.</t>
  </si>
  <si>
    <t>Cihelní1259/74</t>
  </si>
  <si>
    <t>DanielŠmerda</t>
  </si>
  <si>
    <t>ostrava@autosklo-ts.cz</t>
  </si>
  <si>
    <t>Moskevská24a</t>
  </si>
  <si>
    <t>Dukelskátřída26</t>
  </si>
  <si>
    <t>brno@autosklots.cz</t>
  </si>
  <si>
    <t>Svěrákovaul.(areálČDzaKaufl.)</t>
  </si>
  <si>
    <t>valmez@autosklo-ts.cz</t>
  </si>
  <si>
    <t>S036/2017</t>
  </si>
  <si>
    <t>S037/2017</t>
  </si>
  <si>
    <t>autoskloservisNOVOSs.r.o.</t>
  </si>
  <si>
    <t>S038/2017</t>
  </si>
  <si>
    <t>AutosklaDomažlice-KarelPivoňka</t>
  </si>
  <si>
    <t>Petrovická293</t>
  </si>
  <si>
    <t>KarelPivoňka</t>
  </si>
  <si>
    <t>info@autoskladomazlice.cz</t>
  </si>
  <si>
    <t>602490144,739017389,379722337</t>
  </si>
  <si>
    <t>S039/2017</t>
  </si>
  <si>
    <t>603 54 208</t>
  </si>
  <si>
    <t>Jiří Cupák - AC Autosklo</t>
  </si>
  <si>
    <t>Hybešova 725/40</t>
  </si>
  <si>
    <t>Jiří Cupák</t>
  </si>
  <si>
    <t>acautosklo@seznam.cz</t>
  </si>
  <si>
    <t>603 431 104, 543 216 389</t>
  </si>
  <si>
    <t>zrušeno, převedeno na novou smlouvu S127/2023</t>
  </si>
  <si>
    <t>S040/2017</t>
  </si>
  <si>
    <t>AUTOSKLOÁURISBRNOs.r.o.</t>
  </si>
  <si>
    <t>Vídeňská297/99</t>
  </si>
  <si>
    <t>TomášKučera</t>
  </si>
  <si>
    <t>info@autosklobrno.cz</t>
  </si>
  <si>
    <t>Husovonám.68</t>
  </si>
  <si>
    <t>Beroun</t>
  </si>
  <si>
    <t>S041/2017</t>
  </si>
  <si>
    <t>AutoskloChemo</t>
  </si>
  <si>
    <t>LípauZlínačerpacístaniceSIMLET</t>
  </si>
  <si>
    <t>p.Borák</t>
  </si>
  <si>
    <t>autosklo.chemo@seznam.cz</t>
  </si>
  <si>
    <t>Scelovacísada</t>
  </si>
  <si>
    <t>Nábřežníulice(naprotiLidlupodJižnímiSvahy)</t>
  </si>
  <si>
    <t>autosklozlin@seznam.cz</t>
  </si>
  <si>
    <t>S042/2017</t>
  </si>
  <si>
    <t>AutocentrumKalfass.r.o.</t>
  </si>
  <si>
    <t>Malešická2823/20a</t>
  </si>
  <si>
    <t>Praha3</t>
  </si>
  <si>
    <t>TomášKalfas</t>
  </si>
  <si>
    <t>autocentrumkalfas@seznam.cz</t>
  </si>
  <si>
    <t>S043/2017</t>
  </si>
  <si>
    <t>AutoskloBeroun</t>
  </si>
  <si>
    <t>NaPříkopě1</t>
  </si>
  <si>
    <t>Ing.MartinMach</t>
  </si>
  <si>
    <t>info@autoskloberoun.cz</t>
  </si>
  <si>
    <t>311612765,736682664,736682550</t>
  </si>
  <si>
    <t>S044/2017</t>
  </si>
  <si>
    <t>288 66 738</t>
  </si>
  <si>
    <t>AUTOSKLO S.O.S., NON STOP, spol. s r.o.</t>
  </si>
  <si>
    <t>Na Maninách 3/30</t>
  </si>
  <si>
    <t>Praha 7</t>
  </si>
  <si>
    <t>Lukáš Bulánek</t>
  </si>
  <si>
    <t>info@autosklosos.cz </t>
  </si>
  <si>
    <t>+420 774 458 198, +420 776 458 198</t>
  </si>
  <si>
    <t>Ke Zvoli 794</t>
  </si>
  <si>
    <t>Praha Západ</t>
  </si>
  <si>
    <t>d.brezany@autosklosos.cz</t>
  </si>
  <si>
    <t>778091300, 778021300</t>
  </si>
  <si>
    <t>AUTOSKLOS.O.S.,NONSTOP,spol.sr.o.</t>
  </si>
  <si>
    <t>Mendíků364/7</t>
  </si>
  <si>
    <t>LukášBulánek</t>
  </si>
  <si>
    <t>778021300,774458198,776181418 </t>
  </si>
  <si>
    <t>S045/2017</t>
  </si>
  <si>
    <t>AUTOSKLA-H.K.,s.r.o.</t>
  </si>
  <si>
    <t>Hradecká1771/14</t>
  </si>
  <si>
    <t>HradecKrálové-Třebeš</t>
  </si>
  <si>
    <t>MartinSlusarčuk</t>
  </si>
  <si>
    <t>info@autoskla-hk.cz</t>
  </si>
  <si>
    <t>602 476 213</t>
  </si>
  <si>
    <t>8:00-16:30|8:00-16:30|8:00-16:30|8:00-16:30|8:00-15:00|-|-.</t>
  </si>
  <si>
    <t>S046/2017</t>
  </si>
  <si>
    <t>422 99 675</t>
  </si>
  <si>
    <t>Josef Bílík - AUTOOPRAVNA</t>
  </si>
  <si>
    <t>Hodonínská 952</t>
  </si>
  <si>
    <t>Dolní Bojanovice</t>
  </si>
  <si>
    <t>Josef Bílík</t>
  </si>
  <si>
    <t>autoopravnabilik@seznam.cz, bilikauto@seznam,cz</t>
  </si>
  <si>
    <t>602 745 557, 518 372 333</t>
  </si>
  <si>
    <t>Převod na novou smlouvu č. S129/2024</t>
  </si>
  <si>
    <t>S047/2017</t>
  </si>
  <si>
    <t>269 09 456</t>
  </si>
  <si>
    <t>Auto Centrum Glos s.r.o.</t>
  </si>
  <si>
    <t>Brněnská 59/C(areál Cihelny)</t>
  </si>
  <si>
    <t>Michal Studnica</t>
  </si>
  <si>
    <t>autocentrumglos@seznam.cz</t>
  </si>
  <si>
    <t>736 489 574, 518 342 237</t>
  </si>
  <si>
    <t>Původní smlouva, přehozeno na smlouvu S122/2023. Duplicita</t>
  </si>
  <si>
    <t>S049/2017</t>
  </si>
  <si>
    <t>AutosklaKudrna-car</t>
  </si>
  <si>
    <t>Pražská1386</t>
  </si>
  <si>
    <t>Nymburk</t>
  </si>
  <si>
    <t>RomanDrexler</t>
  </si>
  <si>
    <t>nb@autoskla-kudrna.cz</t>
  </si>
  <si>
    <t>KeStudánce</t>
  </si>
  <si>
    <t>ZdeněkČihák</t>
  </si>
  <si>
    <t>bene@autoskla-kudrna.cz</t>
  </si>
  <si>
    <t>Lorecká465</t>
  </si>
  <si>
    <t>MiroslavKudrna</t>
  </si>
  <si>
    <t>kh@autoskla-kudrna.cz</t>
  </si>
  <si>
    <t>S050/2017</t>
  </si>
  <si>
    <t>GFBAutoskloServis,s.r.o.</t>
  </si>
  <si>
    <t>UTrati44(areálACI)</t>
  </si>
  <si>
    <t>pí.Fliegerová,p.Flieger</t>
  </si>
  <si>
    <t>autosklo@agfb.cz</t>
  </si>
  <si>
    <t>603194376,603569854,274783180</t>
  </si>
  <si>
    <t>S051/2017</t>
  </si>
  <si>
    <t>AutoskloPEMI,s.r.o.</t>
  </si>
  <si>
    <t>Kollárova1229</t>
  </si>
  <si>
    <t>VeselínadMoravou</t>
  </si>
  <si>
    <t>PetrUhlík</t>
  </si>
  <si>
    <t>info@autosklopemi.com</t>
  </si>
  <si>
    <t>S052/2017</t>
  </si>
  <si>
    <t>ASCAUTOSKLO</t>
  </si>
  <si>
    <t>Olomoucká51</t>
  </si>
  <si>
    <t>MarekCupák</t>
  </si>
  <si>
    <t>autosklo@volny.cz</t>
  </si>
  <si>
    <t>7:30-17:00|7:30-17:00|7:30-17:00|7:30-17:00|7:30-17:00|-12:00|-|-.</t>
  </si>
  <si>
    <t>S053/2017</t>
  </si>
  <si>
    <t>AUTOSKLOKRÚPA</t>
  </si>
  <si>
    <t>NadŠkolou300</t>
  </si>
  <si>
    <t>ZadníTřebaň</t>
  </si>
  <si>
    <t>pí.Krúpa</t>
  </si>
  <si>
    <t>autosklof1@seznam.cz</t>
  </si>
  <si>
    <t>S054/2017</t>
  </si>
  <si>
    <t>PavelDyntar–AUTOSKLO.SERVISDYNTAR</t>
  </si>
  <si>
    <t>nábřežíDr.Beneše1884</t>
  </si>
  <si>
    <t>PavelDyntar</t>
  </si>
  <si>
    <t>pavel.dyntar@seznam.cz</t>
  </si>
  <si>
    <t>S055/2017</t>
  </si>
  <si>
    <t>TRIOAUTOSKLO</t>
  </si>
  <si>
    <t>Náchodská491/150</t>
  </si>
  <si>
    <t>p.Haisel</t>
  </si>
  <si>
    <t>trioautosklo@volny.cz</t>
  </si>
  <si>
    <t>NaSkalkách1558</t>
  </si>
  <si>
    <t>pí.Mentlíková</t>
  </si>
  <si>
    <t>CARGLASS</t>
  </si>
  <si>
    <t>S056/2017</t>
  </si>
  <si>
    <t>CARGLASSPraha</t>
  </si>
  <si>
    <t>Dělnická1192/22</t>
  </si>
  <si>
    <t>RadkaŠotolová</t>
  </si>
  <si>
    <t>callcentrum@carglass.cz</t>
  </si>
  <si>
    <t>50.1029275</t>
  </si>
  <si>
    <t>14.4479622</t>
  </si>
  <si>
    <t>nověotevřenápobočkaod1.8.2023</t>
  </si>
  <si>
    <t>Toužimská767</t>
  </si>
  <si>
    <t>Praha18-Letňany</t>
  </si>
  <si>
    <t>Průběžná80b</t>
  </si>
  <si>
    <t>PodBrentovou617/9</t>
  </si>
  <si>
    <t>CARGLASSTeplice</t>
  </si>
  <si>
    <t>Hřbitovní227/6</t>
  </si>
  <si>
    <t>CARGLASS.Brno</t>
  </si>
  <si>
    <t>Mariánskénáměstí1,areálGITY</t>
  </si>
  <si>
    <t>CARGLASSOlomouc</t>
  </si>
  <si>
    <t>Dobrovského1157</t>
  </si>
  <si>
    <t>CARGLASSOstrava</t>
  </si>
  <si>
    <t>Lihovarská689/40a</t>
  </si>
  <si>
    <t>Ostrava-Kunčičky</t>
  </si>
  <si>
    <t>CARGLASSPardubice</t>
  </si>
  <si>
    <t>NaDrážce1883</t>
  </si>
  <si>
    <t>CARGLASSČeskéBudějovice</t>
  </si>
  <si>
    <t>UStarétrati3</t>
  </si>
  <si>
    <t>AutoskloservisCZsr.o.</t>
  </si>
  <si>
    <t>PetraFidlerová</t>
  </si>
  <si>
    <t>prodej@autosklocz.cz</t>
  </si>
  <si>
    <t>CARGLASSJihlava</t>
  </si>
  <si>
    <t>Znojmeská5333/82a,areálVSM</t>
  </si>
  <si>
    <t>CARGLASSDomažlice</t>
  </si>
  <si>
    <t>Rohova98</t>
  </si>
  <si>
    <t>potel.dohodě</t>
  </si>
  <si>
    <t>otevřeno:potelefonickédohodě(infozAGCod01/2022)</t>
  </si>
  <si>
    <t>CARGLASSPlzeň</t>
  </si>
  <si>
    <t>Koterovská158</t>
  </si>
  <si>
    <t>CARGLASSKlatovy</t>
  </si>
  <si>
    <t>Plzeňská823</t>
  </si>
  <si>
    <t>CARGLASSKarlovyVary</t>
  </si>
  <si>
    <t>NaVýhledě324/1</t>
  </si>
  <si>
    <t>CARGLASSZlín</t>
  </si>
  <si>
    <t>Tř.TomášeBati258</t>
  </si>
  <si>
    <t>zrušenápobočkaod01/2022</t>
  </si>
  <si>
    <t>036 64 279</t>
  </si>
  <si>
    <t>CARGLASS Kolín</t>
  </si>
  <si>
    <t>Havlíčkova 915</t>
  </si>
  <si>
    <t>Radka Šotolová</t>
  </si>
  <si>
    <t>po tel. dohodě</t>
  </si>
  <si>
    <t>otevřeno: po telefonické dohodě (info z AGC od 01/2022), od 14.2.2023 výpověď ze strany AGC pro externí síť, ponechává si jen vlastní pobočky.</t>
  </si>
  <si>
    <t>CARGLASS Hradec Králové</t>
  </si>
  <si>
    <t>Petra Jilemnického 746/4c</t>
  </si>
  <si>
    <t>Hradec Králové</t>
  </si>
  <si>
    <t>Adresa dle AGC: Koutníkova 224, otevřeno: po telefonické dohodě (info z AGC od 01/2022), od 14.2.2023 výpověď ze strany AGC pro externí síť, ponechává si jen vlastní pobočky.</t>
  </si>
  <si>
    <t>CARGLASS Tachov</t>
  </si>
  <si>
    <t>Po - Pá 8:00-16:00</t>
  </si>
  <si>
    <t>zrušená pobočka od 01/2022</t>
  </si>
  <si>
    <t>S056/2018</t>
  </si>
  <si>
    <t>CARGLASS - Autosklo Kufner</t>
  </si>
  <si>
    <t>Evropská 35</t>
  </si>
  <si>
    <t>Všechny značky vozidel</t>
  </si>
  <si>
    <t>Po - Pá 8:00 - 17:00</t>
  </si>
  <si>
    <t>od 14.2.2023 výpověď ze strany AGC pro externí síť, ponechává si jen vlastní pobočky.</t>
  </si>
  <si>
    <t>S056/2019</t>
  </si>
  <si>
    <t>CARGLASS - Jiří Bílý - EKOBAT</t>
  </si>
  <si>
    <t>Sokolovská 169/69</t>
  </si>
  <si>
    <t>Karlovy Vary</t>
  </si>
  <si>
    <t>S056/2020</t>
  </si>
  <si>
    <t>CARGLASS - Autosklo Turnov - L.Krejčík</t>
  </si>
  <si>
    <t>Sobotecká 796</t>
  </si>
  <si>
    <t>S056/2021</t>
  </si>
  <si>
    <t>CARGLASS - Zdeněk Zoubek</t>
  </si>
  <si>
    <t>Vršce 43</t>
  </si>
  <si>
    <t>S056/2022</t>
  </si>
  <si>
    <t>CARGLASS - Pavel Zima</t>
  </si>
  <si>
    <t>Lidická 37</t>
  </si>
  <si>
    <t>S056/2023</t>
  </si>
  <si>
    <t>CARGLASS - Autocentrum Glos s.r.o.</t>
  </si>
  <si>
    <t>S056/2024</t>
  </si>
  <si>
    <t>CARGLASS - Jiří Abeska</t>
  </si>
  <si>
    <t>Videňská 35</t>
  </si>
  <si>
    <t>S056/2025</t>
  </si>
  <si>
    <t>CARGLASS - Glass Car s.r.o.</t>
  </si>
  <si>
    <t>Vizovická 435</t>
  </si>
  <si>
    <t>S056/2026</t>
  </si>
  <si>
    <t>CARGLASS - Autoskla Stavarič spol. s.r.o.</t>
  </si>
  <si>
    <t>Českobratrská 4386/10</t>
  </si>
  <si>
    <t>S056/2027</t>
  </si>
  <si>
    <t>Javoříčská 1313/6A</t>
  </si>
  <si>
    <t>S056/2028</t>
  </si>
  <si>
    <t>CARGLASS - Petr Hledík- Autosklo Hleďa</t>
  </si>
  <si>
    <t>Drozdovice 87</t>
  </si>
  <si>
    <t>S056/2029</t>
  </si>
  <si>
    <t>Na Hraničkách 15</t>
  </si>
  <si>
    <t>S056/2030</t>
  </si>
  <si>
    <t>Bílanská 2595</t>
  </si>
  <si>
    <t>S056/2031</t>
  </si>
  <si>
    <t>CARGLASS - Autosklo RD René Durdík</t>
  </si>
  <si>
    <t>Anenská 961</t>
  </si>
  <si>
    <t>S056/2032</t>
  </si>
  <si>
    <t>CARGLASS - MB autosklo+autoslužby</t>
  </si>
  <si>
    <t>Palackého 150</t>
  </si>
  <si>
    <t>Mladá Boleslav</t>
  </si>
  <si>
    <t>S056/2033</t>
  </si>
  <si>
    <t>CARGLASS - Petr Skřivan</t>
  </si>
  <si>
    <t>Říčanská 2</t>
  </si>
  <si>
    <t>Sibřina</t>
  </si>
  <si>
    <t>S056/2034</t>
  </si>
  <si>
    <t>CARGLASS - Autosklo Andrle</t>
  </si>
  <si>
    <t>Volyňská 191</t>
  </si>
  <si>
    <t>S056/2035</t>
  </si>
  <si>
    <t>CARGLASS - Autosklo Partner</t>
  </si>
  <si>
    <t>Chelčického 16</t>
  </si>
  <si>
    <t>S056/2036</t>
  </si>
  <si>
    <t>CARGLASS - Autosklo Petr Gonda</t>
  </si>
  <si>
    <t>Fügnerova 812/2</t>
  </si>
  <si>
    <t>Děčín</t>
  </si>
  <si>
    <t>S056/2037</t>
  </si>
  <si>
    <t>CARGLASS - Miroslav Koudelka - AUTOSKLO</t>
  </si>
  <si>
    <t>Lipská 4696</t>
  </si>
  <si>
    <t>S056/2038</t>
  </si>
  <si>
    <t>ČSA 1294</t>
  </si>
  <si>
    <t>07.09.2021: Již nefunguje jako pobočka, zrušeno. Ponechána jen v Chomutově. od 14.2.2023 výpověď ze strany AGC pro externí síť, ponechává si jen vlastní pobočky.</t>
  </si>
  <si>
    <t>S056/2039</t>
  </si>
  <si>
    <t>CARGLASS - Autosklo-servis Šorm s.r.o.</t>
  </si>
  <si>
    <t>Horská 11</t>
  </si>
  <si>
    <t>S056/2040</t>
  </si>
  <si>
    <t>CARGLASS - Zdeněk Sakač GWS Autoskla</t>
  </si>
  <si>
    <t>Šikmá 311</t>
  </si>
  <si>
    <t>S056/2041</t>
  </si>
  <si>
    <t>CARGLASS - Autocentrum Karviná spol s.r.o.</t>
  </si>
  <si>
    <t>Za Splavem 885/1a</t>
  </si>
  <si>
    <t>Karviná - Ráj</t>
  </si>
  <si>
    <t>S056/2042</t>
  </si>
  <si>
    <t>CARGLASS - Michalka Stanislav</t>
  </si>
  <si>
    <t>Havlíčkova 1</t>
  </si>
  <si>
    <t>03.11.2021: ukončení činnosti, odebírám ze seznamu partnerů. od 14.2.2023 výpověď ze strany AGC pro externí síť, ponechává si jen vlastní pobočky.</t>
  </si>
  <si>
    <t>S056/2043</t>
  </si>
  <si>
    <t>CARGLASS - Valašské autosklo HSV s.r.o.</t>
  </si>
  <si>
    <t>Jasenická 1639</t>
  </si>
  <si>
    <t>S056/2044</t>
  </si>
  <si>
    <t>CARGLASS - Autosklo Vachtfeitl</t>
  </si>
  <si>
    <t>Pivovarská 258</t>
  </si>
  <si>
    <t>S056/2045</t>
  </si>
  <si>
    <t>CARGLASS - Zbyněk Pavlů</t>
  </si>
  <si>
    <t>Brněnská 585/14</t>
  </si>
  <si>
    <t>Žďár nad Sázavou</t>
  </si>
  <si>
    <t>od 22.02.2022 vyjmutý ze sítě, pobočka už nefunguje, od 14.2.2023 výpověď ze strany AGC pro externí síť, ponechává si jen vlastní pobočky.</t>
  </si>
  <si>
    <t>S056/2046</t>
  </si>
  <si>
    <t>CARGLASS - Auto Toncar</t>
  </si>
  <si>
    <t>Na Výsluní 351</t>
  </si>
  <si>
    <t>Horní Planá</t>
  </si>
  <si>
    <t>ne</t>
  </si>
  <si>
    <t>S056/2047</t>
  </si>
  <si>
    <t>CARGLASS - Autosklo CZ Příbram</t>
  </si>
  <si>
    <t>Husova 267</t>
  </si>
  <si>
    <t>S056/2048</t>
  </si>
  <si>
    <t>CARGLASS - Autoservis Ara</t>
  </si>
  <si>
    <t>Budějovická 304</t>
  </si>
  <si>
    <t>Český Krumlov</t>
  </si>
  <si>
    <t>S056/2049</t>
  </si>
  <si>
    <t>CARGLASS - Autosklo Miroslav Klik</t>
  </si>
  <si>
    <t>Dukelská 645/9</t>
  </si>
  <si>
    <t>Tábor - Sezimovo Ústí</t>
  </si>
  <si>
    <t>S057/2017</t>
  </si>
  <si>
    <t>AUTOSKLANechvíle,s.r.o.</t>
  </si>
  <si>
    <t>Újezdská336</t>
  </si>
  <si>
    <t>Choceň</t>
  </si>
  <si>
    <t>p.Nechvíle,pí.Dvořáková</t>
  </si>
  <si>
    <t>autosklo.nechvile@seznam.cz</t>
  </si>
  <si>
    <t>S058/2017</t>
  </si>
  <si>
    <t>Autosklo-servisBoučeks.r.o.</t>
  </si>
  <si>
    <t>JosefaČapka1493</t>
  </si>
  <si>
    <t>KarelBouček</t>
  </si>
  <si>
    <t>servis@autosklokladno.cz</t>
  </si>
  <si>
    <t>8:00-16:00|8:00-16:00|8:00-16:00|8:00-16:00|8:00-16:00|8:00-12:00|-.</t>
  </si>
  <si>
    <t>S059/2017</t>
  </si>
  <si>
    <t>758 13 645</t>
  </si>
  <si>
    <t>Autosklo Kubas</t>
  </si>
  <si>
    <t>Oslavanská 86</t>
  </si>
  <si>
    <t>Ivančice</t>
  </si>
  <si>
    <t>Jakub Střebický</t>
  </si>
  <si>
    <t>autokubas@volny.cz</t>
  </si>
  <si>
    <t>Z důvodu opakovaných podvodů ve fakturaci výpověď k 30.11.2022</t>
  </si>
  <si>
    <t>S060/2017</t>
  </si>
  <si>
    <t>JiříBílý-AUTOSKLA</t>
  </si>
  <si>
    <t>Sokolovská169/69</t>
  </si>
  <si>
    <t>JiříBílý</t>
  </si>
  <si>
    <t>bily@autosklobily.cz</t>
  </si>
  <si>
    <t>S061/2017</t>
  </si>
  <si>
    <t>AutoskloKulhavý-MilanKulhavý</t>
  </si>
  <si>
    <t>17.lispopadu236</t>
  </si>
  <si>
    <t>MichalHačko</t>
  </si>
  <si>
    <t>autosklo-hk@volny.cz</t>
  </si>
  <si>
    <t>Pražská880</t>
  </si>
  <si>
    <t>MilanKulhavý</t>
  </si>
  <si>
    <t>27.5.2022-změnaadresy,původníPražská184</t>
  </si>
  <si>
    <t>S062/2017</t>
  </si>
  <si>
    <t>R-SPEEDs.r.o.</t>
  </si>
  <si>
    <t>Plhovská140</t>
  </si>
  <si>
    <t>IvoRohan</t>
  </si>
  <si>
    <t>r-speed@r-speed.cz</t>
  </si>
  <si>
    <t>S064/2017</t>
  </si>
  <si>
    <t>MiroslavLapisz</t>
  </si>
  <si>
    <t>Dělnická28a/1461</t>
  </si>
  <si>
    <t>lapiszmiroslav@seznam.cz</t>
  </si>
  <si>
    <t>S065/2017</t>
  </si>
  <si>
    <t>866 89 304</t>
  </si>
  <si>
    <t>Ladislav Krejčík – Autosklo Turnov</t>
  </si>
  <si>
    <t>pí. Krejčíková</t>
  </si>
  <si>
    <t>LadislavKrejcik@seznam.cz</t>
  </si>
  <si>
    <t>608 243 007, 481 311 028</t>
  </si>
  <si>
    <t>smlouva zrušena k 31.12.2023, náhrada S128/2023 - přechod na s.r.o.</t>
  </si>
  <si>
    <t>S066/2017</t>
  </si>
  <si>
    <t>AutoskloNBs.r.o.</t>
  </si>
  <si>
    <t>Lipová824</t>
  </si>
  <si>
    <t>NovýBor</t>
  </si>
  <si>
    <t>PavelMoučka</t>
  </si>
  <si>
    <t>autosklobor@seznam.cz</t>
  </si>
  <si>
    <t>9:00-16:30|9:00-16:30|9:00-16:30|9:00-16:30|9:00-16:30|-|-.</t>
  </si>
  <si>
    <t>S067/2017</t>
  </si>
  <si>
    <t>OtaŠída–AUTOSKLAATO</t>
  </si>
  <si>
    <t>Vítkovská269</t>
  </si>
  <si>
    <t>OtaŠída</t>
  </si>
  <si>
    <t>info@autosklaatosokolov.cz</t>
  </si>
  <si>
    <t>S069/2017</t>
  </si>
  <si>
    <t>AUTOSKLASTAVARIČs.r.o.</t>
  </si>
  <si>
    <t>Českobratrská4386/10</t>
  </si>
  <si>
    <t>pí.Stavaričová</t>
  </si>
  <si>
    <t>vymenaautoskel@centrum.cz</t>
  </si>
  <si>
    <t>Javoříčská1313/6A</t>
  </si>
  <si>
    <t>S071/2017</t>
  </si>
  <si>
    <t>VladimírŠtefan–PROFISKLO</t>
  </si>
  <si>
    <t>ProstředníLánov129</t>
  </si>
  <si>
    <t>Lánov</t>
  </si>
  <si>
    <t>VladimírŠtefan</t>
  </si>
  <si>
    <t>info@profi-sklo.cz</t>
  </si>
  <si>
    <t>S072/2017</t>
  </si>
  <si>
    <t>JiříAbeska</t>
  </si>
  <si>
    <t>Videňská35</t>
  </si>
  <si>
    <t>info@abeska.cz</t>
  </si>
  <si>
    <t>9:00-17:00|9:00-17:00|9:00-17:00|9:00-17:00|9:00-17:00|-|-.</t>
  </si>
  <si>
    <t>S073/2017</t>
  </si>
  <si>
    <t>GlazingAUTOSKLOs.r.o.</t>
  </si>
  <si>
    <t>Okružní704</t>
  </si>
  <si>
    <t>PavelMeškan</t>
  </si>
  <si>
    <t>glazing.autosklo@seznam.cz</t>
  </si>
  <si>
    <t>8:00-17:00|8:00-17:00|8:00-17:00|8:00-17:00|8:00-17:00|8:00-11:00|-.</t>
  </si>
  <si>
    <t>Žernovická984</t>
  </si>
  <si>
    <t>DanielHotvath</t>
  </si>
  <si>
    <t>9:00-14:30|-|9:00-14:30|-|9:00-14:30|-|-.</t>
  </si>
  <si>
    <t>S074/2017</t>
  </si>
  <si>
    <t>663 96 930</t>
  </si>
  <si>
    <t>Roman Brázda</t>
  </si>
  <si>
    <t>Strážnická 1522</t>
  </si>
  <si>
    <t>p. Brázda</t>
  </si>
  <si>
    <t>info@autosklabrazda.net</t>
  </si>
  <si>
    <t>602 244 850, 602 363 663, 731 584 630</t>
  </si>
  <si>
    <t>8:00-12:00, 13:00-17:00|8:00-12:00, 13:00-17:00|8:00-12:00, 13:00-17:00|8:00-12:00, 13:00-17:00|8:00-12:00, 13:00-17:00|-|-.</t>
  </si>
  <si>
    <t>koncem roku 2021 ukončil činnost, nepodniká. Spolupráce s AGC</t>
  </si>
  <si>
    <t>S075/2017</t>
  </si>
  <si>
    <t>RadekKadeřábek-AutoservisGPS</t>
  </si>
  <si>
    <t>NaBlatech3294</t>
  </si>
  <si>
    <t>RadekKadeřábek</t>
  </si>
  <si>
    <t>S076/2017</t>
  </si>
  <si>
    <t>AutosklaVejmola,s.r.o.</t>
  </si>
  <si>
    <t>Dobrovského528</t>
  </si>
  <si>
    <t>ZdeněkVejmola</t>
  </si>
  <si>
    <t>autoskla.vejmola@zealnet.cz</t>
  </si>
  <si>
    <t>7:00-17:00|7:00-17:00|7:00-17:00|7:00-17:00|7:00-16:00|-|-.</t>
  </si>
  <si>
    <t>S077/2017</t>
  </si>
  <si>
    <t>Autosklo-servisRychnovn.K.,s.r.o.</t>
  </si>
  <si>
    <t>DlouháVes116</t>
  </si>
  <si>
    <t>RychnovnadKněžnou</t>
  </si>
  <si>
    <t>MartinBrandejs</t>
  </si>
  <si>
    <t>rychnov@autosklo.info</t>
  </si>
  <si>
    <t>S078/2017</t>
  </si>
  <si>
    <t>AutoskloGOa.s.</t>
  </si>
  <si>
    <t>Okružní2615</t>
  </si>
  <si>
    <t>servis@autosklogo.cz</t>
  </si>
  <si>
    <t>Chýnovská2989</t>
  </si>
  <si>
    <t>Utováren999/31</t>
  </si>
  <si>
    <t>Okružní204</t>
  </si>
  <si>
    <t>Rokytnice-Vsetín</t>
  </si>
  <si>
    <t>7:00-17:00|7:00-17:00|7:00-17:00|7:00-17:00|8:00-15:30|-|-.</t>
  </si>
  <si>
    <t>Kosovská457/10</t>
  </si>
  <si>
    <t>Špitálka21a</t>
  </si>
  <si>
    <t>Hranická272</t>
  </si>
  <si>
    <t>Štramberská2874/41a</t>
  </si>
  <si>
    <t>Bořivojova878/35</t>
  </si>
  <si>
    <t>Jdeosídlospolečnosti.</t>
  </si>
  <si>
    <t>S079/2017</t>
  </si>
  <si>
    <t>187 95 447</t>
  </si>
  <si>
    <t>Zbyněk Pavlů - AUTOSKLO SERVIS</t>
  </si>
  <si>
    <t>Zbyněk Pavlů</t>
  </si>
  <si>
    <t>zbynekpavlu@centrum.cz</t>
  </si>
  <si>
    <t>Servis podal výpověď (odchod do důchodu).</t>
  </si>
  <si>
    <t>S080/2017</t>
  </si>
  <si>
    <t>StanislavVondra-AutosklaVONDRA</t>
  </si>
  <si>
    <t>Divišova7</t>
  </si>
  <si>
    <t>StanislavVondra</t>
  </si>
  <si>
    <t>autosklavondra@seznam.cz</t>
  </si>
  <si>
    <t>8:00-11:00,12:00-16:00|8:00-11:00,12:00-16:00|8:00-11:00,12:00-16:00|8:00-11:00,12:00-16:00|8:00-11:00,12:00-16:00|-|-.</t>
  </si>
  <si>
    <t>S081/2017</t>
  </si>
  <si>
    <t>LukášSedláček-AutoskloservisKladno</t>
  </si>
  <si>
    <t>Dukelskýchhrdinů1652</t>
  </si>
  <si>
    <t>LukášSedláček</t>
  </si>
  <si>
    <t>info@sklozdarma.cz</t>
  </si>
  <si>
    <t>S082/2017</t>
  </si>
  <si>
    <t>JindřichDoležal-AUTOSKLOSERVIS</t>
  </si>
  <si>
    <t>Záchalupčí940</t>
  </si>
  <si>
    <t>Kunovice</t>
  </si>
  <si>
    <t>JindřichDoležal</t>
  </si>
  <si>
    <t>autosklo.dolezal@tiscali.cz</t>
  </si>
  <si>
    <t>S083/2017</t>
  </si>
  <si>
    <t>PodNáspem2005</t>
  </si>
  <si>
    <t>S084/2017</t>
  </si>
  <si>
    <t>S085/2017</t>
  </si>
  <si>
    <t>RomanLedinský-AutoskloLedinský</t>
  </si>
  <si>
    <t>PodHájem327</t>
  </si>
  <si>
    <t>Beroun-KrálůvDvůr</t>
  </si>
  <si>
    <t>RomanLedinský</t>
  </si>
  <si>
    <t>skody@autoskloledinsky.cz,info@autoskloledinsky.cz</t>
  </si>
  <si>
    <t>9:00-16:00|9:00-16:00|9:00-16:00|9:00-16:00|9:00-16:00|-|-.</t>
  </si>
  <si>
    <t>CARGLASSLiberec</t>
  </si>
  <si>
    <t>OCNisa,ČeskéMládeže456</t>
  </si>
  <si>
    <t>náměstíJiříhozPoděbrad403</t>
  </si>
  <si>
    <t>NovýKnín</t>
  </si>
  <si>
    <t>PodSvahem206</t>
  </si>
  <si>
    <t>HlásnáTřebáň</t>
  </si>
  <si>
    <t>S086/2017</t>
  </si>
  <si>
    <t>MiroslavKudelaautosklo</t>
  </si>
  <si>
    <t>NaOlmovci650</t>
  </si>
  <si>
    <t>MiroslavKudela</t>
  </si>
  <si>
    <t>autosklamiross@seznam.cz</t>
  </si>
  <si>
    <t>9:00-17:00|9:00-17:00|9:00-17:00|9:00-17:00|9:00-17:00|-|-. </t>
  </si>
  <si>
    <t>S087/2017</t>
  </si>
  <si>
    <t>Autoskla-Trades.r.o.</t>
  </si>
  <si>
    <t>Babíčkova1104/8</t>
  </si>
  <si>
    <t>p.Grunt</t>
  </si>
  <si>
    <t>info@autoskla-trade.cz</t>
  </si>
  <si>
    <t>8:00-17:00|8:00-17:00|8:00-17:00|8:00-17:00|8:00-15:00|-|-. </t>
  </si>
  <si>
    <t>S110/2019</t>
  </si>
  <si>
    <t>PetrVařejka-Autofix</t>
  </si>
  <si>
    <t>Sušice167</t>
  </si>
  <si>
    <t>MoravskáTřebová</t>
  </si>
  <si>
    <t>PetrVařejka</t>
  </si>
  <si>
    <t>varejka@autofix.cz</t>
  </si>
  <si>
    <t>Zadní182/3</t>
  </si>
  <si>
    <t>Třebovice79</t>
  </si>
  <si>
    <t>Třebovice</t>
  </si>
  <si>
    <t>AUTOSKLO.TOP</t>
  </si>
  <si>
    <t>S111/2020</t>
  </si>
  <si>
    <t>TetraconGroup,s.r.o.-AUTOSKLO.TOP</t>
  </si>
  <si>
    <t>Modřanská283/80</t>
  </si>
  <si>
    <t>zakazky@autosklo.top</t>
  </si>
  <si>
    <t>Všechnyznačkyvozidel</t>
  </si>
  <si>
    <t>po-pá8:00-16:30</t>
  </si>
  <si>
    <t>50.0208808</t>
  </si>
  <si>
    <t>14.4039261</t>
  </si>
  <si>
    <t>původníadresa:NaRovinách390/6,od1.7.2023do30.6.2024smluvenacenazaopravuprvníprasklinyvrámcijednéPUmetodous,celenína2300,podíltěchtoopravnacelkovémpočturealizovanýchzakázekčinilměsíčněnejméně13%,Poskončenítohotoobdobíbudepožadovanékritérium13%podíluscelenívyhodnocenoadleskutečnědosaženého%podíluopravčelníchskelmetodouscelenístanovenanovácenazaopravuprvníprasklinymetodouscelení.Dostanovenítétonovécenypakplatícena1500,-Kč.</t>
  </si>
  <si>
    <t>Svatopetrská725/7a</t>
  </si>
  <si>
    <t>od1.7.2023do30.6.2024smluvenacenazaopravuprvníprasklinyvrámcijednéPUmetodous,celenína2300,podíltěchtoopravnacelkovémpočturealizovanýchzakázekčinilměsíčněnejméně13%,Poskončenítohotoobdobíbudepožadovanékritérium13%podíluscelenívyhodnocenoadleskutečnědosaženého%podíluopravčelníchskelmetodouscelenístanovenanovácenazaopravuprvníprasklinymetodouscelení.Dostanovenítétonovécenypakplatícena1500,-Kč.</t>
  </si>
  <si>
    <t>Hrázní3165</t>
  </si>
  <si>
    <t>Sokolovská124(areálTVZ)</t>
  </si>
  <si>
    <t>Bystrá761/10</t>
  </si>
  <si>
    <t>Praha20-HorníPočernice</t>
  </si>
  <si>
    <t>KLetišti907</t>
  </si>
  <si>
    <t>Havlíčkova915</t>
  </si>
  <si>
    <t>Havlíčkova206/58</t>
  </si>
  <si>
    <t>49.95255</t>
  </si>
  <si>
    <t>14.70332</t>
  </si>
  <si>
    <t>Brněnská123</t>
  </si>
  <si>
    <t>Třebíč-Kožichovice</t>
  </si>
  <si>
    <t>49.85</t>
  </si>
  <si>
    <t>14.37648</t>
  </si>
  <si>
    <t>Železničníhopluku673</t>
  </si>
  <si>
    <t>49.83183</t>
  </si>
  <si>
    <t>14.77748</t>
  </si>
  <si>
    <t>Těšínská27/270</t>
  </si>
  <si>
    <t>Ostrava-Radvanice</t>
  </si>
  <si>
    <t>areálSTK,vjezdzuliceLinkova,od1.7.2023do30.6.2024smluvenacenazaopravuprvníprasklinyvrámcijednéPUmetodous,celenína2300,podíltěchtoopravnacelkovémpočturealizovanýchzakázekčinilměsíčněnejméně13%,Poskončenítohotoobdobíbudepožadovanékritérium13%podíluscelenívyhodnocenoadleskutečnědosaženého%podíluopravčelníchskelmetodouscelenístanovenanovácenazaopravuprvníprasklinymetodouscelení.Dostanovenítétonovécenypakplatícena1500,-Kč.</t>
  </si>
  <si>
    <t>BratříŠtefanů902/71</t>
  </si>
  <si>
    <t>50.2189847</t>
  </si>
  <si>
    <t>15.8793778</t>
  </si>
  <si>
    <t>Tanvaldská1458</t>
  </si>
  <si>
    <t>Naspravedlnosti1533</t>
  </si>
  <si>
    <t>PříbramIV</t>
  </si>
  <si>
    <t>S112/2021</t>
  </si>
  <si>
    <t>AUTOSKLO-H.A.K.spol.sr.o.</t>
  </si>
  <si>
    <t>Hradecká575</t>
  </si>
  <si>
    <t>autoskla@autosklo-hak.cz</t>
  </si>
  <si>
    <t>Koutníkova272</t>
  </si>
  <si>
    <t>hk@autosklo-hak.cz</t>
  </si>
  <si>
    <t>cr@autosklo-hak.cz</t>
  </si>
  <si>
    <t>Trstěnická932</t>
  </si>
  <si>
    <t>lit@autosklo-hak.cz</t>
  </si>
  <si>
    <t>Petrusova2154/4</t>
  </si>
  <si>
    <t>svi@autosklo-hak.cz</t>
  </si>
  <si>
    <t>Hradecká126</t>
  </si>
  <si>
    <t>vm@autosklo-hak.cz</t>
  </si>
  <si>
    <t>727 946 740</t>
  </si>
  <si>
    <t>S113/2021</t>
  </si>
  <si>
    <t>fabucotechnikAGs.r.o.–AutoskloLetňany</t>
  </si>
  <si>
    <t>Beranových823(areálAVIA)</t>
  </si>
  <si>
    <t>TomášDzurko</t>
  </si>
  <si>
    <t>tomas@autoskloletnany.cz</t>
  </si>
  <si>
    <t>731 523 042</t>
  </si>
  <si>
    <t>S115/2021</t>
  </si>
  <si>
    <t>PetrZoubek(AutoaskloZoubek)</t>
  </si>
  <si>
    <t>Grmelova2069/09</t>
  </si>
  <si>
    <t>PetrZoubek</t>
  </si>
  <si>
    <t>info@autosklopilkington.cz</t>
  </si>
  <si>
    <t>S116/2022</t>
  </si>
  <si>
    <t>AlešKuropatnický(AutosklaPřerov)</t>
  </si>
  <si>
    <t>Nová1454</t>
  </si>
  <si>
    <t>AlešKuropatnický</t>
  </si>
  <si>
    <t>ales.kuropatnicky@volny.cz</t>
  </si>
  <si>
    <t>Teličkova512/36</t>
  </si>
  <si>
    <t>PřerovII-Předmostí</t>
  </si>
  <si>
    <t>Od8.7.2024změnaadresyzpůvodníTovární.</t>
  </si>
  <si>
    <t>S117/2022</t>
  </si>
  <si>
    <t>AutocentrumKarvináspol.sr.o.</t>
  </si>
  <si>
    <t>ZaSplavem885/1a</t>
  </si>
  <si>
    <t>Karviná-Ráj</t>
  </si>
  <si>
    <t>MiroslavDavid</t>
  </si>
  <si>
    <t>prijem@autocentrumkarvina.cz</t>
  </si>
  <si>
    <t>777 987 567</t>
  </si>
  <si>
    <t>S118/2022</t>
  </si>
  <si>
    <t>Lukáš Reichel - Autosklo Brno.com</t>
  </si>
  <si>
    <t>Havránkova 30/11</t>
  </si>
  <si>
    <t>Lukáš Reichel</t>
  </si>
  <si>
    <t>info@autosklobrno.com</t>
  </si>
  <si>
    <t>Po - Pá 8:00 - 16:00</t>
  </si>
  <si>
    <t>Od 1.10.2024 změna na nové IČ (s.r.o.) 21860921. Převod na novou smlouvu č. S131/2024.</t>
  </si>
  <si>
    <t>S119/2022</t>
  </si>
  <si>
    <t>Autoexpertspol.sr.o.</t>
  </si>
  <si>
    <t>Dukelskýchhrdinů330</t>
  </si>
  <si>
    <t>Terezín</t>
  </si>
  <si>
    <t>office@simplecar.cz</t>
  </si>
  <si>
    <t>S121/2023</t>
  </si>
  <si>
    <t>PetrSkřivan</t>
  </si>
  <si>
    <t>Říčanská2</t>
  </si>
  <si>
    <t>petrskrivan@volny.cz</t>
  </si>
  <si>
    <t>S122/2023</t>
  </si>
  <si>
    <t>AutoCentrumGloss.r.o.</t>
  </si>
  <si>
    <t>Brněnská59/c</t>
  </si>
  <si>
    <t>MichalStudnica</t>
  </si>
  <si>
    <t>S123/2023</t>
  </si>
  <si>
    <t>Miroslav Koudelka Autosklo</t>
  </si>
  <si>
    <t>Miroslav Koudelka</t>
  </si>
  <si>
    <t>autosklo.koudelka@seznam.cz</t>
  </si>
  <si>
    <t>P. Koudelka prodal firmu nová je pod S130/2024</t>
  </si>
  <si>
    <t>S125/2023</t>
  </si>
  <si>
    <t>AutoskloHSExperts.r.o.</t>
  </si>
  <si>
    <t>Národnísvobody31/13</t>
  </si>
  <si>
    <t>info@autosklohs.cz</t>
  </si>
  <si>
    <t>Volyňská446</t>
  </si>
  <si>
    <t>49.2520906</t>
  </si>
  <si>
    <t>13.9117581</t>
  </si>
  <si>
    <t>Kněžkodvorská25</t>
  </si>
  <si>
    <t>48.9923808</t>
  </si>
  <si>
    <t>14.4739411</t>
  </si>
  <si>
    <t>Majdalena3</t>
  </si>
  <si>
    <t>Majdalena</t>
  </si>
  <si>
    <t>48.9640000</t>
  </si>
  <si>
    <t>14.8606939</t>
  </si>
  <si>
    <t>Táborská121</t>
  </si>
  <si>
    <t>Mirovice</t>
  </si>
  <si>
    <t>49.5117506</t>
  </si>
  <si>
    <t>14.0312122</t>
  </si>
  <si>
    <t>S127/2023</t>
  </si>
  <si>
    <t>ACAutosklos.r.o.</t>
  </si>
  <si>
    <t>Hybešova725/40</t>
  </si>
  <si>
    <t>JiříCupák</t>
  </si>
  <si>
    <t>49.1896217</t>
  </si>
  <si>
    <t>16.6005486</t>
  </si>
  <si>
    <t>S128/2023</t>
  </si>
  <si>
    <t>AutoskloTurnovs.r.o.</t>
  </si>
  <si>
    <t>Sobotecká796</t>
  </si>
  <si>
    <t>pí.Krejčíková</t>
  </si>
  <si>
    <t>autoskloturnov@gmail.com</t>
  </si>
  <si>
    <t>50.5853000</t>
  </si>
  <si>
    <t>15.1553000</t>
  </si>
  <si>
    <t>podílscelení10%</t>
  </si>
  <si>
    <t>S129/2024</t>
  </si>
  <si>
    <t>Štefánikova1702/46</t>
  </si>
  <si>
    <t>48.8533681</t>
  </si>
  <si>
    <t>17.1309100</t>
  </si>
  <si>
    <t>S130/2025</t>
  </si>
  <si>
    <t>AutoskloKoudelka-VladislavBinko</t>
  </si>
  <si>
    <t>Lipská4696</t>
  </si>
  <si>
    <t>VladislavBinko</t>
  </si>
  <si>
    <t>50.4730714</t>
  </si>
  <si>
    <t>13.3840972</t>
  </si>
  <si>
    <t>S131/2024</t>
  </si>
  <si>
    <t>AutoskloBrnos.r.o.</t>
  </si>
  <si>
    <t>Havránkova30/11</t>
  </si>
  <si>
    <t>LukášReichel</t>
  </si>
  <si>
    <t>49.1576067</t>
  </si>
  <si>
    <t>16.621871</t>
  </si>
  <si>
    <t>S133/2024</t>
  </si>
  <si>
    <t>JakubKokošín(AutoskloKokošín)</t>
  </si>
  <si>
    <t>Poděbradova134</t>
  </si>
  <si>
    <t>Jičín</t>
  </si>
  <si>
    <t>JakubKokošín</t>
  </si>
  <si>
    <t>info@autoskla-kokosin.cz</t>
  </si>
  <si>
    <t>50.4200653</t>
  </si>
  <si>
    <t>15.3502458</t>
  </si>
  <si>
    <t>S134/2024</t>
  </si>
  <si>
    <t>TomášRýc-AutoskloNeJ</t>
  </si>
  <si>
    <t>Dukelská591</t>
  </si>
  <si>
    <t>TomášRýc</t>
  </si>
  <si>
    <t>autosklonej@seznam.cz</t>
  </si>
  <si>
    <t>49.6101456</t>
  </si>
  <si>
    <t>17.9981019</t>
  </si>
  <si>
    <t>od1.1.2025do31.12.2025prvníprasklina1800,13%sceleníměsíčně</t>
  </si>
  <si>
    <t>PSC</t>
  </si>
  <si>
    <t>okres</t>
  </si>
  <si>
    <t>kraj</t>
  </si>
  <si>
    <t>Hlavní město Praha</t>
  </si>
  <si>
    <t>Praha-východ</t>
  </si>
  <si>
    <t>Středočeský kraj</t>
  </si>
  <si>
    <t>Praha-západ</t>
  </si>
  <si>
    <t>Jihočeský kraj</t>
  </si>
  <si>
    <t>Pardubický kraj</t>
  </si>
  <si>
    <t>Kutná Hora</t>
  </si>
  <si>
    <t>Královéhradecký kraj</t>
  </si>
  <si>
    <t>Liberecký kraj</t>
  </si>
  <si>
    <t>Plzeň-město</t>
  </si>
  <si>
    <t>Plzeňský kraj</t>
  </si>
  <si>
    <t>Plzeň-sever</t>
  </si>
  <si>
    <t>Plzeň-jih</t>
  </si>
  <si>
    <t>Karlovarský kraj</t>
  </si>
  <si>
    <t>Jindřichův Hradec</t>
  </si>
  <si>
    <t>Kraj Vysočina</t>
  </si>
  <si>
    <t>Ústí nad Labem</t>
  </si>
  <si>
    <t>Ústecký kraj</t>
  </si>
  <si>
    <t>Rychnov nad Kněžnou</t>
  </si>
  <si>
    <t>Ústí nad Orlicí</t>
  </si>
  <si>
    <t>Havlíčkův Brod</t>
  </si>
  <si>
    <t>Brno-venkov</t>
  </si>
  <si>
    <t>Jihomoravský kraj</t>
  </si>
  <si>
    <t>Brno-město</t>
  </si>
  <si>
    <t>Uherské Hradiště</t>
  </si>
  <si>
    <t>Zlínský kraj</t>
  </si>
  <si>
    <t>Ostrava-město</t>
  </si>
  <si>
    <t>Moravskoslezský kraj</t>
  </si>
  <si>
    <t>Přerov</t>
  </si>
  <si>
    <t>Olomoucký kraj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</si>
</sst>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,000"/>
  </numFmts>
  <fonts count="13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0"/>
      <color rgb="FF000000"/>
      <name val="Arial"/>
      <family val="2"/>
      <charset val="238"/>
    </font>
    <font>
      <u/>
      <sz val="11"/>
      <color rgb="FF0563C1"/>
      <name val="Calibri"/>
      <family val="2"/>
      <charset val="238"/>
    </font>
    <font>
      <sz val="8"/>
      <name val="Aptos Narrow"/>
      <family val="2"/>
      <charset val="238"/>
      <scheme val="minor"/>
    </font>
    <font>
      <strike/>
      <sz val="10"/>
      <name val="Arial"/>
      <family val="2"/>
      <charset val="238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u/>
      <sz val="10"/>
      <name val="Arial"/>
      <family val="2"/>
      <charset val="238"/>
    </font>
    <font>
      <strike/>
      <u/>
      <sz val="10"/>
      <name val="Arial"/>
      <family val="2"/>
      <charset val="238"/>
    </font>
    <font>
      <i/>
      <strike/>
      <sz val="10"/>
      <name val="Arial"/>
      <family val="2"/>
      <charset val="238"/>
    </font>
    <font>
      <i/>
      <sz val="1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2" fillId="2" borderId="0" applyNumberFormat="0" applyBorder="0" applyAlignment="0" applyProtection="0"/>
    <xf numFmtId="0" fontId="3" fillId="0" borderId="0" applyNumberFormat="0" applyBorder="0" applyProtection="0"/>
    <xf numFmtId="0" fontId="4" fillId="0" borderId="0" applyNumberFormat="0" applyFill="0" applyBorder="0" applyAlignment="0" applyProtection="0"/>
    <xf numFmtId="0" fontId="1" fillId="0" borderId="0"/>
  </cellStyleXfs>
  <cellXfs count="35">
    <xf numFmtId="0" fontId="0" fillId="0" borderId="0" xfId="0"/>
    <xf numFmtId="0" fontId="6" fillId="0" borderId="0" xfId="1" applyFont="1" applyFill="1" applyBorder="1" applyAlignment="1">
      <alignment horizontal="left" vertical="center" wrapText="1"/>
    </xf>
    <xf numFmtId="3" fontId="6" fillId="0" borderId="0" xfId="1" applyNumberFormat="1" applyFont="1" applyFill="1" applyBorder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7" fillId="0" borderId="0" xfId="1" applyFont="1" applyFill="1" applyBorder="1" applyAlignment="1">
      <alignment horizontal="left" vertical="center" wrapText="1"/>
    </xf>
    <xf numFmtId="0" fontId="9" fillId="0" borderId="0" xfId="3" applyFont="1" applyFill="1" applyBorder="1" applyAlignment="1">
      <alignment horizontal="left" vertical="center" wrapText="1"/>
    </xf>
    <xf numFmtId="3" fontId="7" fillId="0" borderId="0" xfId="1" applyNumberFormat="1" applyFont="1" applyFill="1" applyBorder="1" applyAlignment="1">
      <alignment horizontal="left" vertical="center" wrapText="1"/>
    </xf>
    <xf numFmtId="0" fontId="7" fillId="0" borderId="0" xfId="1" applyNumberFormat="1" applyFont="1" applyFill="1" applyBorder="1" applyAlignment="1">
      <alignment horizontal="left" vertical="center" wrapText="1"/>
    </xf>
    <xf numFmtId="3" fontId="7" fillId="0" borderId="0" xfId="0" applyNumberFormat="1" applyFont="1" applyAlignment="1">
      <alignment horizontal="left" vertical="center" wrapText="1"/>
    </xf>
    <xf numFmtId="0" fontId="6" fillId="0" borderId="0" xfId="1" applyNumberFormat="1" applyFont="1" applyFill="1" applyBorder="1" applyAlignment="1">
      <alignment horizontal="left" vertical="center" wrapText="1"/>
    </xf>
    <xf numFmtId="0" fontId="10" fillId="0" borderId="0" xfId="3" applyFont="1" applyFill="1" applyBorder="1" applyAlignment="1">
      <alignment horizontal="left" vertical="center" wrapText="1"/>
    </xf>
    <xf numFmtId="3" fontId="6" fillId="0" borderId="0" xfId="0" applyNumberFormat="1" applyFont="1" applyAlignment="1">
      <alignment horizontal="left" vertical="center" wrapText="1"/>
    </xf>
    <xf numFmtId="0" fontId="11" fillId="0" borderId="0" xfId="1" applyFont="1" applyFill="1" applyBorder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1" fontId="7" fillId="0" borderId="0" xfId="1" applyNumberFormat="1" applyFont="1" applyFill="1" applyBorder="1" applyAlignment="1">
      <alignment horizontal="left" vertical="center" wrapText="1"/>
    </xf>
    <xf numFmtId="164" fontId="7" fillId="0" borderId="0" xfId="1" applyNumberFormat="1" applyFont="1" applyFill="1" applyBorder="1" applyAlignment="1">
      <alignment horizontal="left" vertical="center" wrapText="1"/>
    </xf>
    <xf numFmtId="1" fontId="6" fillId="0" borderId="0" xfId="1" applyNumberFormat="1" applyFont="1" applyFill="1" applyBorder="1" applyAlignment="1">
      <alignment horizontal="left" vertical="center" wrapText="1"/>
    </xf>
    <xf numFmtId="2" fontId="6" fillId="0" borderId="0" xfId="1" applyNumberFormat="1" applyFont="1" applyFill="1" applyBorder="1" applyAlignment="1">
      <alignment horizontal="left" vertical="center" wrapText="1"/>
    </xf>
    <xf numFmtId="2" fontId="6" fillId="0" borderId="0" xfId="0" applyNumberFormat="1" applyFont="1" applyAlignment="1">
      <alignment horizontal="left" vertical="center" wrapText="1"/>
    </xf>
    <xf numFmtId="0" fontId="7" fillId="0" borderId="0" xfId="4" applyFont="1" applyAlignment="1">
      <alignment horizontal="left" vertical="center" wrapText="1"/>
    </xf>
    <xf numFmtId="0" fontId="8" fillId="3" borderId="0" xfId="0" applyFont="1" applyFill="1" applyAlignment="1">
      <alignment horizontal="left" vertical="center" wrapText="1"/>
    </xf>
    <xf numFmtId="0" fontId="8" fillId="4" borderId="0" xfId="0" applyFont="1" applyFill="1" applyAlignment="1">
      <alignment horizontal="left" vertical="center" wrapText="1"/>
    </xf>
    <xf numFmtId="0" fontId="8" fillId="5" borderId="0" xfId="0" applyFont="1" applyFill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5" borderId="2" xfId="0" applyFont="1" applyFill="1" applyBorder="1" applyAlignment="1">
      <alignment horizontal="left" vertical="center" wrapText="1"/>
    </xf>
    <xf numFmtId="0" fontId="7" fillId="4" borderId="3" xfId="0" applyFont="1" applyFill="1" applyBorder="1" applyAlignment="1">
      <alignment horizontal="left" vertical="center" wrapText="1"/>
    </xf>
    <xf numFmtId="9" fontId="7" fillId="0" borderId="0" xfId="0" applyNumberFormat="1" applyFont="1" applyAlignment="1">
      <alignment horizontal="left" vertical="center" wrapText="1"/>
    </xf>
    <xf numFmtId="9" fontId="7" fillId="0" borderId="0" xfId="1" applyNumberFormat="1" applyFont="1" applyFill="1" applyBorder="1" applyAlignment="1">
      <alignment horizontal="left" vertical="center" wrapText="1"/>
    </xf>
    <xf numFmtId="0" fontId="4" fillId="0" borderId="0" xfId="3" applyFill="1" applyBorder="1" applyAlignment="1">
      <alignment horizontal="left" vertical="center" wrapText="1"/>
    </xf>
    <xf numFmtId="0" fontId="4" fillId="0" borderId="0" xfId="3"/>
    <xf numFmtId="16" fontId="7" fillId="0" borderId="0" xfId="1" applyNumberFormat="1" applyFont="1" applyFill="1" applyBorder="1" applyAlignment="1">
      <alignment horizontal="left" vertical="center" wrapText="1"/>
    </xf>
    <xf numFmtId="1" fontId="7" fillId="0" borderId="0" xfId="0" applyNumberFormat="1" applyFont="1" applyAlignment="1">
      <alignment horizontal="left" vertical="center" wrapText="1"/>
    </xf>
  </cellXfs>
  <cellStyles count="5">
    <cellStyle name="Hypertextový odkaz" xfId="3" xr:uid="{E40EDA6B-55BF-4679-B8CF-BD46243BD7AD}"/>
    <cellStyle name="Normální" xfId="0" builtinId="0"/>
    <cellStyle name="normální 2" xfId="2" xr:uid="{C32F3B74-2B29-4586-AEDA-B170760D51EA}"/>
    <cellStyle name="Normální 20" xfId="4" xr:uid="{A0241B61-4733-4587-8D76-16CEC7BEBEB1}"/>
    <cellStyle name="Správně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servis@autocentrumnovotny.cz" TargetMode="External"/><Relationship Id="rId21" Type="http://schemas.openxmlformats.org/officeDocument/2006/relationships/hyperlink" Target="mailto:roman.kaspar@au-tech.cz" TargetMode="External"/><Relationship Id="rId324" Type="http://schemas.openxmlformats.org/officeDocument/2006/relationships/hyperlink" Target="mailto:servishradiste@mastertruck.cz" TargetMode="External"/><Relationship Id="rId531" Type="http://schemas.openxmlformats.org/officeDocument/2006/relationships/hyperlink" Target="mailto:zakazky@autosklo.top" TargetMode="External"/><Relationship Id="rId170" Type="http://schemas.openxmlformats.org/officeDocument/2006/relationships/hyperlink" Target="mailto:servis.prerov@cmnauto.cz" TargetMode="External"/><Relationship Id="rId268" Type="http://schemas.openxmlformats.org/officeDocument/2006/relationships/hyperlink" Target="mailto:info@autojeremiasova.cz" TargetMode="External"/><Relationship Id="rId475" Type="http://schemas.openxmlformats.org/officeDocument/2006/relationships/hyperlink" Target="mailto:servis@autorentservis.cz" TargetMode="External"/><Relationship Id="rId32" Type="http://schemas.openxmlformats.org/officeDocument/2006/relationships/hyperlink" Target="mailto:info@av-autoservis.cz" TargetMode="External"/><Relationship Id="rId128" Type="http://schemas.openxmlformats.org/officeDocument/2006/relationships/hyperlink" Target="mailto:starostka@prerost-svorc.cz" TargetMode="External"/><Relationship Id="rId335" Type="http://schemas.openxmlformats.org/officeDocument/2006/relationships/hyperlink" Target="mailto:info@kovoworks.cz" TargetMode="External"/><Relationship Id="rId542" Type="http://schemas.openxmlformats.org/officeDocument/2006/relationships/hyperlink" Target="mailto:zakazky@autosklo.top" TargetMode="External"/><Relationship Id="rId181" Type="http://schemas.openxmlformats.org/officeDocument/2006/relationships/hyperlink" Target="mailto:radim.pelan@renaultvm.cz" TargetMode="External"/><Relationship Id="rId402" Type="http://schemas.openxmlformats.org/officeDocument/2006/relationships/hyperlink" Target="mailto:karpisek@karpichcar.cz" TargetMode="External"/><Relationship Id="rId279" Type="http://schemas.openxmlformats.org/officeDocument/2006/relationships/hyperlink" Target="mailto:servis-yamahaol@motopark.cz" TargetMode="External"/><Relationship Id="rId486" Type="http://schemas.openxmlformats.org/officeDocument/2006/relationships/hyperlink" Target="callto:+420732366101" TargetMode="External"/><Relationship Id="rId43" Type="http://schemas.openxmlformats.org/officeDocument/2006/relationships/hyperlink" Target="mailto:fratric.servis@gmail.com" TargetMode="External"/><Relationship Id="rId139" Type="http://schemas.openxmlformats.org/officeDocument/2006/relationships/hyperlink" Target="mailto:%20servis.strakonice@volvo.com" TargetMode="External"/><Relationship Id="rId346" Type="http://schemas.openxmlformats.org/officeDocument/2006/relationships/hyperlink" Target="mailto:jiri.stejnek@jipocar.cz" TargetMode="External"/><Relationship Id="rId553" Type="http://schemas.openxmlformats.org/officeDocument/2006/relationships/hyperlink" Target="mailto:martin@freislerauto.cz" TargetMode="External"/><Relationship Id="rId192" Type="http://schemas.openxmlformats.org/officeDocument/2006/relationships/hyperlink" Target="mailto:servis@bospor.cz" TargetMode="External"/><Relationship Id="rId206" Type="http://schemas.openxmlformats.org/officeDocument/2006/relationships/hyperlink" Target="mailto:karel.zucha@louda.cz" TargetMode="External"/><Relationship Id="rId413" Type="http://schemas.openxmlformats.org/officeDocument/2006/relationships/hyperlink" Target="mailto:bednar@carset.cz" TargetMode="External"/><Relationship Id="rId497" Type="http://schemas.openxmlformats.org/officeDocument/2006/relationships/hyperlink" Target="mailto:varejka@autofix.cz" TargetMode="External"/><Relationship Id="rId357" Type="http://schemas.openxmlformats.org/officeDocument/2006/relationships/hyperlink" Target="mailto:info@autoopravnapegas.cz" TargetMode="External"/><Relationship Id="rId54" Type="http://schemas.openxmlformats.org/officeDocument/2006/relationships/hyperlink" Target="mailto:kolar@cb-auto.cz" TargetMode="External"/><Relationship Id="rId96" Type="http://schemas.openxmlformats.org/officeDocument/2006/relationships/hyperlink" Target="mailto:v.elis@pemotors.cz" TargetMode="External"/><Relationship Id="rId161" Type="http://schemas.openxmlformats.org/officeDocument/2006/relationships/hyperlink" Target="mailto:kummel@autosevcik.cz" TargetMode="External"/><Relationship Id="rId217" Type="http://schemas.openxmlformats.org/officeDocument/2006/relationships/hyperlink" Target="mailto:dumek@turbosol.cz" TargetMode="External"/><Relationship Id="rId399" Type="http://schemas.openxmlformats.org/officeDocument/2006/relationships/hyperlink" Target="tel:00420703146308" TargetMode="External"/><Relationship Id="rId259" Type="http://schemas.openxmlformats.org/officeDocument/2006/relationships/hyperlink" Target="mailto:i.vojtko@carpoint.cz" TargetMode="External"/><Relationship Id="rId424" Type="http://schemas.openxmlformats.org/officeDocument/2006/relationships/hyperlink" Target="mailto:hubertkr@autobert.cz" TargetMode="External"/><Relationship Id="rId466" Type="http://schemas.openxmlformats.org/officeDocument/2006/relationships/hyperlink" Target="mailto:automitsro@gmail.com" TargetMode="External"/><Relationship Id="rId23" Type="http://schemas.openxmlformats.org/officeDocument/2006/relationships/hyperlink" Target="mailto:v.elis@pemotors.cz" TargetMode="External"/><Relationship Id="rId119" Type="http://schemas.openxmlformats.org/officeDocument/2006/relationships/hyperlink" Target="mailto:martin.micka@opportunity.cz" TargetMode="External"/><Relationship Id="rId270" Type="http://schemas.openxmlformats.org/officeDocument/2006/relationships/hyperlink" Target="mailto:martin.korytar@lexauto.cz" TargetMode="External"/><Relationship Id="rId326" Type="http://schemas.openxmlformats.org/officeDocument/2006/relationships/hyperlink" Target="mailto:vogel@autopapousek.cz" TargetMode="External"/><Relationship Id="rId533" Type="http://schemas.openxmlformats.org/officeDocument/2006/relationships/hyperlink" Target="mailto:zakazky@autosklo.top" TargetMode="External"/><Relationship Id="rId65" Type="http://schemas.openxmlformats.org/officeDocument/2006/relationships/hyperlink" Target="mailto:servis@optimcl.cz" TargetMode="External"/><Relationship Id="rId130" Type="http://schemas.openxmlformats.org/officeDocument/2006/relationships/hyperlink" Target="mailto:pravda@vvauto.cz" TargetMode="External"/><Relationship Id="rId368" Type="http://schemas.openxmlformats.org/officeDocument/2006/relationships/hyperlink" Target="tel:+420771203810" TargetMode="External"/><Relationship Id="rId172" Type="http://schemas.openxmlformats.org/officeDocument/2006/relationships/hyperlink" Target="mailto:fromelius@autokudrna.cz" TargetMode="External"/><Relationship Id="rId228" Type="http://schemas.openxmlformats.org/officeDocument/2006/relationships/hyperlink" Target="mailto:nehody.vary@autobond.cz" TargetMode="External"/><Relationship Id="rId435" Type="http://schemas.openxmlformats.org/officeDocument/2006/relationships/hyperlink" Target="mailto:servis@zjservis.cz" TargetMode="External"/><Relationship Id="rId477" Type="http://schemas.openxmlformats.org/officeDocument/2006/relationships/hyperlink" Target="mailto:petr.dydy@seznam.cz" TargetMode="External"/><Relationship Id="rId281" Type="http://schemas.openxmlformats.org/officeDocument/2006/relationships/hyperlink" Target="mailto:jiran@autojipe.cz" TargetMode="External"/><Relationship Id="rId337" Type="http://schemas.openxmlformats.org/officeDocument/2006/relationships/hyperlink" Target="mailto:lubos.kasak@auta.pb.cz" TargetMode="External"/><Relationship Id="rId502" Type="http://schemas.openxmlformats.org/officeDocument/2006/relationships/hyperlink" Target="mailto:modrany@autosklocz.cz" TargetMode="External"/><Relationship Id="rId34" Type="http://schemas.openxmlformats.org/officeDocument/2006/relationships/hyperlink" Target="mailto:dusanhopp@seznam.cz" TargetMode="External"/><Relationship Id="rId76" Type="http://schemas.openxmlformats.org/officeDocument/2006/relationships/hyperlink" Target="mailto:hornisucha@agrotec.cz" TargetMode="External"/><Relationship Id="rId141" Type="http://schemas.openxmlformats.org/officeDocument/2006/relationships/hyperlink" Target="mailto:krystof.pravda@dolak.cz" TargetMode="External"/><Relationship Id="rId379" Type="http://schemas.openxmlformats.org/officeDocument/2006/relationships/hyperlink" Target="mailto:jan.kral@donak.cz" TargetMode="External"/><Relationship Id="rId544" Type="http://schemas.openxmlformats.org/officeDocument/2006/relationships/hyperlink" Target="mailto:callcentrum@carglass.cz" TargetMode="External"/><Relationship Id="rId7" Type="http://schemas.openxmlformats.org/officeDocument/2006/relationships/hyperlink" Target="mailto:Info.praha@direct-auto.cz" TargetMode="External"/><Relationship Id="rId183" Type="http://schemas.openxmlformats.org/officeDocument/2006/relationships/hyperlink" Target="mailto:jan.j.vlcek@mercedes-benz.com" TargetMode="External"/><Relationship Id="rId239" Type="http://schemas.openxmlformats.org/officeDocument/2006/relationships/hyperlink" Target="mailto:jaroslav.lunak@autoregina.cz" TargetMode="External"/><Relationship Id="rId390" Type="http://schemas.openxmlformats.org/officeDocument/2006/relationships/hyperlink" Target="mailto:bilikauto@seznam.cz" TargetMode="External"/><Relationship Id="rId404" Type="http://schemas.openxmlformats.org/officeDocument/2006/relationships/hyperlink" Target="mailto:chadima@tc-hk.cz" TargetMode="External"/><Relationship Id="rId446" Type="http://schemas.openxmlformats.org/officeDocument/2006/relationships/hyperlink" Target="mailto:ezechylpetr@seznam.cz" TargetMode="External"/><Relationship Id="rId250" Type="http://schemas.openxmlformats.org/officeDocument/2006/relationships/hyperlink" Target="mailto:vladimir.vybiral@scania.com" TargetMode="External"/><Relationship Id="rId292" Type="http://schemas.openxmlformats.org/officeDocument/2006/relationships/hyperlink" Target="mailto:jan.mimra@tukas.cz" TargetMode="External"/><Relationship Id="rId306" Type="http://schemas.openxmlformats.org/officeDocument/2006/relationships/hyperlink" Target="mailto:opravy.ch@autoschoner.cz" TargetMode="External"/><Relationship Id="rId488" Type="http://schemas.openxmlformats.org/officeDocument/2006/relationships/hyperlink" Target="mailto:servis@doktor-dulek.cz" TargetMode="External"/><Relationship Id="rId45" Type="http://schemas.openxmlformats.org/officeDocument/2006/relationships/hyperlink" Target="mailto:nehody@autobobrava.cz" TargetMode="External"/><Relationship Id="rId87" Type="http://schemas.openxmlformats.org/officeDocument/2006/relationships/hyperlink" Target="tel:605%20206%20403" TargetMode="External"/><Relationship Id="rId110" Type="http://schemas.openxmlformats.org/officeDocument/2006/relationships/hyperlink" Target="mailto:info@autobelda.cz" TargetMode="External"/><Relationship Id="rId348" Type="http://schemas.openxmlformats.org/officeDocument/2006/relationships/hyperlink" Target="mailto:autolakyzajic@seznam.cz" TargetMode="External"/><Relationship Id="rId513" Type="http://schemas.openxmlformats.org/officeDocument/2006/relationships/hyperlink" Target="mailto:autosklobor@seznam.cz" TargetMode="External"/><Relationship Id="rId152" Type="http://schemas.openxmlformats.org/officeDocument/2006/relationships/hyperlink" Target="mailto:zdenek.neubauer@opportunity.cz" TargetMode="External"/><Relationship Id="rId194" Type="http://schemas.openxmlformats.org/officeDocument/2006/relationships/hyperlink" Target="mailto:info@hsmoto.cz" TargetMode="External"/><Relationship Id="rId208" Type="http://schemas.openxmlformats.org/officeDocument/2006/relationships/hyperlink" Target="mailto:tomas.holicky@louda.cz" TargetMode="External"/><Relationship Id="rId415" Type="http://schemas.openxmlformats.org/officeDocument/2006/relationships/hyperlink" Target="mailto:kristian.h@seznam.cz" TargetMode="External"/><Relationship Id="rId457" Type="http://schemas.openxmlformats.org/officeDocument/2006/relationships/hyperlink" Target="mailto:mauto@post.cz" TargetMode="External"/><Relationship Id="rId261" Type="http://schemas.openxmlformats.org/officeDocument/2006/relationships/hyperlink" Target="mailto:karoseriehk@hyundaihk.cz" TargetMode="External"/><Relationship Id="rId499" Type="http://schemas.openxmlformats.org/officeDocument/2006/relationships/hyperlink" Target="mailto:info@autosklobrno.com" TargetMode="External"/><Relationship Id="rId14" Type="http://schemas.openxmlformats.org/officeDocument/2006/relationships/hyperlink" Target="mailto:tomas@saku.cz" TargetMode="External"/><Relationship Id="rId56" Type="http://schemas.openxmlformats.org/officeDocument/2006/relationships/hyperlink" Target="mailto:tikalova@cb-auto.cz" TargetMode="External"/><Relationship Id="rId317" Type="http://schemas.openxmlformats.org/officeDocument/2006/relationships/hyperlink" Target="mailto:pavel.blazek@euautoservis.cz" TargetMode="External"/><Relationship Id="rId359" Type="http://schemas.openxmlformats.org/officeDocument/2006/relationships/hyperlink" Target="mailto:till@autokomplex-ol.cz" TargetMode="External"/><Relationship Id="rId524" Type="http://schemas.openxmlformats.org/officeDocument/2006/relationships/hyperlink" Target="mailto:servis@autosklogo.cz" TargetMode="External"/><Relationship Id="rId98" Type="http://schemas.openxmlformats.org/officeDocument/2006/relationships/hyperlink" Target="mailto:servis@autotichy.eu" TargetMode="External"/><Relationship Id="rId121" Type="http://schemas.openxmlformats.org/officeDocument/2006/relationships/hyperlink" Target="mailto:toman@bonoauto.cz" TargetMode="External"/><Relationship Id="rId163" Type="http://schemas.openxmlformats.org/officeDocument/2006/relationships/hyperlink" Target="mailto:autoservis@auto-elso.cz" TargetMode="External"/><Relationship Id="rId219" Type="http://schemas.openxmlformats.org/officeDocument/2006/relationships/hyperlink" Target="mailto:radek.wicker@hyundailxm.cz" TargetMode="External"/><Relationship Id="rId370" Type="http://schemas.openxmlformats.org/officeDocument/2006/relationships/hyperlink" Target="mailto:matena@tomservice.cz" TargetMode="External"/><Relationship Id="rId426" Type="http://schemas.openxmlformats.org/officeDocument/2006/relationships/hyperlink" Target="mailto:tdg@volny.cz" TargetMode="External"/><Relationship Id="rId230" Type="http://schemas.openxmlformats.org/officeDocument/2006/relationships/hyperlink" Target="mailto:nehody.ostrava@autobond.cz" TargetMode="External"/><Relationship Id="rId468" Type="http://schemas.openxmlformats.org/officeDocument/2006/relationships/hyperlink" Target="mailto:autokacirek@autokacirek.cz" TargetMode="External"/><Relationship Id="rId25" Type="http://schemas.openxmlformats.org/officeDocument/2006/relationships/hyperlink" Target="mailto:milan.trcka@seznam.cz" TargetMode="External"/><Relationship Id="rId67" Type="http://schemas.openxmlformats.org/officeDocument/2006/relationships/hyperlink" Target="mailto:servis.lodenice@ivecotc.cz" TargetMode="External"/><Relationship Id="rId272" Type="http://schemas.openxmlformats.org/officeDocument/2006/relationships/hyperlink" Target="mailto:t.suchan@tsusho.cz" TargetMode="External"/><Relationship Id="rId328" Type="http://schemas.openxmlformats.org/officeDocument/2006/relationships/hyperlink" Target="mailto:Bojanovska@seznam.cz" TargetMode="External"/><Relationship Id="rId535" Type="http://schemas.openxmlformats.org/officeDocument/2006/relationships/hyperlink" Target="mailto:zakazky@autosklo.top" TargetMode="External"/><Relationship Id="rId132" Type="http://schemas.openxmlformats.org/officeDocument/2006/relationships/hyperlink" Target="mailto:servis@sumperk.auto-hegr.cz" TargetMode="External"/><Relationship Id="rId174" Type="http://schemas.openxmlformats.org/officeDocument/2006/relationships/hyperlink" Target="mailto:servis@vestra.cz" TargetMode="External"/><Relationship Id="rId381" Type="http://schemas.openxmlformats.org/officeDocument/2006/relationships/hyperlink" Target="mailto:potuzak@atlas.cz" TargetMode="External"/><Relationship Id="rId241" Type="http://schemas.openxmlformats.org/officeDocument/2006/relationships/hyperlink" Target="mailto:jan.matousek@louda.cz" TargetMode="External"/><Relationship Id="rId437" Type="http://schemas.openxmlformats.org/officeDocument/2006/relationships/hyperlink" Target="mailto:kazda-premio@seznam.cz" TargetMode="External"/><Relationship Id="rId479" Type="http://schemas.openxmlformats.org/officeDocument/2006/relationships/hyperlink" Target="mailto:info@qliniq.cz" TargetMode="External"/><Relationship Id="rId36" Type="http://schemas.openxmlformats.org/officeDocument/2006/relationships/hyperlink" Target="tel:603%20184%20638" TargetMode="External"/><Relationship Id="rId283" Type="http://schemas.openxmlformats.org/officeDocument/2006/relationships/hyperlink" Target="mailto:roman.kaspar@au-tech.cz" TargetMode="External"/><Relationship Id="rId339" Type="http://schemas.openxmlformats.org/officeDocument/2006/relationships/hyperlink" Target="mailto:kalik@kromexim.cz" TargetMode="External"/><Relationship Id="rId490" Type="http://schemas.openxmlformats.org/officeDocument/2006/relationships/hyperlink" Target="mailto:autoskla@autosklo-hak.cz" TargetMode="External"/><Relationship Id="rId504" Type="http://schemas.openxmlformats.org/officeDocument/2006/relationships/hyperlink" Target="mailto:autosklo.koudelka@seznam.cz" TargetMode="External"/><Relationship Id="rId546" Type="http://schemas.openxmlformats.org/officeDocument/2006/relationships/hyperlink" Target="mailto:callcentrum@carglass.cz" TargetMode="External"/><Relationship Id="rId78" Type="http://schemas.openxmlformats.org/officeDocument/2006/relationships/hyperlink" Target="mailto:olomouc@agrotec.cz" TargetMode="External"/><Relationship Id="rId101" Type="http://schemas.openxmlformats.org/officeDocument/2006/relationships/hyperlink" Target="mailto:vlastimil.brabec@louda.cz" TargetMode="External"/><Relationship Id="rId143" Type="http://schemas.openxmlformats.org/officeDocument/2006/relationships/hyperlink" Target="mailto:bohumil.hrdlicka@dolak.cz&#160;&#160;&#160;&#160;&#160;&#160;&#160;&#160;&#160;&#160;&#160;&#160;&#160;&#160;&#160;&#160;&#160;&#160;&#160;" TargetMode="External"/><Relationship Id="rId185" Type="http://schemas.openxmlformats.org/officeDocument/2006/relationships/hyperlink" Target="mailto:jene@jene.cz" TargetMode="External"/><Relationship Id="rId350" Type="http://schemas.openxmlformats.org/officeDocument/2006/relationships/hyperlink" Target="mailto:m.novak@vydrus.cz" TargetMode="External"/><Relationship Id="rId406" Type="http://schemas.openxmlformats.org/officeDocument/2006/relationships/hyperlink" Target="mailto:vladimir.mrazek@pyramidapruhonice.cz" TargetMode="External"/><Relationship Id="rId9" Type="http://schemas.openxmlformats.org/officeDocument/2006/relationships/hyperlink" Target="mailto:prumyslova@autoservishoffmann.cz" TargetMode="External"/><Relationship Id="rId210" Type="http://schemas.openxmlformats.org/officeDocument/2006/relationships/hyperlink" Target="mailto:pojistneudalosti@araver.cz" TargetMode="External"/><Relationship Id="rId392" Type="http://schemas.openxmlformats.org/officeDocument/2006/relationships/hyperlink" Target="mailto:nehody@manitech-uh.cz" TargetMode="External"/><Relationship Id="rId448" Type="http://schemas.openxmlformats.org/officeDocument/2006/relationships/hyperlink" Target="mailto:auto.ruschak@seznam.cz" TargetMode="External"/><Relationship Id="rId252" Type="http://schemas.openxmlformats.org/officeDocument/2006/relationships/hyperlink" Target="mailto:vladimir.pospisil@scania.com" TargetMode="External"/><Relationship Id="rId294" Type="http://schemas.openxmlformats.org/officeDocument/2006/relationships/hyperlink" Target="mailto:tomas.burian@tukas.cz" TargetMode="External"/><Relationship Id="rId308" Type="http://schemas.openxmlformats.org/officeDocument/2006/relationships/hyperlink" Target="mailto:opravy.kv2@autoschoner.cz" TargetMode="External"/><Relationship Id="rId515" Type="http://schemas.openxmlformats.org/officeDocument/2006/relationships/hyperlink" Target="mailto:bilikauto@seznam.cz" TargetMode="External"/><Relationship Id="rId47" Type="http://schemas.openxmlformats.org/officeDocument/2006/relationships/hyperlink" Target="mailto:nehody@autogarage.cz" TargetMode="External"/><Relationship Id="rId89" Type="http://schemas.openxmlformats.org/officeDocument/2006/relationships/hyperlink" Target="tel:733%C2%A0601%20803" TargetMode="External"/><Relationship Id="rId112" Type="http://schemas.openxmlformats.org/officeDocument/2006/relationships/hyperlink" Target="tel:+420725025296" TargetMode="External"/><Relationship Id="rId154" Type="http://schemas.openxmlformats.org/officeDocument/2006/relationships/hyperlink" Target="mailto:servis@honda-fomi.cz" TargetMode="External"/><Relationship Id="rId361" Type="http://schemas.openxmlformats.org/officeDocument/2006/relationships/hyperlink" Target="mailto:lenka@automalcev.cz" TargetMode="External"/><Relationship Id="rId196" Type="http://schemas.openxmlformats.org/officeDocument/2006/relationships/hyperlink" Target="mailto:petr.hejtmanek@louda.cz" TargetMode="External"/><Relationship Id="rId417" Type="http://schemas.openxmlformats.org/officeDocument/2006/relationships/hyperlink" Target="mailto:saraservis@centrum.cz" TargetMode="External"/><Relationship Id="rId459" Type="http://schemas.openxmlformats.org/officeDocument/2006/relationships/hyperlink" Target="mailto:autoservis.zdenkbambule@seznam.cz" TargetMode="External"/><Relationship Id="rId16" Type="http://schemas.openxmlformats.org/officeDocument/2006/relationships/hyperlink" Target="mailto:info@aacr.cz" TargetMode="External"/><Relationship Id="rId221" Type="http://schemas.openxmlformats.org/officeDocument/2006/relationships/hyperlink" Target="mailto:info@autopokorny.cz" TargetMode="External"/><Relationship Id="rId263" Type="http://schemas.openxmlformats.org/officeDocument/2006/relationships/hyperlink" Target="mailto:frantisek.mazl@francecar.cz" TargetMode="External"/><Relationship Id="rId319" Type="http://schemas.openxmlformats.org/officeDocument/2006/relationships/hyperlink" Target="mailto:servis@legendary.cz" TargetMode="External"/><Relationship Id="rId470" Type="http://schemas.openxmlformats.org/officeDocument/2006/relationships/hyperlink" Target="mailto:autoservissno@seznam.cz" TargetMode="External"/><Relationship Id="rId526" Type="http://schemas.openxmlformats.org/officeDocument/2006/relationships/hyperlink" Target="mailto:autosklonej@seznam.cz" TargetMode="External"/><Relationship Id="rId58" Type="http://schemas.openxmlformats.org/officeDocument/2006/relationships/hyperlink" Target="mailto:autolakhalala.poj@seznam.cz" TargetMode="External"/><Relationship Id="rId123" Type="http://schemas.openxmlformats.org/officeDocument/2006/relationships/hyperlink" Target="mailto:svoboda@autorn.cz" TargetMode="External"/><Relationship Id="rId330" Type="http://schemas.openxmlformats.org/officeDocument/2006/relationships/hyperlink" Target="mailto:petr.mikes@garagemotrio.cz" TargetMode="External"/><Relationship Id="rId165" Type="http://schemas.openxmlformats.org/officeDocument/2006/relationships/hyperlink" Target="mailto:monika.heisigova@autoset.cz" TargetMode="External"/><Relationship Id="rId372" Type="http://schemas.openxmlformats.org/officeDocument/2006/relationships/hyperlink" Target="mailto:info@autosklo-plus.cz" TargetMode="External"/><Relationship Id="rId428" Type="http://schemas.openxmlformats.org/officeDocument/2006/relationships/hyperlink" Target="mailto:jelinek130@seznam.cz" TargetMode="External"/><Relationship Id="rId232" Type="http://schemas.openxmlformats.org/officeDocument/2006/relationships/hyperlink" Target="mailto:petr.smuz@autobond.cz" TargetMode="External"/><Relationship Id="rId274" Type="http://schemas.openxmlformats.org/officeDocument/2006/relationships/hyperlink" Target="mailto:m.stejskal@tsusho.cz" TargetMode="External"/><Relationship Id="rId481" Type="http://schemas.openxmlformats.org/officeDocument/2006/relationships/hyperlink" Target="mailto:info@vinicars.cz" TargetMode="External"/><Relationship Id="rId27" Type="http://schemas.openxmlformats.org/officeDocument/2006/relationships/hyperlink" Target="mailto:servis.prerov@cmnauto.cz" TargetMode="External"/><Relationship Id="rId69" Type="http://schemas.openxmlformats.org/officeDocument/2006/relationships/hyperlink" Target="mailto:servisP5@domansky.cz" TargetMode="External"/><Relationship Id="rId134" Type="http://schemas.openxmlformats.org/officeDocument/2006/relationships/hyperlink" Target="mailto:kalik@kromexim.cz" TargetMode="External"/><Relationship Id="rId537" Type="http://schemas.openxmlformats.org/officeDocument/2006/relationships/hyperlink" Target="mailto:zakazky@autosklo.top" TargetMode="External"/><Relationship Id="rId80" Type="http://schemas.openxmlformats.org/officeDocument/2006/relationships/hyperlink" Target="mailto:tomas.vesely@okim.cz" TargetMode="External"/><Relationship Id="rId176" Type="http://schemas.openxmlformats.org/officeDocument/2006/relationships/hyperlink" Target="tel:603%20184%20638" TargetMode="External"/><Relationship Id="rId341" Type="http://schemas.openxmlformats.org/officeDocument/2006/relationships/hyperlink" Target="mailto:servis@bodasy.cz" TargetMode="External"/><Relationship Id="rId383" Type="http://schemas.openxmlformats.org/officeDocument/2006/relationships/hyperlink" Target="mailto:jsteam@email.cz" TargetMode="External"/><Relationship Id="rId439" Type="http://schemas.openxmlformats.org/officeDocument/2006/relationships/hyperlink" Target="mailto:gepyservis-pneu@seznam.cz" TargetMode="External"/><Relationship Id="rId201" Type="http://schemas.openxmlformats.org/officeDocument/2006/relationships/hyperlink" Target="mailto:karel.toupal@louda.cz" TargetMode="External"/><Relationship Id="rId243" Type="http://schemas.openxmlformats.org/officeDocument/2006/relationships/hyperlink" Target="mailto:petr.terc@scania.com" TargetMode="External"/><Relationship Id="rId285" Type="http://schemas.openxmlformats.org/officeDocument/2006/relationships/hyperlink" Target="mailto:ludek.kment@trendcar.cz" TargetMode="External"/><Relationship Id="rId450" Type="http://schemas.openxmlformats.org/officeDocument/2006/relationships/hyperlink" Target="mailto:info@miroslavpavlik.cz" TargetMode="External"/><Relationship Id="rId506" Type="http://schemas.openxmlformats.org/officeDocument/2006/relationships/hyperlink" Target="mailto:autocentrumglos@seznam.cz" TargetMode="External"/><Relationship Id="rId38" Type="http://schemas.openxmlformats.org/officeDocument/2006/relationships/hyperlink" Target="mailto:slank@ekomont-autosluzby.cz" TargetMode="External"/><Relationship Id="rId103" Type="http://schemas.openxmlformats.org/officeDocument/2006/relationships/hyperlink" Target="mailto:nehody@uhcar.cz" TargetMode="External"/><Relationship Id="rId310" Type="http://schemas.openxmlformats.org/officeDocument/2006/relationships/hyperlink" Target="mailto:jan.bortel@autocentrala.cz" TargetMode="External"/><Relationship Id="rId492" Type="http://schemas.openxmlformats.org/officeDocument/2006/relationships/hyperlink" Target="mailto:cr@autosklo-hak.cz" TargetMode="External"/><Relationship Id="rId548" Type="http://schemas.openxmlformats.org/officeDocument/2006/relationships/hyperlink" Target="mailto:callcentrum@carglass.cz" TargetMode="External"/><Relationship Id="rId91" Type="http://schemas.openxmlformats.org/officeDocument/2006/relationships/hyperlink" Target="tel:724%20810%20036" TargetMode="External"/><Relationship Id="rId145" Type="http://schemas.openxmlformats.org/officeDocument/2006/relationships/hyperlink" Target="mailto:service@truckservice.cz" TargetMode="External"/><Relationship Id="rId187" Type="http://schemas.openxmlformats.org/officeDocument/2006/relationships/hyperlink" Target="mailto:Stanislav.Zachar@TUkas.cz" TargetMode="External"/><Relationship Id="rId352" Type="http://schemas.openxmlformats.org/officeDocument/2006/relationships/hyperlink" Target="mailto:servis@optimcl.cz" TargetMode="External"/><Relationship Id="rId394" Type="http://schemas.openxmlformats.org/officeDocument/2006/relationships/hyperlink" Target="callto:+420732366101" TargetMode="External"/><Relationship Id="rId408" Type="http://schemas.openxmlformats.org/officeDocument/2006/relationships/hyperlink" Target="mailto:ValskyZdenek@seznam.cz" TargetMode="External"/><Relationship Id="rId212" Type="http://schemas.openxmlformats.org/officeDocument/2006/relationships/hyperlink" Target="tel:+420%20545%20421%20242" TargetMode="External"/><Relationship Id="rId254" Type="http://schemas.openxmlformats.org/officeDocument/2006/relationships/hyperlink" Target="mailto:pojistneudalosti@araver.cz" TargetMode="External"/><Relationship Id="rId49" Type="http://schemas.openxmlformats.org/officeDocument/2006/relationships/hyperlink" Target="mailto:info@autodostal.cz" TargetMode="External"/><Relationship Id="rId114" Type="http://schemas.openxmlformats.org/officeDocument/2006/relationships/hyperlink" Target="mailto:jiri.hosek@autokout.cz" TargetMode="External"/><Relationship Id="rId296" Type="http://schemas.openxmlformats.org/officeDocument/2006/relationships/hyperlink" Target="mailto:michal.hron@tukas.cz" TargetMode="External"/><Relationship Id="rId461" Type="http://schemas.openxmlformats.org/officeDocument/2006/relationships/hyperlink" Target="mailto:info@autozabrana.cz" TargetMode="External"/><Relationship Id="rId517" Type="http://schemas.openxmlformats.org/officeDocument/2006/relationships/hyperlink" Target="mailto:info@autoskla-hk.cz" TargetMode="External"/><Relationship Id="rId60" Type="http://schemas.openxmlformats.org/officeDocument/2006/relationships/hyperlink" Target="mailto:chip.richter@seznam.cz" TargetMode="External"/><Relationship Id="rId156" Type="http://schemas.openxmlformats.org/officeDocument/2006/relationships/hyperlink" Target="mailto:zahradnikova@hlavacek.cz" TargetMode="External"/><Relationship Id="rId198" Type="http://schemas.openxmlformats.org/officeDocument/2006/relationships/hyperlink" Target="mailto:jakub.pelech@louda.cz" TargetMode="External"/><Relationship Id="rId321" Type="http://schemas.openxmlformats.org/officeDocument/2006/relationships/hyperlink" Target="mailto:pu.lucars@gmail.com" TargetMode="External"/><Relationship Id="rId363" Type="http://schemas.openxmlformats.org/officeDocument/2006/relationships/hyperlink" Target="mailto:servis@autonation.cz" TargetMode="External"/><Relationship Id="rId419" Type="http://schemas.openxmlformats.org/officeDocument/2006/relationships/hyperlink" Target="mailto:mjasek@rasino.cz" TargetMode="External"/><Relationship Id="rId223" Type="http://schemas.openxmlformats.org/officeDocument/2006/relationships/hyperlink" Target="mailto:t.hrazdilek@jih2000.cz" TargetMode="External"/><Relationship Id="rId430" Type="http://schemas.openxmlformats.org/officeDocument/2006/relationships/hyperlink" Target="mailto:toufar.david@centrum.cz" TargetMode="External"/><Relationship Id="rId18" Type="http://schemas.openxmlformats.org/officeDocument/2006/relationships/hyperlink" Target="mailto:servis@autechmoto.cz" TargetMode="External"/><Relationship Id="rId265" Type="http://schemas.openxmlformats.org/officeDocument/2006/relationships/hyperlink" Target="mailto:martin.hanzlik@dyrsmid.cz" TargetMode="External"/><Relationship Id="rId472" Type="http://schemas.openxmlformats.org/officeDocument/2006/relationships/hyperlink" Target="mailto:pojistovny@spei.cz" TargetMode="External"/><Relationship Id="rId528" Type="http://schemas.openxmlformats.org/officeDocument/2006/relationships/hyperlink" Target="mailto:ostrava@autosklo-ts.cz" TargetMode="External"/><Relationship Id="rId125" Type="http://schemas.openxmlformats.org/officeDocument/2006/relationships/hyperlink" Target="mailto:z.vacenovsky@jih2000.cz" TargetMode="External"/><Relationship Id="rId167" Type="http://schemas.openxmlformats.org/officeDocument/2006/relationships/hyperlink" Target="mailto:jan.cejka@klokocka.cz" TargetMode="External"/><Relationship Id="rId332" Type="http://schemas.openxmlformats.org/officeDocument/2006/relationships/hyperlink" Target="mailto:pavel.svoboda.bsc@seznam.cz" TargetMode="External"/><Relationship Id="rId374" Type="http://schemas.openxmlformats.org/officeDocument/2006/relationships/hyperlink" Target="mailto:p.orsula@seznam.cz" TargetMode="External"/><Relationship Id="rId71" Type="http://schemas.openxmlformats.org/officeDocument/2006/relationships/hyperlink" Target="tel:+420257213830" TargetMode="External"/><Relationship Id="rId234" Type="http://schemas.openxmlformats.org/officeDocument/2006/relationships/hyperlink" Target="mailto:jiri.kotek@autobond.cz" TargetMode="External"/><Relationship Id="rId2" Type="http://schemas.openxmlformats.org/officeDocument/2006/relationships/hyperlink" Target="mailto:pojistne.udalosti.brno-vinohrady@direct-auto.cz" TargetMode="External"/><Relationship Id="rId29" Type="http://schemas.openxmlformats.org/officeDocument/2006/relationships/hyperlink" Target="mailto:info@automichalik.cz" TargetMode="External"/><Relationship Id="rId276" Type="http://schemas.openxmlformats.org/officeDocument/2006/relationships/hyperlink" Target="mailto:vavricek@autocent.cz" TargetMode="External"/><Relationship Id="rId441" Type="http://schemas.openxmlformats.org/officeDocument/2006/relationships/hyperlink" Target="mailto:obchodklenovice@pneukazda.cz" TargetMode="External"/><Relationship Id="rId483" Type="http://schemas.openxmlformats.org/officeDocument/2006/relationships/hyperlink" Target="mailto:info@zmizeno.cz" TargetMode="External"/><Relationship Id="rId539" Type="http://schemas.openxmlformats.org/officeDocument/2006/relationships/hyperlink" Target="mailto:zakazky@autosklo.top" TargetMode="External"/><Relationship Id="rId40" Type="http://schemas.openxmlformats.org/officeDocument/2006/relationships/hyperlink" Target="tel:723738338" TargetMode="External"/><Relationship Id="rId136" Type="http://schemas.openxmlformats.org/officeDocument/2006/relationships/hyperlink" Target="mailto:pojistneudalosti@autonejdl.cz" TargetMode="External"/><Relationship Id="rId178" Type="http://schemas.openxmlformats.org/officeDocument/2006/relationships/hyperlink" Target="mailto:likvidace.sumperk@autokubicek.cz" TargetMode="External"/><Relationship Id="rId301" Type="http://schemas.openxmlformats.org/officeDocument/2006/relationships/hyperlink" Target="mailto:nehody.butovice@autopalace.cz" TargetMode="External"/><Relationship Id="rId343" Type="http://schemas.openxmlformats.org/officeDocument/2006/relationships/hyperlink" Target="mailto:info@hsmoto.cz" TargetMode="External"/><Relationship Id="rId550" Type="http://schemas.openxmlformats.org/officeDocument/2006/relationships/hyperlink" Target="mailto:callcentrum@carglass.cz" TargetMode="External"/><Relationship Id="rId82" Type="http://schemas.openxmlformats.org/officeDocument/2006/relationships/hyperlink" Target="mailto:info@autospektrumacc.cz" TargetMode="External"/><Relationship Id="rId203" Type="http://schemas.openxmlformats.org/officeDocument/2006/relationships/hyperlink" Target="mailto:miroslav.sir@louda.cz" TargetMode="External"/><Relationship Id="rId385" Type="http://schemas.openxmlformats.org/officeDocument/2006/relationships/hyperlink" Target="mailto:autoservis@hafintrust.cz" TargetMode="External"/><Relationship Id="rId245" Type="http://schemas.openxmlformats.org/officeDocument/2006/relationships/hyperlink" Target="mailto:jan.pokuta@scania.com" TargetMode="External"/><Relationship Id="rId287" Type="http://schemas.openxmlformats.org/officeDocument/2006/relationships/hyperlink" Target="mailto:poj@fordhb.cz" TargetMode="External"/><Relationship Id="rId410" Type="http://schemas.openxmlformats.org/officeDocument/2006/relationships/hyperlink" Target="mailto:rostislav.srnec@quick.cz" TargetMode="External"/><Relationship Id="rId452" Type="http://schemas.openxmlformats.org/officeDocument/2006/relationships/hyperlink" Target="mailto:servis@autosds.cz" TargetMode="External"/><Relationship Id="rId494" Type="http://schemas.openxmlformats.org/officeDocument/2006/relationships/hyperlink" Target="mailto:svi@autosklo-hak.cz" TargetMode="External"/><Relationship Id="rId508" Type="http://schemas.openxmlformats.org/officeDocument/2006/relationships/hyperlink" Target="mailto:info@autosklohs.cz" TargetMode="External"/><Relationship Id="rId105" Type="http://schemas.openxmlformats.org/officeDocument/2006/relationships/hyperlink" Target="mailto:info@autohruska.cz" TargetMode="External"/><Relationship Id="rId147" Type="http://schemas.openxmlformats.org/officeDocument/2006/relationships/hyperlink" Target="mailto:jaromir.sara@autaborek.cz" TargetMode="External"/><Relationship Id="rId312" Type="http://schemas.openxmlformats.org/officeDocument/2006/relationships/hyperlink" Target="mailto:mjasek@rasino.cz" TargetMode="External"/><Relationship Id="rId354" Type="http://schemas.openxmlformats.org/officeDocument/2006/relationships/hyperlink" Target="mailto:simak@auto-lovers.cz" TargetMode="External"/><Relationship Id="rId51" Type="http://schemas.openxmlformats.org/officeDocument/2006/relationships/hyperlink" Target="mailto:johndee.cz@gmail.com" TargetMode="External"/><Relationship Id="rId93" Type="http://schemas.openxmlformats.org/officeDocument/2006/relationships/hyperlink" Target="mailto:np.servis@havex.cz" TargetMode="External"/><Relationship Id="rId189" Type="http://schemas.openxmlformats.org/officeDocument/2006/relationships/hyperlink" Target="mailto:tomas.kopa@smucler.cz" TargetMode="External"/><Relationship Id="rId396" Type="http://schemas.openxmlformats.org/officeDocument/2006/relationships/hyperlink" Target="mailto:lukas.dolezal@malina-vrse.cz" TargetMode="External"/><Relationship Id="rId214" Type="http://schemas.openxmlformats.org/officeDocument/2006/relationships/hyperlink" Target="tel:Prodej:%20%3cbr/%3e%20+420%20519%20402%20300%20%3cbr/%3e%20Servis:%20%3cbr/%3e%20+420%20519%20402%20351" TargetMode="External"/><Relationship Id="rId256" Type="http://schemas.openxmlformats.org/officeDocument/2006/relationships/hyperlink" Target="tel:604%20749%20655" TargetMode="External"/><Relationship Id="rId298" Type="http://schemas.openxmlformats.org/officeDocument/2006/relationships/hyperlink" Target="mailto:pojistneudalosti@automechanika.cz" TargetMode="External"/><Relationship Id="rId421" Type="http://schemas.openxmlformats.org/officeDocument/2006/relationships/hyperlink" Target="tel:+420608433611" TargetMode="External"/><Relationship Id="rId463" Type="http://schemas.openxmlformats.org/officeDocument/2006/relationships/hyperlink" Target="mailto:veseljarda@gmail.com" TargetMode="External"/><Relationship Id="rId519" Type="http://schemas.openxmlformats.org/officeDocument/2006/relationships/hyperlink" Target="mailto:ostrava@autosklo-ts.cz" TargetMode="External"/><Relationship Id="rId116" Type="http://schemas.openxmlformats.org/officeDocument/2006/relationships/hyperlink" Target="mailto:taichman@autoemistar.cz" TargetMode="External"/><Relationship Id="rId158" Type="http://schemas.openxmlformats.org/officeDocument/2006/relationships/hyperlink" Target="mailto:riha@autosevcik.cz" TargetMode="External"/><Relationship Id="rId323" Type="http://schemas.openxmlformats.org/officeDocument/2006/relationships/hyperlink" Target="mailto:servis@mastertruck.cz" TargetMode="External"/><Relationship Id="rId530" Type="http://schemas.openxmlformats.org/officeDocument/2006/relationships/hyperlink" Target="mailto:zakazky@autosklo.top" TargetMode="External"/><Relationship Id="rId20" Type="http://schemas.openxmlformats.org/officeDocument/2006/relationships/hyperlink" Target="mailto:likvidace.olomouc@autokubicek.cz" TargetMode="External"/><Relationship Id="rId62" Type="http://schemas.openxmlformats.org/officeDocument/2006/relationships/hyperlink" Target="mailto:martin.dosedel@btto.cz" TargetMode="External"/><Relationship Id="rId365" Type="http://schemas.openxmlformats.org/officeDocument/2006/relationships/hyperlink" Target="mailto:jakub.klaban@rtd-truck.cz" TargetMode="External"/><Relationship Id="rId225" Type="http://schemas.openxmlformats.org/officeDocument/2006/relationships/hyperlink" Target="mailto:pu@arservis.cz" TargetMode="External"/><Relationship Id="rId267" Type="http://schemas.openxmlformats.org/officeDocument/2006/relationships/hyperlink" Target="mailto:vaclav.koukal@autobond.cz" TargetMode="External"/><Relationship Id="rId432" Type="http://schemas.openxmlformats.org/officeDocument/2006/relationships/hyperlink" Target="mailto:autoservis@autoservis-doli.cz" TargetMode="External"/><Relationship Id="rId474" Type="http://schemas.openxmlformats.org/officeDocument/2006/relationships/hyperlink" Target="mailto:pojistovny@spei.cz" TargetMode="External"/><Relationship Id="rId127" Type="http://schemas.openxmlformats.org/officeDocument/2006/relationships/hyperlink" Target="mailto:marek.mojzis@okim.cz" TargetMode="External"/><Relationship Id="rId31" Type="http://schemas.openxmlformats.org/officeDocument/2006/relationships/hyperlink" Target="mailto:nehody@uhcar.cz" TargetMode="External"/><Relationship Id="rId73" Type="http://schemas.openxmlformats.org/officeDocument/2006/relationships/hyperlink" Target="mailto:farek@samohylmotor.cz" TargetMode="External"/><Relationship Id="rId169" Type="http://schemas.openxmlformats.org/officeDocument/2006/relationships/hyperlink" Target="mailto:barbora.valentova@klokocka.cz" TargetMode="External"/><Relationship Id="rId334" Type="http://schemas.openxmlformats.org/officeDocument/2006/relationships/hyperlink" Target="mailto:milan.chvojka@autovars.cz" TargetMode="External"/><Relationship Id="rId376" Type="http://schemas.openxmlformats.org/officeDocument/2006/relationships/hyperlink" Target="mailto:radek.fiser@automamut.cz" TargetMode="External"/><Relationship Id="rId541" Type="http://schemas.openxmlformats.org/officeDocument/2006/relationships/hyperlink" Target="mailto:zakazky@autosklo.top" TargetMode="External"/><Relationship Id="rId4" Type="http://schemas.openxmlformats.org/officeDocument/2006/relationships/hyperlink" Target="mailto:info.pribram@direct-auto.cz" TargetMode="External"/><Relationship Id="rId180" Type="http://schemas.openxmlformats.org/officeDocument/2006/relationships/hyperlink" Target="mailto:likvidace.olomouc@autokubicek.cz" TargetMode="External"/><Relationship Id="rId236" Type="http://schemas.openxmlformats.org/officeDocument/2006/relationships/hyperlink" Target="mailto:mbservis@icomtransport.cz" TargetMode="External"/><Relationship Id="rId278" Type="http://schemas.openxmlformats.org/officeDocument/2006/relationships/hyperlink" Target="mailto:vladimir.mrazek@pyramidapruhonice.cz" TargetMode="External"/><Relationship Id="rId401" Type="http://schemas.openxmlformats.org/officeDocument/2006/relationships/hyperlink" Target="mailto:servis@autechmoto.cz" TargetMode="External"/><Relationship Id="rId443" Type="http://schemas.openxmlformats.org/officeDocument/2006/relationships/hyperlink" Target="mailto:pavel-slezak@volny.cz" TargetMode="External"/><Relationship Id="rId303" Type="http://schemas.openxmlformats.org/officeDocument/2006/relationships/hyperlink" Target="mailto:info.cz@volvo.com" TargetMode="External"/><Relationship Id="rId485" Type="http://schemas.openxmlformats.org/officeDocument/2006/relationships/hyperlink" Target="mailto:info@karosarcentrum.cz" TargetMode="External"/><Relationship Id="rId42" Type="http://schemas.openxmlformats.org/officeDocument/2006/relationships/hyperlink" Target="mailto:info@automichalik.cz" TargetMode="External"/><Relationship Id="rId84" Type="http://schemas.openxmlformats.org/officeDocument/2006/relationships/hyperlink" Target="mailto:milos.senohrabek@havex.cz" TargetMode="External"/><Relationship Id="rId138" Type="http://schemas.openxmlformats.org/officeDocument/2006/relationships/hyperlink" Target="mailto:%20servis.klecany@volvo.com" TargetMode="External"/><Relationship Id="rId345" Type="http://schemas.openxmlformats.org/officeDocument/2006/relationships/hyperlink" Target="mailto:hrnova@kamex.cz" TargetMode="External"/><Relationship Id="rId387" Type="http://schemas.openxmlformats.org/officeDocument/2006/relationships/hyperlink" Target="mailto:servis@autoservis-hudousek.cz" TargetMode="External"/><Relationship Id="rId510" Type="http://schemas.openxmlformats.org/officeDocument/2006/relationships/hyperlink" Target="mailto:info@autosklohs.cz" TargetMode="External"/><Relationship Id="rId552" Type="http://schemas.openxmlformats.org/officeDocument/2006/relationships/hyperlink" Target="https://www.autozabrana.cz/" TargetMode="External"/><Relationship Id="rId191" Type="http://schemas.openxmlformats.org/officeDocument/2006/relationships/hyperlink" Target="tel:467071402" TargetMode="External"/><Relationship Id="rId205" Type="http://schemas.openxmlformats.org/officeDocument/2006/relationships/hyperlink" Target="mailto:aneta.kubikova@louda.cz" TargetMode="External"/><Relationship Id="rId247" Type="http://schemas.openxmlformats.org/officeDocument/2006/relationships/hyperlink" Target="mailto:petr.basta@scania.com" TargetMode="External"/><Relationship Id="rId412" Type="http://schemas.openxmlformats.org/officeDocument/2006/relationships/hyperlink" Target="mailto:info@mkautoservis.cz" TargetMode="External"/><Relationship Id="rId107" Type="http://schemas.openxmlformats.org/officeDocument/2006/relationships/hyperlink" Target="mailto:servis@abva.cz" TargetMode="External"/><Relationship Id="rId289" Type="http://schemas.openxmlformats.org/officeDocument/2006/relationships/hyperlink" Target="mailto:l.dupalova@louwman.cz" TargetMode="External"/><Relationship Id="rId454" Type="http://schemas.openxmlformats.org/officeDocument/2006/relationships/hyperlink" Target="mailto:j.polata@centrum.cz" TargetMode="External"/><Relationship Id="rId496" Type="http://schemas.openxmlformats.org/officeDocument/2006/relationships/hyperlink" Target="mailto:info@autosklopilkington.cz" TargetMode="External"/><Relationship Id="rId11" Type="http://schemas.openxmlformats.org/officeDocument/2006/relationships/hyperlink" Target="mailto:martin.dosedel@btto.cz" TargetMode="External"/><Relationship Id="rId53" Type="http://schemas.openxmlformats.org/officeDocument/2006/relationships/hyperlink" Target="mailto:nehody@uhcar.cz" TargetMode="External"/><Relationship Id="rId149" Type="http://schemas.openxmlformats.org/officeDocument/2006/relationships/hyperlink" Target="mailto:vanicek@autowallis.cz" TargetMode="External"/><Relationship Id="rId314" Type="http://schemas.openxmlformats.org/officeDocument/2006/relationships/hyperlink" Target="mailto:info@vinicars.cz" TargetMode="External"/><Relationship Id="rId356" Type="http://schemas.openxmlformats.org/officeDocument/2006/relationships/hyperlink" Target="mailto:kancelar@mipauto.cz" TargetMode="External"/><Relationship Id="rId398" Type="http://schemas.openxmlformats.org/officeDocument/2006/relationships/hyperlink" Target="mailto:p.s.colorextra@seznam.cz" TargetMode="External"/><Relationship Id="rId521" Type="http://schemas.openxmlformats.org/officeDocument/2006/relationships/hyperlink" Target="mailto:info@autosklobrno.com" TargetMode="External"/><Relationship Id="rId95" Type="http://schemas.openxmlformats.org/officeDocument/2006/relationships/hyperlink" Target="tel:+420733167724" TargetMode="External"/><Relationship Id="rId160" Type="http://schemas.openxmlformats.org/officeDocument/2006/relationships/hyperlink" Target="mailto:janousek@autosevcik.cz" TargetMode="External"/><Relationship Id="rId216" Type="http://schemas.openxmlformats.org/officeDocument/2006/relationships/hyperlink" Target="tel:+420%20725%20980%20810" TargetMode="External"/><Relationship Id="rId423" Type="http://schemas.openxmlformats.org/officeDocument/2006/relationships/hyperlink" Target="mailto:davidsrp@volny.cz" TargetMode="External"/><Relationship Id="rId258" Type="http://schemas.openxmlformats.org/officeDocument/2006/relationships/hyperlink" Target="mailto:pudel@kodecar.cz" TargetMode="External"/><Relationship Id="rId465" Type="http://schemas.openxmlformats.org/officeDocument/2006/relationships/hyperlink" Target="mailto:auto.td@tiscali.cz" TargetMode="External"/><Relationship Id="rId22" Type="http://schemas.openxmlformats.org/officeDocument/2006/relationships/hyperlink" Target="mailto:autovital@email.cz" TargetMode="External"/><Relationship Id="rId64" Type="http://schemas.openxmlformats.org/officeDocument/2006/relationships/hyperlink" Target="mailto:info@bwmotors.cz" TargetMode="External"/><Relationship Id="rId118" Type="http://schemas.openxmlformats.org/officeDocument/2006/relationships/hyperlink" Target="mailto:mikes@balkar.cz" TargetMode="External"/><Relationship Id="rId325" Type="http://schemas.openxmlformats.org/officeDocument/2006/relationships/hyperlink" Target="mailto:roman.vicenik@vodarek-transport.cz" TargetMode="External"/><Relationship Id="rId367" Type="http://schemas.openxmlformats.org/officeDocument/2006/relationships/hyperlink" Target="mailto:info@automotivezone.cz" TargetMode="External"/><Relationship Id="rId532" Type="http://schemas.openxmlformats.org/officeDocument/2006/relationships/hyperlink" Target="mailto:zakazky@autosklo.top" TargetMode="External"/><Relationship Id="rId171" Type="http://schemas.openxmlformats.org/officeDocument/2006/relationships/hyperlink" Target="mailto:servis.ostrava@cmnauto.cz" TargetMode="External"/><Relationship Id="rId227" Type="http://schemas.openxmlformats.org/officeDocument/2006/relationships/hyperlink" Target="mailto:nehody.praha@autobond.cz" TargetMode="External"/><Relationship Id="rId269" Type="http://schemas.openxmlformats.org/officeDocument/2006/relationships/hyperlink" Target="mailto:vaclav.koukal@autobond.cz" TargetMode="External"/><Relationship Id="rId434" Type="http://schemas.openxmlformats.org/officeDocument/2006/relationships/hyperlink" Target="mailto:halala@volny.cz" TargetMode="External"/><Relationship Id="rId476" Type="http://schemas.openxmlformats.org/officeDocument/2006/relationships/hyperlink" Target="mailto:pu@autodast.cz" TargetMode="External"/><Relationship Id="rId33" Type="http://schemas.openxmlformats.org/officeDocument/2006/relationships/hyperlink" Target="mailto:kora@volny.cz" TargetMode="External"/><Relationship Id="rId129" Type="http://schemas.openxmlformats.org/officeDocument/2006/relationships/hyperlink" Target="mailto:duspiva@prerost-svorc.cz" TargetMode="External"/><Relationship Id="rId280" Type="http://schemas.openxmlformats.org/officeDocument/2006/relationships/hyperlink" Target="mailto:servis-honda-zlin@motopark.cz" TargetMode="External"/><Relationship Id="rId336" Type="http://schemas.openxmlformats.org/officeDocument/2006/relationships/hyperlink" Target="mailto:autoserviskotouc@gmail.com" TargetMode="External"/><Relationship Id="rId501" Type="http://schemas.openxmlformats.org/officeDocument/2006/relationships/hyperlink" Target="mailto:office@simplecar.cz" TargetMode="External"/><Relationship Id="rId543" Type="http://schemas.openxmlformats.org/officeDocument/2006/relationships/hyperlink" Target="mailto:zakazky@autosklo.top" TargetMode="External"/><Relationship Id="rId75" Type="http://schemas.openxmlformats.org/officeDocument/2006/relationships/hyperlink" Target="mailto:brno@agrotec.cz" TargetMode="External"/><Relationship Id="rId140" Type="http://schemas.openxmlformats.org/officeDocument/2006/relationships/hyperlink" Target="mailto:radek.danda@dolak.cz" TargetMode="External"/><Relationship Id="rId182" Type="http://schemas.openxmlformats.org/officeDocument/2006/relationships/hyperlink" Target="mailto:cko@carent.cz" TargetMode="External"/><Relationship Id="rId378" Type="http://schemas.openxmlformats.org/officeDocument/2006/relationships/hyperlink" Target="mailto:autolakovna.elan@seznam.cz" TargetMode="External"/><Relationship Id="rId403" Type="http://schemas.openxmlformats.org/officeDocument/2006/relationships/hyperlink" Target="mailto:prokoplik@seznam.cz" TargetMode="External"/><Relationship Id="rId6" Type="http://schemas.openxmlformats.org/officeDocument/2006/relationships/hyperlink" Target="mailto:nehody.praha-modrany@direct-auto.cz" TargetMode="External"/><Relationship Id="rId238" Type="http://schemas.openxmlformats.org/officeDocument/2006/relationships/hyperlink" Target="mailto:nowicky@kodecar.cz" TargetMode="External"/><Relationship Id="rId445" Type="http://schemas.openxmlformats.org/officeDocument/2006/relationships/hyperlink" Target="mailto:spinarjiri@seznam.cz" TargetMode="External"/><Relationship Id="rId487" Type="http://schemas.openxmlformats.org/officeDocument/2006/relationships/hyperlink" Target="mailto:info@vinicars.cz" TargetMode="External"/><Relationship Id="rId291" Type="http://schemas.openxmlformats.org/officeDocument/2006/relationships/hyperlink" Target="mailto:david.skarda@tukas.cz" TargetMode="External"/><Relationship Id="rId305" Type="http://schemas.openxmlformats.org/officeDocument/2006/relationships/hyperlink" Target="mailto:palcik@brnocar.cz" TargetMode="External"/><Relationship Id="rId347" Type="http://schemas.openxmlformats.org/officeDocument/2006/relationships/hyperlink" Target="mailto:mlsna.j@seznam.cz" TargetMode="External"/><Relationship Id="rId512" Type="http://schemas.openxmlformats.org/officeDocument/2006/relationships/hyperlink" Target="mailto:info@autosklohs.cz" TargetMode="External"/><Relationship Id="rId44" Type="http://schemas.openxmlformats.org/officeDocument/2006/relationships/hyperlink" Target="mailto:mikes@balkar.cz" TargetMode="External"/><Relationship Id="rId86" Type="http://schemas.openxmlformats.org/officeDocument/2006/relationships/hyperlink" Target="mailto:pavel.chrpa@autoklever.cz?subject=" TargetMode="External"/><Relationship Id="rId151" Type="http://schemas.openxmlformats.org/officeDocument/2006/relationships/hyperlink" Target="mailto:ales.drozd@hyundailxm.cz" TargetMode="External"/><Relationship Id="rId389" Type="http://schemas.openxmlformats.org/officeDocument/2006/relationships/hyperlink" Target="mailto:info@bkpneu.cz" TargetMode="External"/><Relationship Id="rId554" Type="http://schemas.openxmlformats.org/officeDocument/2006/relationships/hyperlink" Target="mailto:petr.dydy@seznam.cz" TargetMode="External"/><Relationship Id="rId193" Type="http://schemas.openxmlformats.org/officeDocument/2006/relationships/hyperlink" Target="mailto:pojistneudalosti@smucler.cz" TargetMode="External"/><Relationship Id="rId207" Type="http://schemas.openxmlformats.org/officeDocument/2006/relationships/hyperlink" Target="mailto:tomas.holicky@louda.cz" TargetMode="External"/><Relationship Id="rId249" Type="http://schemas.openxmlformats.org/officeDocument/2006/relationships/hyperlink" Target="mailto:michal.silhavy@scania.com" TargetMode="External"/><Relationship Id="rId414" Type="http://schemas.openxmlformats.org/officeDocument/2006/relationships/hyperlink" Target="mailto:info@nastrikamevamto.cz" TargetMode="External"/><Relationship Id="rId456" Type="http://schemas.openxmlformats.org/officeDocument/2006/relationships/hyperlink" Target="mailto:marketa@autocentrumpresl.cz" TargetMode="External"/><Relationship Id="rId498" Type="http://schemas.openxmlformats.org/officeDocument/2006/relationships/hyperlink" Target="mailto:varejka@autofix.cz" TargetMode="External"/><Relationship Id="rId13" Type="http://schemas.openxmlformats.org/officeDocument/2006/relationships/hyperlink" Target="mailto:martin.bartos@autoinzat.cz" TargetMode="External"/><Relationship Id="rId109" Type="http://schemas.openxmlformats.org/officeDocument/2006/relationships/hyperlink" Target="mailto:apservis1@apservis-podebrady.cz" TargetMode="External"/><Relationship Id="rId260" Type="http://schemas.openxmlformats.org/officeDocument/2006/relationships/hyperlink" Target="mailto:roubal@autowallis.cz" TargetMode="External"/><Relationship Id="rId316" Type="http://schemas.openxmlformats.org/officeDocument/2006/relationships/hyperlink" Target="mailto:auto.kral@seznam.cz" TargetMode="External"/><Relationship Id="rId523" Type="http://schemas.openxmlformats.org/officeDocument/2006/relationships/hyperlink" Target="tel:+420%20739%20290%20920" TargetMode="External"/><Relationship Id="rId55" Type="http://schemas.openxmlformats.org/officeDocument/2006/relationships/hyperlink" Target="mailto:janouchova@cb-auto.cz" TargetMode="External"/><Relationship Id="rId97" Type="http://schemas.openxmlformats.org/officeDocument/2006/relationships/hyperlink" Target="mailto:servis@autotichy.eu" TargetMode="External"/><Relationship Id="rId120" Type="http://schemas.openxmlformats.org/officeDocument/2006/relationships/hyperlink" Target="mailto:toman@bonoauto.cz" TargetMode="External"/><Relationship Id="rId358" Type="http://schemas.openxmlformats.org/officeDocument/2006/relationships/hyperlink" Target="mailto:zak@autokomplex-ol.cz" TargetMode="External"/><Relationship Id="rId162" Type="http://schemas.openxmlformats.org/officeDocument/2006/relationships/hyperlink" Target="mailto:sladovnik@autosevcik.cz" TargetMode="External"/><Relationship Id="rId218" Type="http://schemas.openxmlformats.org/officeDocument/2006/relationships/hyperlink" Target="mailto:info.servis@rpz.cz" TargetMode="External"/><Relationship Id="rId425" Type="http://schemas.openxmlformats.org/officeDocument/2006/relationships/hyperlink" Target="mailto:rumburk.autoservis@seznam.cz" TargetMode="External"/><Relationship Id="rId467" Type="http://schemas.openxmlformats.org/officeDocument/2006/relationships/hyperlink" Target="mailto:servisklesice@seznam.cz" TargetMode="External"/><Relationship Id="rId271" Type="http://schemas.openxmlformats.org/officeDocument/2006/relationships/hyperlink" Target="mailto:j.horacek@tsusho.cz" TargetMode="External"/><Relationship Id="rId24" Type="http://schemas.openxmlformats.org/officeDocument/2006/relationships/hyperlink" Target="mailto:nehody@autobobrava.cz" TargetMode="External"/><Relationship Id="rId66" Type="http://schemas.openxmlformats.org/officeDocument/2006/relationships/hyperlink" Target="mailto:Michael.jires@autocentrum.cz" TargetMode="External"/><Relationship Id="rId131" Type="http://schemas.openxmlformats.org/officeDocument/2006/relationships/hyperlink" Target="mailto:lubos.kasak@auta.pb.cz" TargetMode="External"/><Relationship Id="rId327" Type="http://schemas.openxmlformats.org/officeDocument/2006/relationships/hyperlink" Target="mailto:tomas.blazek@auto-eli.cz" TargetMode="External"/><Relationship Id="rId369" Type="http://schemas.openxmlformats.org/officeDocument/2006/relationships/hyperlink" Target="mailto:autocentrumtelnice@seznam.cz" TargetMode="External"/><Relationship Id="rId534" Type="http://schemas.openxmlformats.org/officeDocument/2006/relationships/hyperlink" Target="mailto:zakazky@autosklo.top" TargetMode="External"/><Relationship Id="rId173" Type="http://schemas.openxmlformats.org/officeDocument/2006/relationships/hyperlink" Target="mailto:recepce.csao@tukas.cz" TargetMode="External"/><Relationship Id="rId229" Type="http://schemas.openxmlformats.org/officeDocument/2006/relationships/hyperlink" Target="mailto:petr.zahradnik@autobond.cz" TargetMode="External"/><Relationship Id="rId380" Type="http://schemas.openxmlformats.org/officeDocument/2006/relationships/hyperlink" Target="mailto:info@kovoworks.cz" TargetMode="External"/><Relationship Id="rId436" Type="http://schemas.openxmlformats.org/officeDocument/2006/relationships/hyperlink" Target="mailto:info@automasin.cz" TargetMode="External"/><Relationship Id="rId240" Type="http://schemas.openxmlformats.org/officeDocument/2006/relationships/hyperlink" Target="mailto:info@vzp.cz" TargetMode="External"/><Relationship Id="rId478" Type="http://schemas.openxmlformats.org/officeDocument/2006/relationships/hyperlink" Target="mailto:autoservissevcik@email.cz" TargetMode="External"/><Relationship Id="rId35" Type="http://schemas.openxmlformats.org/officeDocument/2006/relationships/hyperlink" Target="mailto:tomas.puczok@autodum-vrana.cz?subject=" TargetMode="External"/><Relationship Id="rId77" Type="http://schemas.openxmlformats.org/officeDocument/2006/relationships/hyperlink" Target="mailto:hustopece@agrotec.cz" TargetMode="External"/><Relationship Id="rId100" Type="http://schemas.openxmlformats.org/officeDocument/2006/relationships/hyperlink" Target="mailto:kucera@sdt-me.cz" TargetMode="External"/><Relationship Id="rId282" Type="http://schemas.openxmlformats.org/officeDocument/2006/relationships/hyperlink" Target="mailto:roman.vaculcik@magnumcar.cz" TargetMode="External"/><Relationship Id="rId338" Type="http://schemas.openxmlformats.org/officeDocument/2006/relationships/hyperlink" Target="mailto:jan.blecha@jirisoucek.cz" TargetMode="External"/><Relationship Id="rId503" Type="http://schemas.openxmlformats.org/officeDocument/2006/relationships/hyperlink" Target="mailto:petrskrivan@volny.cz" TargetMode="External"/><Relationship Id="rId545" Type="http://schemas.openxmlformats.org/officeDocument/2006/relationships/hyperlink" Target="mailto:callcentrum@carglass.cz" TargetMode="External"/><Relationship Id="rId8" Type="http://schemas.openxmlformats.org/officeDocument/2006/relationships/hyperlink" Target="mailto:nehody.praha-strahov@direct-auto.cz" TargetMode="External"/><Relationship Id="rId142" Type="http://schemas.openxmlformats.org/officeDocument/2006/relationships/hyperlink" Target="mailto:pavel.rohlik@dolak.cz" TargetMode="External"/><Relationship Id="rId184" Type="http://schemas.openxmlformats.org/officeDocument/2006/relationships/hyperlink" Target="mailto:vladimir.boev@mercedes-benz.com" TargetMode="External"/><Relationship Id="rId391" Type="http://schemas.openxmlformats.org/officeDocument/2006/relationships/hyperlink" Target="mailto:servis@automima.cz" TargetMode="External"/><Relationship Id="rId405" Type="http://schemas.openxmlformats.org/officeDocument/2006/relationships/hyperlink" Target="mailto:chadima@tc-hk.cz" TargetMode="External"/><Relationship Id="rId447" Type="http://schemas.openxmlformats.org/officeDocument/2006/relationships/hyperlink" Target="mailto:j.dvorak@idservis.com" TargetMode="External"/><Relationship Id="rId251" Type="http://schemas.openxmlformats.org/officeDocument/2006/relationships/hyperlink" Target="mailto:jiri.ponizil@scania.com" TargetMode="External"/><Relationship Id="rId489" Type="http://schemas.openxmlformats.org/officeDocument/2006/relationships/hyperlink" Target="mailto:varejka@autofix.cz" TargetMode="External"/><Relationship Id="rId46" Type="http://schemas.openxmlformats.org/officeDocument/2006/relationships/hyperlink" Target="mailto:vavricek@autocent.cz" TargetMode="External"/><Relationship Id="rId293" Type="http://schemas.openxmlformats.org/officeDocument/2006/relationships/hyperlink" Target="mailto:petr.borovansky@tukas.cz" TargetMode="External"/><Relationship Id="rId307" Type="http://schemas.openxmlformats.org/officeDocument/2006/relationships/hyperlink" Target="mailto:opravy.so@autoschoner.cz" TargetMode="External"/><Relationship Id="rId349" Type="http://schemas.openxmlformats.org/officeDocument/2006/relationships/hyperlink" Target="mailto:auto.skorepa@email.cz" TargetMode="External"/><Relationship Id="rId514" Type="http://schemas.openxmlformats.org/officeDocument/2006/relationships/hyperlink" Target="mailto:autoskloturnov@gmail.com" TargetMode="External"/><Relationship Id="rId88" Type="http://schemas.openxmlformats.org/officeDocument/2006/relationships/hyperlink" Target="mailto:nehody@dobecar.cz" TargetMode="External"/><Relationship Id="rId111" Type="http://schemas.openxmlformats.org/officeDocument/2006/relationships/hyperlink" Target="mailto:servis@renault-melnik.cz" TargetMode="External"/><Relationship Id="rId153" Type="http://schemas.openxmlformats.org/officeDocument/2006/relationships/hyperlink" Target="mailto:pu@honda-fomi.cz" TargetMode="External"/><Relationship Id="rId195" Type="http://schemas.openxmlformats.org/officeDocument/2006/relationships/hyperlink" Target="mailto:pudel@kodecar.cz" TargetMode="External"/><Relationship Id="rId209" Type="http://schemas.openxmlformats.org/officeDocument/2006/relationships/hyperlink" Target="mailto:pkosztolanyi@automaca.cz" TargetMode="External"/><Relationship Id="rId360" Type="http://schemas.openxmlformats.org/officeDocument/2006/relationships/hyperlink" Target="mailto:pneukv@seznam.cz" TargetMode="External"/><Relationship Id="rId416" Type="http://schemas.openxmlformats.org/officeDocument/2006/relationships/hyperlink" Target="mailto:matusenko@omaro.cz" TargetMode="External"/><Relationship Id="rId220" Type="http://schemas.openxmlformats.org/officeDocument/2006/relationships/hyperlink" Target="mailto:jsteam@email.cz" TargetMode="External"/><Relationship Id="rId458" Type="http://schemas.openxmlformats.org/officeDocument/2006/relationships/hyperlink" Target="mailto:hucar@email.cz" TargetMode="External"/><Relationship Id="rId15" Type="http://schemas.openxmlformats.org/officeDocument/2006/relationships/hyperlink" Target="mailto:info@autosluzbycb.cz" TargetMode="External"/><Relationship Id="rId57" Type="http://schemas.openxmlformats.org/officeDocument/2006/relationships/hyperlink" Target="mailto:autolakhalala.poj@seznam.cz" TargetMode="External"/><Relationship Id="rId262" Type="http://schemas.openxmlformats.org/officeDocument/2006/relationships/hyperlink" Target="mailto:radek.jelinek@francecar.cz" TargetMode="External"/><Relationship Id="rId318" Type="http://schemas.openxmlformats.org/officeDocument/2006/relationships/hyperlink" Target="mailto:info@autosvarov.cz" TargetMode="External"/><Relationship Id="rId525" Type="http://schemas.openxmlformats.org/officeDocument/2006/relationships/hyperlink" Target="mailto:vymeny@mobilni-autosklo.cz" TargetMode="External"/><Relationship Id="rId99" Type="http://schemas.openxmlformats.org/officeDocument/2006/relationships/hyperlink" Target="mailto:servis@autotichy.com" TargetMode="External"/><Relationship Id="rId122" Type="http://schemas.openxmlformats.org/officeDocument/2006/relationships/hyperlink" Target="mailto:toman@bonoauto.cz" TargetMode="External"/><Relationship Id="rId164" Type="http://schemas.openxmlformats.org/officeDocument/2006/relationships/hyperlink" Target="mailto:radek.bielesz@autoset.cz" TargetMode="External"/><Relationship Id="rId371" Type="http://schemas.openxmlformats.org/officeDocument/2006/relationships/hyperlink" Target="mailto:matena@tomservice.cz" TargetMode="External"/><Relationship Id="rId427" Type="http://schemas.openxmlformats.org/officeDocument/2006/relationships/hyperlink" Target="mailto:servis@carcek.cz" TargetMode="External"/><Relationship Id="rId469" Type="http://schemas.openxmlformats.org/officeDocument/2006/relationships/hyperlink" Target="mailto:servis@motor-centrum.cz" TargetMode="External"/><Relationship Id="rId26" Type="http://schemas.openxmlformats.org/officeDocument/2006/relationships/hyperlink" Target="mailto:pojistne.udalosti.brno-vinohrady@direct-auto.cz" TargetMode="External"/><Relationship Id="rId231" Type="http://schemas.openxmlformats.org/officeDocument/2006/relationships/hyperlink" Target="mailto:daniel.benes@autobond.cz" TargetMode="External"/><Relationship Id="rId273" Type="http://schemas.openxmlformats.org/officeDocument/2006/relationships/hyperlink" Target="mailto:m.dolezal@lexuspruhonice.cz" TargetMode="External"/><Relationship Id="rId329" Type="http://schemas.openxmlformats.org/officeDocument/2006/relationships/hyperlink" Target="tel:604" TargetMode="External"/><Relationship Id="rId480" Type="http://schemas.openxmlformats.org/officeDocument/2006/relationships/hyperlink" Target="mailto:info@vinicars.cz" TargetMode="External"/><Relationship Id="rId536" Type="http://schemas.openxmlformats.org/officeDocument/2006/relationships/hyperlink" Target="mailto:zakazky@autosklo.top" TargetMode="External"/><Relationship Id="rId68" Type="http://schemas.openxmlformats.org/officeDocument/2006/relationships/hyperlink" Target="mailto:juracka@agrotec.cz" TargetMode="External"/><Relationship Id="rId133" Type="http://schemas.openxmlformats.org/officeDocument/2006/relationships/hyperlink" Target="mailto:jan.blecha@jirisoucek.cz" TargetMode="External"/><Relationship Id="rId175" Type="http://schemas.openxmlformats.org/officeDocument/2006/relationships/hyperlink" Target="mailto:tomas.puczok@autodum-vrana.cz?subject=" TargetMode="External"/><Relationship Id="rId340" Type="http://schemas.openxmlformats.org/officeDocument/2006/relationships/hyperlink" Target="mailto:petr.stanek@lakracing.cz" TargetMode="External"/><Relationship Id="rId200" Type="http://schemas.openxmlformats.org/officeDocument/2006/relationships/hyperlink" Target="mailto:michal.kmoch@louda.cz" TargetMode="External"/><Relationship Id="rId382" Type="http://schemas.openxmlformats.org/officeDocument/2006/relationships/hyperlink" Target="mailto:ales@autonevedel.cz" TargetMode="External"/><Relationship Id="rId438" Type="http://schemas.openxmlformats.org/officeDocument/2006/relationships/hyperlink" Target="mailto:chip.richter@seznam.cz" TargetMode="External"/><Relationship Id="rId242" Type="http://schemas.openxmlformats.org/officeDocument/2006/relationships/hyperlink" Target="mailto:zdenek.vorlicek@scania.com" TargetMode="External"/><Relationship Id="rId284" Type="http://schemas.openxmlformats.org/officeDocument/2006/relationships/hyperlink" Target="mailto:pavel.urban@trendcar.cz" TargetMode="External"/><Relationship Id="rId491" Type="http://schemas.openxmlformats.org/officeDocument/2006/relationships/hyperlink" Target="mailto:hk@autosklo-hak.cz" TargetMode="External"/><Relationship Id="rId505" Type="http://schemas.openxmlformats.org/officeDocument/2006/relationships/hyperlink" Target="mailto:autosklost@autosklokm.cz" TargetMode="External"/><Relationship Id="rId37" Type="http://schemas.openxmlformats.org/officeDocument/2006/relationships/hyperlink" Target="mailto:servis@optimcl.cz" TargetMode="External"/><Relationship Id="rId79" Type="http://schemas.openxmlformats.org/officeDocument/2006/relationships/hyperlink" Target="mailto:zlin@agrotec.cz" TargetMode="External"/><Relationship Id="rId102" Type="http://schemas.openxmlformats.org/officeDocument/2006/relationships/hyperlink" Target="mailto:nehody@uhcar.cz" TargetMode="External"/><Relationship Id="rId144" Type="http://schemas.openxmlformats.org/officeDocument/2006/relationships/hyperlink" Target="mailto:stepan.bednar@dolak.cz" TargetMode="External"/><Relationship Id="rId547" Type="http://schemas.openxmlformats.org/officeDocument/2006/relationships/hyperlink" Target="mailto:callcentrum@carglass.cz" TargetMode="External"/><Relationship Id="rId90" Type="http://schemas.openxmlformats.org/officeDocument/2006/relationships/hyperlink" Target="mailto:tomanek@ppautocentrum.cz?subject=" TargetMode="External"/><Relationship Id="rId186" Type="http://schemas.openxmlformats.org/officeDocument/2006/relationships/hyperlink" Target="tel:541222011" TargetMode="External"/><Relationship Id="rId351" Type="http://schemas.openxmlformats.org/officeDocument/2006/relationships/hyperlink" Target="mailto:servis@auto-malik.net" TargetMode="External"/><Relationship Id="rId393" Type="http://schemas.openxmlformats.org/officeDocument/2006/relationships/hyperlink" Target="mailto:info@karosarcentrum.cz" TargetMode="External"/><Relationship Id="rId407" Type="http://schemas.openxmlformats.org/officeDocument/2006/relationships/hyperlink" Target="mailto:info@autozabrana.cz" TargetMode="External"/><Relationship Id="rId449" Type="http://schemas.openxmlformats.org/officeDocument/2006/relationships/hyperlink" Target="mailto:info@adbservis.cz" TargetMode="External"/><Relationship Id="rId211" Type="http://schemas.openxmlformats.org/officeDocument/2006/relationships/hyperlink" Target="mailto:pojistneudalosti@araver.cz" TargetMode="External"/><Relationship Id="rId253" Type="http://schemas.openxmlformats.org/officeDocument/2006/relationships/hyperlink" Target="mailto:vladimir.pospisil@scania.com" TargetMode="External"/><Relationship Id="rId295" Type="http://schemas.openxmlformats.org/officeDocument/2006/relationships/hyperlink" Target="mailto:jakub.horacek@tukas.cz" TargetMode="External"/><Relationship Id="rId309" Type="http://schemas.openxmlformats.org/officeDocument/2006/relationships/hyperlink" Target="mailto:opravy.kv@autoschoner.cz" TargetMode="External"/><Relationship Id="rId460" Type="http://schemas.openxmlformats.org/officeDocument/2006/relationships/hyperlink" Target="mailto:pavel.zabransky@autoparta.cz" TargetMode="External"/><Relationship Id="rId516" Type="http://schemas.openxmlformats.org/officeDocument/2006/relationships/hyperlink" Target="mailto:acautosklo@seznam.cz" TargetMode="External"/><Relationship Id="rId48" Type="http://schemas.openxmlformats.org/officeDocument/2006/relationships/hyperlink" Target="mailto:info@automichalik.cz" TargetMode="External"/><Relationship Id="rId113" Type="http://schemas.openxmlformats.org/officeDocument/2006/relationships/hyperlink" Target="mailto:marek.ryslavy@autokout.cz" TargetMode="External"/><Relationship Id="rId320" Type="http://schemas.openxmlformats.org/officeDocument/2006/relationships/hyperlink" Target="mailto:vladka.pisarikova@erzet.cz" TargetMode="External"/><Relationship Id="rId155" Type="http://schemas.openxmlformats.org/officeDocument/2006/relationships/hyperlink" Target="mailto:tomas.holomek@hlavacek.cz" TargetMode="External"/><Relationship Id="rId197" Type="http://schemas.openxmlformats.org/officeDocument/2006/relationships/hyperlink" Target="mailto:servissvi@louda.cz" TargetMode="External"/><Relationship Id="rId362" Type="http://schemas.openxmlformats.org/officeDocument/2006/relationships/hyperlink" Target="mailto:pavel.pospisil@pospisiltransporte.cz" TargetMode="External"/><Relationship Id="rId418" Type="http://schemas.openxmlformats.org/officeDocument/2006/relationships/hyperlink" Target="mailto:info@autorepairsystems.cz" TargetMode="External"/><Relationship Id="rId222" Type="http://schemas.openxmlformats.org/officeDocument/2006/relationships/hyperlink" Target="tel:+420515910069" TargetMode="External"/><Relationship Id="rId264" Type="http://schemas.openxmlformats.org/officeDocument/2006/relationships/hyperlink" Target="mailto:pu@autoservismnuk.cz" TargetMode="External"/><Relationship Id="rId471" Type="http://schemas.openxmlformats.org/officeDocument/2006/relationships/hyperlink" Target="mailto:autohavlik@email.cz&#160;" TargetMode="External"/><Relationship Id="rId17" Type="http://schemas.openxmlformats.org/officeDocument/2006/relationships/hyperlink" Target="tel:00420703146308" TargetMode="External"/><Relationship Id="rId59" Type="http://schemas.openxmlformats.org/officeDocument/2006/relationships/hyperlink" Target="mailto:nehody@uhcar.cz" TargetMode="External"/><Relationship Id="rId124" Type="http://schemas.openxmlformats.org/officeDocument/2006/relationships/hyperlink" Target="mailto:vojtech.tesar@renault-chrudim.cz" TargetMode="External"/><Relationship Id="rId527" Type="http://schemas.openxmlformats.org/officeDocument/2006/relationships/hyperlink" Target="mailto:autosklo.koudelka@seznam.cz" TargetMode="External"/><Relationship Id="rId70" Type="http://schemas.openxmlformats.org/officeDocument/2006/relationships/hyperlink" Target="mailto:jzajic@auto-dubina.cz" TargetMode="External"/><Relationship Id="rId166" Type="http://schemas.openxmlformats.org/officeDocument/2006/relationships/hyperlink" Target="mailto:vaclavsiuda@vastoil.cz" TargetMode="External"/><Relationship Id="rId331" Type="http://schemas.openxmlformats.org/officeDocument/2006/relationships/hyperlink" Target="mailto:stocek@auto-help.cz" TargetMode="External"/><Relationship Id="rId373" Type="http://schemas.openxmlformats.org/officeDocument/2006/relationships/hyperlink" Target="mailto:sandandmetal@seznam.cz" TargetMode="External"/><Relationship Id="rId429" Type="http://schemas.openxmlformats.org/officeDocument/2006/relationships/hyperlink" Target="mailto:autoservishodonin@seznam.cz" TargetMode="External"/><Relationship Id="rId1" Type="http://schemas.openxmlformats.org/officeDocument/2006/relationships/hyperlink" Target="mailto:info@autotriopraha.cz" TargetMode="External"/><Relationship Id="rId233" Type="http://schemas.openxmlformats.org/officeDocument/2006/relationships/hyperlink" Target="mailto:petr.chaloupka@autobond.cz" TargetMode="External"/><Relationship Id="rId440" Type="http://schemas.openxmlformats.org/officeDocument/2006/relationships/hyperlink" Target="mailto:autickaliska@email.cz" TargetMode="External"/><Relationship Id="rId28" Type="http://schemas.openxmlformats.org/officeDocument/2006/relationships/hyperlink" Target="mailto:info@av-autoservis.cz" TargetMode="External"/><Relationship Id="rId275" Type="http://schemas.openxmlformats.org/officeDocument/2006/relationships/hyperlink" Target="mailto:petr@apcorse.cz" TargetMode="External"/><Relationship Id="rId300" Type="http://schemas.openxmlformats.org/officeDocument/2006/relationships/hyperlink" Target="mailto:fiala@vistacar.cz" TargetMode="External"/><Relationship Id="rId482" Type="http://schemas.openxmlformats.org/officeDocument/2006/relationships/hyperlink" Target="mailto:info@vinicars.cz" TargetMode="External"/><Relationship Id="rId538" Type="http://schemas.openxmlformats.org/officeDocument/2006/relationships/hyperlink" Target="mailto:zakazky@autosklo.top" TargetMode="External"/><Relationship Id="rId81" Type="http://schemas.openxmlformats.org/officeDocument/2006/relationships/hyperlink" Target="mailto:filip.starostik@auto-hegr.cz%20," TargetMode="External"/><Relationship Id="rId135" Type="http://schemas.openxmlformats.org/officeDocument/2006/relationships/hyperlink" Target="mailto:pojistneudalosti@autonejdl.cz" TargetMode="External"/><Relationship Id="rId177" Type="http://schemas.openxmlformats.org/officeDocument/2006/relationships/hyperlink" Target="mailto:likvidace.olomouc@autokubicek.cz" TargetMode="External"/><Relationship Id="rId342" Type="http://schemas.openxmlformats.org/officeDocument/2006/relationships/hyperlink" Target="mailto:info@hsmoto.cz" TargetMode="External"/><Relationship Id="rId384" Type="http://schemas.openxmlformats.org/officeDocument/2006/relationships/hyperlink" Target="mailto:jan.loskot@volny.cz" TargetMode="External"/><Relationship Id="rId202" Type="http://schemas.openxmlformats.org/officeDocument/2006/relationships/hyperlink" Target="mailto:milan.cacha@louda.cz" TargetMode="External"/><Relationship Id="rId244" Type="http://schemas.openxmlformats.org/officeDocument/2006/relationships/hyperlink" Target="mailto:miloslav.koubek@scania.com" TargetMode="External"/><Relationship Id="rId39" Type="http://schemas.openxmlformats.org/officeDocument/2006/relationships/hyperlink" Target="mailto:martin@autofreisler.cz" TargetMode="External"/><Relationship Id="rId286" Type="http://schemas.openxmlformats.org/officeDocument/2006/relationships/hyperlink" Target="mailto:bruntal@autocolordesign.cz" TargetMode="External"/><Relationship Id="rId451" Type="http://schemas.openxmlformats.org/officeDocument/2006/relationships/hyperlink" Target="mailto:servis@meteorcar.cz" TargetMode="External"/><Relationship Id="rId493" Type="http://schemas.openxmlformats.org/officeDocument/2006/relationships/hyperlink" Target="mailto:lit@autosklo-hak.cz" TargetMode="External"/><Relationship Id="rId507" Type="http://schemas.openxmlformats.org/officeDocument/2006/relationships/hyperlink" Target="mailto:rpetr@kuffel.cz" TargetMode="External"/><Relationship Id="rId549" Type="http://schemas.openxmlformats.org/officeDocument/2006/relationships/hyperlink" Target="mailto:callcentrum@carglass.cz" TargetMode="External"/><Relationship Id="rId50" Type="http://schemas.openxmlformats.org/officeDocument/2006/relationships/hyperlink" Target="mailto:MM.auto.opravy@seznam.cz" TargetMode="External"/><Relationship Id="rId104" Type="http://schemas.openxmlformats.org/officeDocument/2006/relationships/hyperlink" Target="mailto:servis@ford-autogarage.cz" TargetMode="External"/><Relationship Id="rId146" Type="http://schemas.openxmlformats.org/officeDocument/2006/relationships/hyperlink" Target="mailto:jana.krizova@autakriz.cz" TargetMode="External"/><Relationship Id="rId188" Type="http://schemas.openxmlformats.org/officeDocument/2006/relationships/hyperlink" Target="mailto:martin.bartos@autoinzat.cz" TargetMode="External"/><Relationship Id="rId311" Type="http://schemas.openxmlformats.org/officeDocument/2006/relationships/hyperlink" Target="mailto:ludvik.filipczyk@autocentrala.cz" TargetMode="External"/><Relationship Id="rId353" Type="http://schemas.openxmlformats.org/officeDocument/2006/relationships/hyperlink" Target="mailto:stejskal@roka-servis.cz" TargetMode="External"/><Relationship Id="rId395" Type="http://schemas.openxmlformats.org/officeDocument/2006/relationships/hyperlink" Target="mailto:info@autohorsky.cz" TargetMode="External"/><Relationship Id="rId409" Type="http://schemas.openxmlformats.org/officeDocument/2006/relationships/hyperlink" Target="mailto:ZK@autokejval.cz" TargetMode="External"/><Relationship Id="rId92" Type="http://schemas.openxmlformats.org/officeDocument/2006/relationships/hyperlink" Target="mailto:petrmasak@autostop-rakovnik.cz" TargetMode="External"/><Relationship Id="rId213" Type="http://schemas.openxmlformats.org/officeDocument/2006/relationships/hyperlink" Target="tel:+420%20596%20499%20421" TargetMode="External"/><Relationship Id="rId420" Type="http://schemas.openxmlformats.org/officeDocument/2006/relationships/hyperlink" Target="mailto:zakazky@mmcar.cz" TargetMode="External"/><Relationship Id="rId255" Type="http://schemas.openxmlformats.org/officeDocument/2006/relationships/hyperlink" Target="tel:737%20283%20671" TargetMode="External"/><Relationship Id="rId297" Type="http://schemas.openxmlformats.org/officeDocument/2006/relationships/hyperlink" Target="mailto:jindrich.vanek@tukas.cz" TargetMode="External"/><Relationship Id="rId462" Type="http://schemas.openxmlformats.org/officeDocument/2006/relationships/hyperlink" Target="mailto:autoservis@seznam.cz" TargetMode="External"/><Relationship Id="rId518" Type="http://schemas.openxmlformats.org/officeDocument/2006/relationships/hyperlink" Target="tel:+420777200082" TargetMode="External"/><Relationship Id="rId115" Type="http://schemas.openxmlformats.org/officeDocument/2006/relationships/hyperlink" Target="mailto:taichman@autoemistar.cz" TargetMode="External"/><Relationship Id="rId157" Type="http://schemas.openxmlformats.org/officeDocument/2006/relationships/hyperlink" Target="mailto:sondel@hlavacek.cz" TargetMode="External"/><Relationship Id="rId322" Type="http://schemas.openxmlformats.org/officeDocument/2006/relationships/hyperlink" Target="javascript:decodeEmail('zc!ravceb-sivresotua~ravceb')" TargetMode="External"/><Relationship Id="rId364" Type="http://schemas.openxmlformats.org/officeDocument/2006/relationships/hyperlink" Target="mailto:autonoma@autonoma.cz" TargetMode="External"/><Relationship Id="rId61" Type="http://schemas.openxmlformats.org/officeDocument/2006/relationships/hyperlink" Target="mailto:autokosler@seznam.cz" TargetMode="External"/><Relationship Id="rId199" Type="http://schemas.openxmlformats.org/officeDocument/2006/relationships/hyperlink" Target="mailto:lukas.pelc@louda.cz" TargetMode="External"/><Relationship Id="rId19" Type="http://schemas.openxmlformats.org/officeDocument/2006/relationships/hyperlink" Target="mailto:likvidace.sumperk@autokubicek.cz" TargetMode="External"/><Relationship Id="rId224" Type="http://schemas.openxmlformats.org/officeDocument/2006/relationships/hyperlink" Target="mailto:zbynek.vrana@canocar.cz" TargetMode="External"/><Relationship Id="rId266" Type="http://schemas.openxmlformats.org/officeDocument/2006/relationships/hyperlink" Target="mailto:pavel.jahelka@autocentrum.cz" TargetMode="External"/><Relationship Id="rId431" Type="http://schemas.openxmlformats.org/officeDocument/2006/relationships/hyperlink" Target="mailto:jezradovan@seznam.cz" TargetMode="External"/><Relationship Id="rId473" Type="http://schemas.openxmlformats.org/officeDocument/2006/relationships/hyperlink" Target="mailto:pojistovny@spei.cz" TargetMode="External"/><Relationship Id="rId529" Type="http://schemas.openxmlformats.org/officeDocument/2006/relationships/hyperlink" Target="mailto:zakazky@autosklo.top" TargetMode="External"/><Relationship Id="rId30" Type="http://schemas.openxmlformats.org/officeDocument/2006/relationships/hyperlink" Target="mailto:likvidace@assistcar.cz" TargetMode="External"/><Relationship Id="rId126" Type="http://schemas.openxmlformats.org/officeDocument/2006/relationships/hyperlink" Target="mailto:milan.chvojka@autovars.cz" TargetMode="External"/><Relationship Id="rId168" Type="http://schemas.openxmlformats.org/officeDocument/2006/relationships/hyperlink" Target="mailto:petr.novotny@klokocka.cz" TargetMode="External"/><Relationship Id="rId333" Type="http://schemas.openxmlformats.org/officeDocument/2006/relationships/hyperlink" Target="mailto:vojtech.tesar@renault-chrudim.cz" TargetMode="External"/><Relationship Id="rId540" Type="http://schemas.openxmlformats.org/officeDocument/2006/relationships/hyperlink" Target="mailto:zakazky@autosklo.top" TargetMode="External"/><Relationship Id="rId72" Type="http://schemas.openxmlformats.org/officeDocument/2006/relationships/hyperlink" Target="mailto:ph.servis@havex.cz" TargetMode="External"/><Relationship Id="rId375" Type="http://schemas.openxmlformats.org/officeDocument/2006/relationships/hyperlink" Target="mailto:autoeso@cominnet.cz" TargetMode="External"/><Relationship Id="rId3" Type="http://schemas.openxmlformats.org/officeDocument/2006/relationships/hyperlink" Target="mailto:Info.praha@direct-auto.cz" TargetMode="External"/><Relationship Id="rId235" Type="http://schemas.openxmlformats.org/officeDocument/2006/relationships/hyperlink" Target="mailto:mbservis@icomtransport.cz" TargetMode="External"/><Relationship Id="rId277" Type="http://schemas.openxmlformats.org/officeDocument/2006/relationships/hyperlink" Target="mailto:chadima@tc-hk.cz" TargetMode="External"/><Relationship Id="rId400" Type="http://schemas.openxmlformats.org/officeDocument/2006/relationships/hyperlink" Target="mailto:servis@autechmoto.cz" TargetMode="External"/><Relationship Id="rId442" Type="http://schemas.openxmlformats.org/officeDocument/2006/relationships/hyperlink" Target="mailto:autoform-cz@volny.cz" TargetMode="External"/><Relationship Id="rId484" Type="http://schemas.openxmlformats.org/officeDocument/2006/relationships/hyperlink" Target="mailto:direct@doktor-dulek.cz" TargetMode="External"/><Relationship Id="rId137" Type="http://schemas.openxmlformats.org/officeDocument/2006/relationships/hyperlink" Target="mailto:nehodyolomouc@samohylmotor.cz" TargetMode="External"/><Relationship Id="rId302" Type="http://schemas.openxmlformats.org/officeDocument/2006/relationships/hyperlink" Target="mailto:servis.praha@volvo.com" TargetMode="External"/><Relationship Id="rId344" Type="http://schemas.openxmlformats.org/officeDocument/2006/relationships/hyperlink" Target="mailto:info@hsmoto.cz" TargetMode="External"/><Relationship Id="rId41" Type="http://schemas.openxmlformats.org/officeDocument/2006/relationships/hyperlink" Target="mailto:martin@freislerauto.cz" TargetMode="External"/><Relationship Id="rId83" Type="http://schemas.openxmlformats.org/officeDocument/2006/relationships/hyperlink" Target="mailto:jan.peterka@smucler.cz" TargetMode="External"/><Relationship Id="rId179" Type="http://schemas.openxmlformats.org/officeDocument/2006/relationships/hyperlink" Target="mailto:likvidace.sumperk@autokubicek.cz" TargetMode="External"/><Relationship Id="rId386" Type="http://schemas.openxmlformats.org/officeDocument/2006/relationships/hyperlink" Target="mailto:ondrej.machacka@kad.cz" TargetMode="External"/><Relationship Id="rId551" Type="http://schemas.openxmlformats.org/officeDocument/2006/relationships/hyperlink" Target="https://www.autozabrana.cz/" TargetMode="External"/><Relationship Id="rId190" Type="http://schemas.openxmlformats.org/officeDocument/2006/relationships/hyperlink" Target="mailto:lenka.buresova@autocentrum.cz" TargetMode="External"/><Relationship Id="rId204" Type="http://schemas.openxmlformats.org/officeDocument/2006/relationships/hyperlink" Target="mailto:miroslav.sir@louda.cz" TargetMode="External"/><Relationship Id="rId246" Type="http://schemas.openxmlformats.org/officeDocument/2006/relationships/hyperlink" Target="mailto:pavel.benes@scania.com" TargetMode="External"/><Relationship Id="rId288" Type="http://schemas.openxmlformats.org/officeDocument/2006/relationships/hyperlink" Target="mailto:petr.stanek@lakracing.cz" TargetMode="External"/><Relationship Id="rId411" Type="http://schemas.openxmlformats.org/officeDocument/2006/relationships/hyperlink" Target="mailto:kolbenova@mkautoservis.cz" TargetMode="External"/><Relationship Id="rId453" Type="http://schemas.openxmlformats.org/officeDocument/2006/relationships/hyperlink" Target="mailto:martin@autofreisler.cz" TargetMode="External"/><Relationship Id="rId509" Type="http://schemas.openxmlformats.org/officeDocument/2006/relationships/hyperlink" Target="mailto:info@autosklohs.cz" TargetMode="External"/><Relationship Id="rId106" Type="http://schemas.openxmlformats.org/officeDocument/2006/relationships/hyperlink" Target="mailto:info@autohruska.cz" TargetMode="External"/><Relationship Id="rId313" Type="http://schemas.openxmlformats.org/officeDocument/2006/relationships/hyperlink" Target="mailto:info@qliniq.cz" TargetMode="External"/><Relationship Id="rId495" Type="http://schemas.openxmlformats.org/officeDocument/2006/relationships/hyperlink" Target="mailto:%20vm@autosklo-hak.cz" TargetMode="External"/><Relationship Id="rId10" Type="http://schemas.openxmlformats.org/officeDocument/2006/relationships/hyperlink" Target="mailto:smichov@autoservishoffmann.cz" TargetMode="External"/><Relationship Id="rId52" Type="http://schemas.openxmlformats.org/officeDocument/2006/relationships/hyperlink" Target="mailto:nehody@uhcar.cz" TargetMode="External"/><Relationship Id="rId94" Type="http://schemas.openxmlformats.org/officeDocument/2006/relationships/hyperlink" Target="mailto:frantisek.lokaj@renaultbrno.cz" TargetMode="External"/><Relationship Id="rId148" Type="http://schemas.openxmlformats.org/officeDocument/2006/relationships/hyperlink" Target="mailto:holman@autowallis.cz" TargetMode="External"/><Relationship Id="rId355" Type="http://schemas.openxmlformats.org/officeDocument/2006/relationships/hyperlink" Target="tel:+420773427942" TargetMode="External"/><Relationship Id="rId397" Type="http://schemas.openxmlformats.org/officeDocument/2006/relationships/hyperlink" Target="mailto:fratric.servis@gmail.com" TargetMode="External"/><Relationship Id="rId520" Type="http://schemas.openxmlformats.org/officeDocument/2006/relationships/hyperlink" Target="mailto:brno@autosklots.cz" TargetMode="External"/><Relationship Id="rId215" Type="http://schemas.openxmlformats.org/officeDocument/2006/relationships/hyperlink" Target="tel:+420%20602%20549%20071" TargetMode="External"/><Relationship Id="rId257" Type="http://schemas.openxmlformats.org/officeDocument/2006/relationships/hyperlink" Target="tel:605%20208%20874" TargetMode="External"/><Relationship Id="rId422" Type="http://schemas.openxmlformats.org/officeDocument/2006/relationships/hyperlink" Target="mailto:servis@autosalon-schromm.cz&#160;" TargetMode="External"/><Relationship Id="rId464" Type="http://schemas.openxmlformats.org/officeDocument/2006/relationships/hyperlink" Target="mailto:autoservissno@seznam.cz" TargetMode="External"/><Relationship Id="rId299" Type="http://schemas.openxmlformats.org/officeDocument/2006/relationships/hyperlink" Target="mailto:tomas.danicek@autocentrum.cz" TargetMode="External"/><Relationship Id="rId63" Type="http://schemas.openxmlformats.org/officeDocument/2006/relationships/hyperlink" Target="mailto:zakazky@mmcar.cz" TargetMode="External"/><Relationship Id="rId159" Type="http://schemas.openxmlformats.org/officeDocument/2006/relationships/hyperlink" Target="mailto:dub@autosevcik.cz" TargetMode="External"/><Relationship Id="rId366" Type="http://schemas.openxmlformats.org/officeDocument/2006/relationships/hyperlink" Target="mailto:jakub.klaban@rtd-truck.cz" TargetMode="External"/><Relationship Id="rId226" Type="http://schemas.openxmlformats.org/officeDocument/2006/relationships/hyperlink" Target="mailto:servis@karavancm.cz" TargetMode="External"/><Relationship Id="rId433" Type="http://schemas.openxmlformats.org/officeDocument/2006/relationships/hyperlink" Target="mailto:sembera@autocb.cz" TargetMode="External"/><Relationship Id="rId74" Type="http://schemas.openxmlformats.org/officeDocument/2006/relationships/hyperlink" Target="mailto:hudecek@samohylmotor.cz" TargetMode="External"/><Relationship Id="rId377" Type="http://schemas.openxmlformats.org/officeDocument/2006/relationships/hyperlink" Target="mailto:radek.fiser@automamut.cz" TargetMode="External"/><Relationship Id="rId500" Type="http://schemas.openxmlformats.org/officeDocument/2006/relationships/hyperlink" Target="mailto:prijem@autocentrumkarvina.cz" TargetMode="External"/><Relationship Id="rId5" Type="http://schemas.openxmlformats.org/officeDocument/2006/relationships/hyperlink" Target="mailto:nehody.praha-strahov@direct-auto.cz" TargetMode="External"/><Relationship Id="rId237" Type="http://schemas.openxmlformats.org/officeDocument/2006/relationships/hyperlink" Target="mailto:mbservishu@icomtransport.cz" TargetMode="External"/><Relationship Id="rId444" Type="http://schemas.openxmlformats.org/officeDocument/2006/relationships/hyperlink" Target="mailto:szitka@centrum.cz" TargetMode="External"/><Relationship Id="rId290" Type="http://schemas.openxmlformats.org/officeDocument/2006/relationships/hyperlink" Target="mailto:vendula.datlova@invelt.com" TargetMode="External"/><Relationship Id="rId304" Type="http://schemas.openxmlformats.org/officeDocument/2006/relationships/hyperlink" Target="mailto:lyskova@hlavacek.cz" TargetMode="External"/><Relationship Id="rId388" Type="http://schemas.openxmlformats.org/officeDocument/2006/relationships/hyperlink" Target="tel:+420583440284" TargetMode="External"/><Relationship Id="rId511" Type="http://schemas.openxmlformats.org/officeDocument/2006/relationships/hyperlink" Target="mailto:info@autosklohs.cz" TargetMode="External"/><Relationship Id="rId85" Type="http://schemas.openxmlformats.org/officeDocument/2006/relationships/hyperlink" Target="mailto:petr.stuchlik@nevagroup.cz" TargetMode="External"/><Relationship Id="rId150" Type="http://schemas.openxmlformats.org/officeDocument/2006/relationships/hyperlink" Target="mailto:vladimir.jahoda@hyundailxm.cz" TargetMode="External"/><Relationship Id="rId248" Type="http://schemas.openxmlformats.org/officeDocument/2006/relationships/hyperlink" Target="mailto:zdenek.vach@scania.com" TargetMode="External"/><Relationship Id="rId455" Type="http://schemas.openxmlformats.org/officeDocument/2006/relationships/hyperlink" Target="mailto:info@autovolyne.cz" TargetMode="External"/><Relationship Id="rId12" Type="http://schemas.openxmlformats.org/officeDocument/2006/relationships/hyperlink" Target="mailto:info.pribram@direct-auto.cz" TargetMode="External"/><Relationship Id="rId108" Type="http://schemas.openxmlformats.org/officeDocument/2006/relationships/hyperlink" Target="mailto:servis@abva.cz" TargetMode="External"/><Relationship Id="rId315" Type="http://schemas.openxmlformats.org/officeDocument/2006/relationships/hyperlink" Target="mailto:jiri@stepanekauto.cz&#160;" TargetMode="External"/><Relationship Id="rId522" Type="http://schemas.openxmlformats.org/officeDocument/2006/relationships/hyperlink" Target="mailto:info@autoskla-kokosin.c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B6A5A-908D-476D-A45B-E759843A68EB}">
  <dimension ref="A1:AW895"/>
  <sheetViews>
    <sheetView tabSelected="1" zoomScale="80" zoomScaleNormal="80" workbookViewId="0">
      <pane ySplit="2" topLeftCell="A367" activePane="bottomLeft" state="frozen"/>
      <selection pane="bottomLeft" activeCell="AU368" sqref="AU368"/>
    </sheetView>
  </sheetViews>
  <sheetFormatPr defaultColWidth="9.109375" defaultRowHeight="24" customHeight="1" x14ac:dyDescent="0.3"/>
  <cols>
    <col min="1" max="1" width="5.109375" style="3" customWidth="1"/>
    <col min="2" max="2" width="12.109375" style="3" customWidth="1"/>
    <col min="3" max="3" width="13.33203125" style="3" bestFit="1" customWidth="1"/>
    <col min="4" max="4" width="16.6640625" style="3" customWidth="1"/>
    <col min="5" max="5" width="33.33203125" style="3" customWidth="1"/>
    <col min="6" max="6" width="21.33203125" style="3" customWidth="1"/>
    <col min="7" max="7" width="9.5546875" style="3" bestFit="1" customWidth="1"/>
    <col min="8" max="8" width="18.5546875" style="3" customWidth="1"/>
    <col min="9" max="9" width="16" style="3" bestFit="1" customWidth="1"/>
    <col min="10" max="10" width="39.6640625" style="3" customWidth="1"/>
    <col min="11" max="11" width="14.109375" style="3" customWidth="1"/>
    <col min="12" max="12" width="25.5546875" style="3" customWidth="1"/>
    <col min="13" max="13" width="26.109375" style="3" customWidth="1"/>
    <col min="14" max="14" width="17" style="3" bestFit="1" customWidth="1"/>
    <col min="15" max="15" width="13.6640625" style="3" bestFit="1" customWidth="1"/>
    <col min="16" max="16" width="10" style="3" customWidth="1"/>
    <col min="17" max="17" width="22.33203125" style="3" customWidth="1"/>
    <col min="18" max="18" width="19.6640625" style="3" customWidth="1"/>
    <col min="19" max="20" width="11.88671875" style="3" bestFit="1" customWidth="1"/>
    <col min="21" max="21" width="13" style="3" customWidth="1"/>
    <col min="22" max="22" width="13.88671875" style="3" customWidth="1"/>
    <col min="23" max="27" width="12.33203125" style="3" customWidth="1"/>
    <col min="28" max="46" width="11.88671875" style="3" customWidth="1"/>
    <col min="47" max="47" width="25.6640625" style="3" customWidth="1"/>
    <col min="48" max="48" width="26" style="3" bestFit="1" customWidth="1"/>
    <col min="49" max="16384" width="9.109375" style="3"/>
  </cols>
  <sheetData>
    <row r="1" spans="1:49" ht="24" customHeight="1" thickBot="1" x14ac:dyDescent="0.35">
      <c r="A1" s="6"/>
      <c r="B1" s="25" t="s">
        <v>0</v>
      </c>
      <c r="C1" s="26" t="s">
        <v>1</v>
      </c>
      <c r="D1" s="27" t="s">
        <v>2</v>
      </c>
      <c r="E1" s="28" t="s">
        <v>3</v>
      </c>
    </row>
    <row r="2" spans="1:49" s="5" customFormat="1" ht="87.75" customHeight="1" x14ac:dyDescent="0.3">
      <c r="A2" s="5" t="s">
        <v>4</v>
      </c>
      <c r="B2" s="24" t="s">
        <v>5</v>
      </c>
      <c r="C2" s="24" t="s">
        <v>6</v>
      </c>
      <c r="D2" s="24" t="s">
        <v>7</v>
      </c>
      <c r="E2" s="24" t="s">
        <v>8</v>
      </c>
      <c r="F2" s="24" t="s">
        <v>9</v>
      </c>
      <c r="G2" s="24" t="s">
        <v>10</v>
      </c>
      <c r="H2" s="24" t="s">
        <v>11</v>
      </c>
      <c r="I2" s="24" t="s">
        <v>12</v>
      </c>
      <c r="J2" s="24" t="s">
        <v>13</v>
      </c>
      <c r="K2" s="24" t="s">
        <v>14</v>
      </c>
      <c r="L2" s="24" t="s">
        <v>15</v>
      </c>
      <c r="M2" s="24" t="s">
        <v>16</v>
      </c>
      <c r="N2" s="23" t="s">
        <v>17</v>
      </c>
      <c r="O2" s="24" t="s">
        <v>18</v>
      </c>
      <c r="P2" s="24" t="s">
        <v>19</v>
      </c>
      <c r="Q2" s="24" t="s">
        <v>20</v>
      </c>
      <c r="R2" s="24" t="s">
        <v>21</v>
      </c>
      <c r="S2" s="22" t="s">
        <v>22</v>
      </c>
      <c r="T2" s="22" t="s">
        <v>23</v>
      </c>
      <c r="U2" s="22" t="s">
        <v>24</v>
      </c>
      <c r="V2" s="22" t="s">
        <v>25</v>
      </c>
      <c r="W2" s="22" t="s">
        <v>26</v>
      </c>
      <c r="X2" s="22" t="s">
        <v>27</v>
      </c>
      <c r="Y2" s="22" t="s">
        <v>28</v>
      </c>
      <c r="Z2" s="22" t="s">
        <v>29</v>
      </c>
      <c r="AA2" s="22" t="s">
        <v>30</v>
      </c>
      <c r="AB2" s="22" t="s">
        <v>31</v>
      </c>
      <c r="AC2" s="22" t="s">
        <v>32</v>
      </c>
      <c r="AD2" s="22" t="s">
        <v>33</v>
      </c>
      <c r="AE2" s="22" t="s">
        <v>34</v>
      </c>
      <c r="AF2" s="22" t="s">
        <v>35</v>
      </c>
      <c r="AG2" s="22" t="s">
        <v>36</v>
      </c>
      <c r="AH2" s="22" t="s">
        <v>37</v>
      </c>
      <c r="AI2" s="22" t="s">
        <v>38</v>
      </c>
      <c r="AJ2" s="22" t="s">
        <v>39</v>
      </c>
      <c r="AK2" s="22" t="s">
        <v>40</v>
      </c>
      <c r="AL2" s="22" t="s">
        <v>41</v>
      </c>
      <c r="AM2" s="22" t="s">
        <v>42</v>
      </c>
      <c r="AN2" s="22" t="s">
        <v>43</v>
      </c>
      <c r="AO2" s="22" t="s">
        <v>44</v>
      </c>
      <c r="AP2" s="22" t="s">
        <v>45</v>
      </c>
      <c r="AQ2" s="22" t="s">
        <v>46</v>
      </c>
      <c r="AR2" s="22" t="s">
        <v>47</v>
      </c>
      <c r="AS2" s="22" t="s">
        <v>48</v>
      </c>
      <c r="AT2" s="22" t="s">
        <v>49</v>
      </c>
      <c r="AU2" s="22" t="s">
        <v>50</v>
      </c>
      <c r="AV2" s="22" t="s">
        <v>51</v>
      </c>
      <c r="AW2" s="5" t="s">
        <v>52</v>
      </c>
    </row>
    <row r="3" spans="1:49" ht="24" customHeight="1" x14ac:dyDescent="0.3">
      <c r="A3" s="3" t="s">
        <v>53</v>
      </c>
      <c r="B3" s="3" t="s">
        <v>54</v>
      </c>
      <c r="C3" s="3" t="s">
        <v>55</v>
      </c>
      <c r="D3" s="3" t="s">
        <v>56</v>
      </c>
      <c r="E3" s="3" t="s">
        <v>57</v>
      </c>
      <c r="F3" s="3" t="s">
        <v>58</v>
      </c>
      <c r="G3" s="3">
        <v>26724</v>
      </c>
      <c r="H3" s="3" t="s">
        <v>59</v>
      </c>
      <c r="I3" s="3" t="s">
        <v>57</v>
      </c>
      <c r="J3" s="7" t="s">
        <v>60</v>
      </c>
      <c r="K3" s="3">
        <v>732921088.60314202</v>
      </c>
      <c r="L3" s="3" t="s">
        <v>61</v>
      </c>
      <c r="M3" s="6" t="s">
        <v>62</v>
      </c>
      <c r="N3" s="6" t="s">
        <v>63</v>
      </c>
      <c r="O3" s="3" t="s">
        <v>64</v>
      </c>
      <c r="Q3" s="6" t="str">
        <f>VLOOKUP(G3,seznampsc!A:B,2,FALSE)</f>
        <v>Beroun</v>
      </c>
      <c r="R3" s="6" t="str">
        <f>VLOOKUP(G3,seznampsc!A:C,3,FALSE)</f>
        <v>Středočeský kraj</v>
      </c>
      <c r="S3" s="6">
        <v>49.852080000000001</v>
      </c>
      <c r="T3" s="6">
        <v>14.03656</v>
      </c>
      <c r="U3" s="6"/>
      <c r="V3" s="6"/>
      <c r="W3" s="6"/>
      <c r="X3" s="6"/>
      <c r="Y3" s="6"/>
      <c r="Z3" s="6"/>
      <c r="AA3" s="6"/>
      <c r="AB3" s="6"/>
      <c r="AC3" s="6"/>
      <c r="AD3" s="6">
        <v>680</v>
      </c>
      <c r="AE3" s="6">
        <v>680</v>
      </c>
      <c r="AF3" s="6">
        <v>680</v>
      </c>
      <c r="AG3" s="6"/>
      <c r="AH3" s="6"/>
      <c r="AI3" s="6"/>
      <c r="AJ3" s="6"/>
      <c r="AK3" s="6"/>
      <c r="AL3" s="6"/>
      <c r="AM3" s="6"/>
      <c r="AN3" s="6"/>
      <c r="AO3" s="6"/>
      <c r="AP3" s="6"/>
      <c r="AQ3" s="6">
        <v>10</v>
      </c>
      <c r="AR3" s="6"/>
      <c r="AS3" s="6"/>
      <c r="AT3" s="6"/>
      <c r="AV3" s="3">
        <v>100000</v>
      </c>
    </row>
    <row r="4" spans="1:49" ht="24" customHeight="1" x14ac:dyDescent="0.3">
      <c r="A4" s="1"/>
      <c r="B4" s="1" t="s">
        <v>65</v>
      </c>
      <c r="C4" s="1" t="s">
        <v>66</v>
      </c>
      <c r="D4" s="1" t="s">
        <v>67</v>
      </c>
      <c r="E4" s="1" t="s">
        <v>68</v>
      </c>
      <c r="F4" s="1" t="s">
        <v>69</v>
      </c>
      <c r="G4" s="1">
        <v>18100</v>
      </c>
      <c r="H4" s="1" t="s">
        <v>70</v>
      </c>
      <c r="I4" s="1" t="s">
        <v>71</v>
      </c>
      <c r="J4" s="1" t="s">
        <v>72</v>
      </c>
      <c r="K4" s="1">
        <v>608910930</v>
      </c>
      <c r="L4" s="1" t="s">
        <v>73</v>
      </c>
      <c r="M4" s="1" t="s">
        <v>62</v>
      </c>
      <c r="N4" s="1" t="s">
        <v>63</v>
      </c>
      <c r="O4" s="1" t="s">
        <v>74</v>
      </c>
      <c r="P4" s="1"/>
      <c r="Q4" s="6" t="str">
        <f>VLOOKUP(G4,seznampsc!A:B,2,FALSE)</f>
        <v>Hlavní město Praha</v>
      </c>
      <c r="R4" s="6" t="str">
        <f>VLOOKUP(G4,seznampsc!A:C,3,FALSE)</f>
        <v>Hlavní město Praha</v>
      </c>
      <c r="S4" s="1">
        <v>50.128720000000001</v>
      </c>
      <c r="T4" s="1">
        <v>14.41488</v>
      </c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 t="s">
        <v>75</v>
      </c>
      <c r="AV4" s="1"/>
    </row>
    <row r="5" spans="1:49" ht="24" customHeight="1" x14ac:dyDescent="0.3">
      <c r="A5" s="6"/>
      <c r="B5" s="6" t="s">
        <v>65</v>
      </c>
      <c r="C5" s="6" t="s">
        <v>76</v>
      </c>
      <c r="D5" s="6" t="s">
        <v>77</v>
      </c>
      <c r="E5" s="6" t="s">
        <v>78</v>
      </c>
      <c r="F5" s="6" t="s">
        <v>79</v>
      </c>
      <c r="G5" s="6">
        <v>15300</v>
      </c>
      <c r="H5" s="6" t="s">
        <v>80</v>
      </c>
      <c r="I5" s="6" t="s">
        <v>81</v>
      </c>
      <c r="J5" s="6" t="s">
        <v>82</v>
      </c>
      <c r="K5" s="6">
        <v>603588675.60358799</v>
      </c>
      <c r="L5" s="6" t="s">
        <v>83</v>
      </c>
      <c r="M5" s="6" t="s">
        <v>84</v>
      </c>
      <c r="N5" s="6" t="s">
        <v>63</v>
      </c>
      <c r="O5" s="6" t="s">
        <v>85</v>
      </c>
      <c r="P5" s="6"/>
      <c r="Q5" s="6" t="str">
        <f>VLOOKUP(G5,seznampsc!A:B,2,FALSE)</f>
        <v>Hlavní město Praha</v>
      </c>
      <c r="R5" s="6" t="str">
        <f>VLOOKUP(G5,seznampsc!A:C,3,FALSE)</f>
        <v>Hlavní město Praha</v>
      </c>
      <c r="S5" s="6">
        <v>49.989849</v>
      </c>
      <c r="T5" s="6">
        <v>14.3701933</v>
      </c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V5" s="10">
        <v>200000</v>
      </c>
    </row>
    <row r="6" spans="1:49" ht="24" customHeight="1" x14ac:dyDescent="0.3">
      <c r="A6" s="6"/>
      <c r="B6" s="6" t="s">
        <v>65</v>
      </c>
      <c r="C6" s="6" t="s">
        <v>86</v>
      </c>
      <c r="D6" s="6" t="s">
        <v>87</v>
      </c>
      <c r="E6" s="6" t="s">
        <v>88</v>
      </c>
      <c r="F6" s="6" t="s">
        <v>89</v>
      </c>
      <c r="G6" s="6">
        <v>19800</v>
      </c>
      <c r="H6" s="6" t="s">
        <v>80</v>
      </c>
      <c r="I6" s="6" t="s">
        <v>90</v>
      </c>
      <c r="J6" s="6" t="s">
        <v>91</v>
      </c>
      <c r="K6" s="6">
        <v>604306306</v>
      </c>
      <c r="L6" s="6" t="s">
        <v>83</v>
      </c>
      <c r="M6" s="6" t="s">
        <v>92</v>
      </c>
      <c r="N6" s="6" t="s">
        <v>63</v>
      </c>
      <c r="O6" s="6" t="s">
        <v>93</v>
      </c>
      <c r="P6" s="6"/>
      <c r="Q6" s="6" t="str">
        <f>VLOOKUP(G6,seznampsc!A:B,2,FALSE)</f>
        <v>Hlavní město Praha</v>
      </c>
      <c r="R6" s="6" t="str">
        <f>VLOOKUP(G6,seznampsc!A:C,3,FALSE)</f>
        <v>Hlavní město Praha</v>
      </c>
      <c r="S6" s="6">
        <v>50.087657999999998</v>
      </c>
      <c r="T6" s="6">
        <v>14.5564369</v>
      </c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V6" s="10">
        <v>200000</v>
      </c>
    </row>
    <row r="7" spans="1:49" ht="24" customHeight="1" x14ac:dyDescent="0.3">
      <c r="A7" s="6"/>
      <c r="B7" s="6" t="s">
        <v>65</v>
      </c>
      <c r="C7" s="6" t="s">
        <v>86</v>
      </c>
      <c r="D7" s="6" t="s">
        <v>87</v>
      </c>
      <c r="E7" s="6" t="s">
        <v>88</v>
      </c>
      <c r="F7" s="6" t="s">
        <v>94</v>
      </c>
      <c r="G7" s="6">
        <v>15500</v>
      </c>
      <c r="H7" s="6" t="s">
        <v>80</v>
      </c>
      <c r="I7" s="6" t="s">
        <v>95</v>
      </c>
      <c r="J7" s="6" t="s">
        <v>96</v>
      </c>
      <c r="K7" s="6">
        <v>775307607</v>
      </c>
      <c r="L7" s="6" t="s">
        <v>83</v>
      </c>
      <c r="M7" s="6" t="s">
        <v>92</v>
      </c>
      <c r="N7" s="6" t="s">
        <v>63</v>
      </c>
      <c r="O7" s="6" t="s">
        <v>97</v>
      </c>
      <c r="P7" s="6"/>
      <c r="Q7" s="6" t="str">
        <f>VLOOKUP(G7,seznampsc!A:B,2,FALSE)</f>
        <v>Hlavní město Praha</v>
      </c>
      <c r="R7" s="6" t="str">
        <f>VLOOKUP(G7,seznampsc!A:C,3,FALSE)</f>
        <v>Hlavní město Praha</v>
      </c>
      <c r="S7" s="6">
        <v>50.039629599999998</v>
      </c>
      <c r="T7" s="6">
        <v>14.330823499999999</v>
      </c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V7" s="10">
        <v>200000</v>
      </c>
    </row>
    <row r="8" spans="1:49" ht="24" customHeight="1" x14ac:dyDescent="0.3">
      <c r="A8" s="6"/>
      <c r="B8" s="6" t="s">
        <v>65</v>
      </c>
      <c r="C8" s="6" t="s">
        <v>86</v>
      </c>
      <c r="D8" s="6" t="s">
        <v>87</v>
      </c>
      <c r="E8" s="6" t="s">
        <v>88</v>
      </c>
      <c r="F8" s="6" t="s">
        <v>98</v>
      </c>
      <c r="G8" s="6">
        <v>25066</v>
      </c>
      <c r="H8" s="6" t="s">
        <v>99</v>
      </c>
      <c r="I8" s="6" t="s">
        <v>100</v>
      </c>
      <c r="J8" s="6" t="s">
        <v>101</v>
      </c>
      <c r="K8" s="6">
        <v>775858857</v>
      </c>
      <c r="L8" s="6" t="s">
        <v>83</v>
      </c>
      <c r="M8" s="6" t="s">
        <v>102</v>
      </c>
      <c r="N8" s="6" t="s">
        <v>63</v>
      </c>
      <c r="O8" s="6" t="s">
        <v>97</v>
      </c>
      <c r="P8" s="6"/>
      <c r="Q8" s="6" t="str">
        <f>VLOOKUP(G8,seznampsc!A:B,2,FALSE)</f>
        <v>Praha-východ</v>
      </c>
      <c r="R8" s="6" t="str">
        <f>VLOOKUP(G8,seznampsc!A:C,3,FALSE)</f>
        <v>Středočeský kraj</v>
      </c>
      <c r="S8" s="6" t="s">
        <v>103</v>
      </c>
      <c r="T8" s="6" t="s">
        <v>104</v>
      </c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V8" s="10">
        <v>200000</v>
      </c>
    </row>
    <row r="9" spans="1:49" ht="24" customHeight="1" x14ac:dyDescent="0.3">
      <c r="A9" s="1"/>
      <c r="B9" s="1" t="s">
        <v>65</v>
      </c>
      <c r="C9" s="1" t="s">
        <v>86</v>
      </c>
      <c r="D9" s="1" t="s">
        <v>87</v>
      </c>
      <c r="E9" s="1" t="s">
        <v>88</v>
      </c>
      <c r="F9" s="1" t="s">
        <v>105</v>
      </c>
      <c r="G9" s="1">
        <v>39001</v>
      </c>
      <c r="H9" s="1" t="s">
        <v>106</v>
      </c>
      <c r="I9" s="1" t="s">
        <v>107</v>
      </c>
      <c r="J9" s="1" t="s">
        <v>108</v>
      </c>
      <c r="K9" s="1">
        <v>775607807</v>
      </c>
      <c r="L9" s="1" t="s">
        <v>83</v>
      </c>
      <c r="M9" s="1" t="s">
        <v>92</v>
      </c>
      <c r="N9" s="1" t="s">
        <v>63</v>
      </c>
      <c r="O9" s="1" t="s">
        <v>109</v>
      </c>
      <c r="P9" s="6"/>
      <c r="Q9" s="6" t="str">
        <f>VLOOKUP(G9,seznampsc!A:B,2,FALSE)</f>
        <v>Tábor</v>
      </c>
      <c r="R9" s="6" t="str">
        <f>VLOOKUP(G9,seznampsc!A:C,3,FALSE)</f>
        <v>Jihočeský kraj</v>
      </c>
      <c r="S9" s="1">
        <v>49.413787799999902</v>
      </c>
      <c r="T9" s="1">
        <v>14.664725300000001</v>
      </c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4" t="s">
        <v>110</v>
      </c>
      <c r="AV9" s="10"/>
    </row>
    <row r="10" spans="1:49" ht="24" customHeight="1" x14ac:dyDescent="0.3">
      <c r="A10" s="6"/>
      <c r="B10" s="6" t="s">
        <v>65</v>
      </c>
      <c r="C10" s="6" t="s">
        <v>86</v>
      </c>
      <c r="D10" s="6" t="s">
        <v>87</v>
      </c>
      <c r="E10" s="6" t="s">
        <v>88</v>
      </c>
      <c r="F10" s="6" t="s">
        <v>111</v>
      </c>
      <c r="G10" s="6">
        <v>19800</v>
      </c>
      <c r="H10" s="6" t="s">
        <v>80</v>
      </c>
      <c r="I10" s="6" t="s">
        <v>112</v>
      </c>
      <c r="J10" s="6" t="s">
        <v>113</v>
      </c>
      <c r="K10" s="6">
        <v>775444087</v>
      </c>
      <c r="L10" s="6" t="s">
        <v>83</v>
      </c>
      <c r="M10" s="6" t="s">
        <v>92</v>
      </c>
      <c r="N10" s="6" t="s">
        <v>63</v>
      </c>
      <c r="O10" s="6" t="s">
        <v>97</v>
      </c>
      <c r="P10" s="6"/>
      <c r="Q10" s="6" t="str">
        <f>VLOOKUP(G10,seznampsc!A:B,2,FALSE)</f>
        <v>Hlavní město Praha</v>
      </c>
      <c r="R10" s="6" t="str">
        <f>VLOOKUP(G10,seznampsc!A:C,3,FALSE)</f>
        <v>Hlavní město Praha</v>
      </c>
      <c r="S10" s="6">
        <v>50.110743900000003</v>
      </c>
      <c r="T10" s="6">
        <v>14.5749306</v>
      </c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V10" s="10">
        <v>200000</v>
      </c>
    </row>
    <row r="11" spans="1:49" ht="24" customHeight="1" x14ac:dyDescent="0.3">
      <c r="A11" s="6"/>
      <c r="B11" s="6" t="s">
        <v>65</v>
      </c>
      <c r="C11" s="6" t="s">
        <v>114</v>
      </c>
      <c r="D11" s="6" t="s">
        <v>115</v>
      </c>
      <c r="E11" s="6" t="s">
        <v>116</v>
      </c>
      <c r="F11" s="6" t="s">
        <v>117</v>
      </c>
      <c r="G11" s="6">
        <v>15500</v>
      </c>
      <c r="H11" s="6" t="s">
        <v>80</v>
      </c>
      <c r="I11" s="6" t="s">
        <v>118</v>
      </c>
      <c r="J11" s="6" t="s">
        <v>119</v>
      </c>
      <c r="K11" s="6">
        <v>778726674</v>
      </c>
      <c r="L11" s="6" t="s">
        <v>83</v>
      </c>
      <c r="M11" s="6" t="s">
        <v>120</v>
      </c>
      <c r="N11" s="6" t="s">
        <v>63</v>
      </c>
      <c r="O11" s="6" t="s">
        <v>97</v>
      </c>
      <c r="P11" s="6"/>
      <c r="Q11" s="6" t="str">
        <f>VLOOKUP(G11,seznampsc!A:B,2,FALSE)</f>
        <v>Hlavní město Praha</v>
      </c>
      <c r="R11" s="6" t="str">
        <f>VLOOKUP(G11,seznampsc!A:C,3,FALSE)</f>
        <v>Hlavní město Praha</v>
      </c>
      <c r="S11" s="6">
        <v>50.039651399999997</v>
      </c>
      <c r="T11" s="6">
        <v>14.328207900000001</v>
      </c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V11" s="10">
        <v>200000</v>
      </c>
    </row>
    <row r="12" spans="1:49" ht="24" customHeight="1" x14ac:dyDescent="0.3">
      <c r="A12" s="3" t="s">
        <v>53</v>
      </c>
      <c r="B12" s="3" t="s">
        <v>54</v>
      </c>
      <c r="C12" s="3" t="s">
        <v>55</v>
      </c>
      <c r="D12" s="3" t="s">
        <v>121</v>
      </c>
      <c r="E12" s="3" t="s">
        <v>122</v>
      </c>
      <c r="F12" s="3" t="s">
        <v>123</v>
      </c>
      <c r="G12" s="3">
        <v>67801</v>
      </c>
      <c r="H12" s="3" t="s">
        <v>124</v>
      </c>
      <c r="I12" s="3" t="s">
        <v>125</v>
      </c>
      <c r="J12" s="3" t="s">
        <v>126</v>
      </c>
      <c r="K12" s="3">
        <v>734243691</v>
      </c>
      <c r="L12" s="3" t="s">
        <v>61</v>
      </c>
      <c r="M12" s="6" t="s">
        <v>62</v>
      </c>
      <c r="N12" s="6" t="s">
        <v>63</v>
      </c>
      <c r="O12" s="3" t="s">
        <v>64</v>
      </c>
      <c r="Q12" s="6" t="str">
        <f>VLOOKUP(G12,seznampsc!A:B,2,FALSE)</f>
        <v>Blansko</v>
      </c>
      <c r="R12" s="6" t="str">
        <f>VLOOKUP(G12,seznampsc!A:C,3,FALSE)</f>
        <v>Jihomoravský kraj</v>
      </c>
      <c r="S12" s="6">
        <v>49.349991000000003</v>
      </c>
      <c r="T12" s="6">
        <v>16.656527000000001</v>
      </c>
      <c r="U12" s="6"/>
      <c r="V12" s="6"/>
      <c r="W12" s="6"/>
      <c r="X12" s="6"/>
      <c r="Y12" s="6"/>
      <c r="Z12" s="6"/>
      <c r="AA12" s="6"/>
      <c r="AB12" s="6"/>
      <c r="AC12" s="6"/>
      <c r="AD12" s="6">
        <v>680</v>
      </c>
      <c r="AE12" s="6">
        <v>680</v>
      </c>
      <c r="AF12" s="6">
        <v>680</v>
      </c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>
        <v>10</v>
      </c>
      <c r="AR12" s="6"/>
      <c r="AS12" s="6"/>
      <c r="AT12" s="6"/>
      <c r="AU12" s="3" t="s">
        <v>127</v>
      </c>
      <c r="AV12" s="3">
        <v>100000</v>
      </c>
    </row>
    <row r="13" spans="1:49" ht="24" customHeight="1" x14ac:dyDescent="0.3">
      <c r="A13" s="1"/>
      <c r="B13" s="1" t="s">
        <v>65</v>
      </c>
      <c r="C13" s="1" t="s">
        <v>128</v>
      </c>
      <c r="D13" s="1" t="s">
        <v>129</v>
      </c>
      <c r="E13" s="1" t="s">
        <v>130</v>
      </c>
      <c r="F13" s="1" t="s">
        <v>131</v>
      </c>
      <c r="G13" s="1">
        <v>15500</v>
      </c>
      <c r="H13" s="1" t="s">
        <v>80</v>
      </c>
      <c r="I13" s="1" t="s">
        <v>132</v>
      </c>
      <c r="J13" s="1" t="s">
        <v>133</v>
      </c>
      <c r="K13" s="1">
        <v>225340440</v>
      </c>
      <c r="L13" s="1" t="s">
        <v>83</v>
      </c>
      <c r="M13" s="1" t="s">
        <v>134</v>
      </c>
      <c r="N13" s="1" t="s">
        <v>63</v>
      </c>
      <c r="O13" s="1" t="s">
        <v>135</v>
      </c>
      <c r="P13" s="6"/>
      <c r="Q13" s="6" t="str">
        <f>VLOOKUP(G13,seznampsc!A:B,2,FALSE)</f>
        <v>Hlavní město Praha</v>
      </c>
      <c r="R13" s="6" t="str">
        <f>VLOOKUP(G13,seznampsc!A:C,3,FALSE)</f>
        <v>Hlavní město Praha</v>
      </c>
      <c r="S13" s="1">
        <v>50.050835499999998</v>
      </c>
      <c r="T13" s="1">
        <v>14.2919675</v>
      </c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 t="s">
        <v>136</v>
      </c>
      <c r="AV13" s="2">
        <v>200000</v>
      </c>
    </row>
    <row r="14" spans="1:49" ht="24" customHeight="1" x14ac:dyDescent="0.3">
      <c r="A14" s="1"/>
      <c r="B14" s="1" t="s">
        <v>65</v>
      </c>
      <c r="C14" s="1" t="s">
        <v>137</v>
      </c>
      <c r="D14" s="1" t="s">
        <v>138</v>
      </c>
      <c r="E14" s="1" t="s">
        <v>139</v>
      </c>
      <c r="F14" s="1" t="s">
        <v>140</v>
      </c>
      <c r="G14" s="1">
        <v>19000</v>
      </c>
      <c r="H14" s="1" t="s">
        <v>80</v>
      </c>
      <c r="I14" s="1" t="s">
        <v>141</v>
      </c>
      <c r="J14" s="1" t="s">
        <v>142</v>
      </c>
      <c r="K14" s="1">
        <v>725321989.72532105</v>
      </c>
      <c r="L14" s="1" t="s">
        <v>73</v>
      </c>
      <c r="M14" s="1" t="s">
        <v>62</v>
      </c>
      <c r="N14" s="1" t="s">
        <v>63</v>
      </c>
      <c r="O14" s="1" t="s">
        <v>143</v>
      </c>
      <c r="P14" s="1"/>
      <c r="Q14" s="6" t="str">
        <f>VLOOKUP(G14,seznampsc!A:B,2,FALSE)</f>
        <v>Hlavní město Praha</v>
      </c>
      <c r="R14" s="6" t="str">
        <f>VLOOKUP(G14,seznampsc!A:C,3,FALSE)</f>
        <v>Hlavní město Praha</v>
      </c>
      <c r="S14" s="1">
        <v>50.097927299999903</v>
      </c>
      <c r="T14" s="1">
        <v>14.4983396</v>
      </c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 t="s">
        <v>144</v>
      </c>
      <c r="AV14" s="1"/>
    </row>
    <row r="15" spans="1:49" ht="24" customHeight="1" x14ac:dyDescent="0.3">
      <c r="A15" s="3" t="s">
        <v>53</v>
      </c>
      <c r="B15" s="6" t="s">
        <v>65</v>
      </c>
      <c r="C15" s="6" t="s">
        <v>145</v>
      </c>
      <c r="D15" s="6">
        <v>24805327</v>
      </c>
      <c r="E15" s="6" t="s">
        <v>146</v>
      </c>
      <c r="F15" s="6" t="s">
        <v>147</v>
      </c>
      <c r="G15" s="6">
        <v>29501</v>
      </c>
      <c r="H15" s="6" t="s">
        <v>148</v>
      </c>
      <c r="I15" s="6" t="s">
        <v>149</v>
      </c>
      <c r="J15" s="6" t="s">
        <v>150</v>
      </c>
      <c r="K15" s="8">
        <v>774847303</v>
      </c>
      <c r="L15" s="6" t="s">
        <v>151</v>
      </c>
      <c r="M15" s="6" t="s">
        <v>152</v>
      </c>
      <c r="N15" s="3" t="s">
        <v>63</v>
      </c>
      <c r="P15" s="6"/>
      <c r="Q15" s="6" t="str">
        <f>VLOOKUP(G15,seznampsc!A:B,2,FALSE)</f>
        <v>Česká Lípa</v>
      </c>
      <c r="R15" s="6" t="str">
        <f>VLOOKUP(G15,seznampsc!A:C,3,FALSE)</f>
        <v>Liberecký kraj</v>
      </c>
      <c r="AD15" s="3">
        <v>740</v>
      </c>
      <c r="AE15" s="3">
        <v>740</v>
      </c>
      <c r="AF15" s="3">
        <v>740</v>
      </c>
      <c r="AJ15" s="3">
        <v>107</v>
      </c>
      <c r="AK15" s="3">
        <v>107</v>
      </c>
      <c r="AN15" s="29">
        <v>0.05</v>
      </c>
      <c r="AO15" s="29"/>
      <c r="AP15" s="29"/>
      <c r="AQ15" s="29"/>
      <c r="AR15" s="29"/>
      <c r="AS15" s="29"/>
      <c r="AT15" s="3">
        <v>250</v>
      </c>
      <c r="AU15" s="6"/>
      <c r="AV15" s="3">
        <v>100000</v>
      </c>
    </row>
    <row r="16" spans="1:49" ht="24" customHeight="1" x14ac:dyDescent="0.3">
      <c r="A16" s="6" t="s">
        <v>53</v>
      </c>
      <c r="B16" s="6" t="s">
        <v>65</v>
      </c>
      <c r="C16" s="6" t="s">
        <v>145</v>
      </c>
      <c r="D16" s="6" t="s">
        <v>153</v>
      </c>
      <c r="E16" s="6" t="s">
        <v>146</v>
      </c>
      <c r="F16" s="6" t="s">
        <v>147</v>
      </c>
      <c r="G16" s="6">
        <v>29501</v>
      </c>
      <c r="H16" s="6" t="s">
        <v>148</v>
      </c>
      <c r="I16" s="6" t="s">
        <v>154</v>
      </c>
      <c r="J16" s="6" t="s">
        <v>150</v>
      </c>
      <c r="K16" s="6">
        <v>774847303</v>
      </c>
      <c r="L16" s="6" t="s">
        <v>155</v>
      </c>
      <c r="M16" s="6" t="s">
        <v>62</v>
      </c>
      <c r="N16" s="6" t="s">
        <v>63</v>
      </c>
      <c r="O16" s="6" t="s">
        <v>156</v>
      </c>
      <c r="P16" s="6"/>
      <c r="Q16" s="6" t="str">
        <f>VLOOKUP(G16,seznampsc!A:B,2,FALSE)</f>
        <v>Česká Lípa</v>
      </c>
      <c r="R16" s="6" t="str">
        <f>VLOOKUP(G16,seznampsc!A:C,3,FALSE)</f>
        <v>Liberecký kraj</v>
      </c>
      <c r="S16" s="6">
        <v>50.531109899999997</v>
      </c>
      <c r="T16" s="6">
        <v>15.000214400000001</v>
      </c>
      <c r="U16" s="6"/>
      <c r="V16" s="6"/>
      <c r="W16" s="6"/>
      <c r="X16" s="6"/>
      <c r="Y16" s="6"/>
      <c r="Z16" s="6"/>
      <c r="AA16" s="6"/>
      <c r="AB16" s="6"/>
      <c r="AC16" s="6"/>
      <c r="AD16" s="3">
        <v>740</v>
      </c>
      <c r="AE16" s="3">
        <v>740</v>
      </c>
      <c r="AF16" s="3">
        <v>740</v>
      </c>
      <c r="AJ16" s="3">
        <v>107</v>
      </c>
      <c r="AK16" s="3">
        <v>107</v>
      </c>
      <c r="AN16" s="29">
        <v>0.05</v>
      </c>
      <c r="AO16" s="29"/>
      <c r="AP16" s="29"/>
      <c r="AQ16" s="29"/>
      <c r="AR16" s="29"/>
      <c r="AS16" s="29"/>
      <c r="AT16" s="3">
        <v>250</v>
      </c>
      <c r="AV16" s="3">
        <v>100000</v>
      </c>
    </row>
    <row r="17" spans="1:48" ht="24" customHeight="1" x14ac:dyDescent="0.3">
      <c r="A17" s="6" t="s">
        <v>53</v>
      </c>
      <c r="B17" s="6" t="s">
        <v>65</v>
      </c>
      <c r="C17" s="6" t="s">
        <v>145</v>
      </c>
      <c r="D17" s="6">
        <v>24805327</v>
      </c>
      <c r="E17" s="6" t="s">
        <v>146</v>
      </c>
      <c r="F17" s="6" t="s">
        <v>147</v>
      </c>
      <c r="G17" s="6">
        <v>29501</v>
      </c>
      <c r="H17" s="6" t="s">
        <v>148</v>
      </c>
      <c r="I17" s="6" t="s">
        <v>157</v>
      </c>
      <c r="J17" s="6" t="s">
        <v>150</v>
      </c>
      <c r="K17" s="6">
        <v>774847303.60258996</v>
      </c>
      <c r="L17" s="6" t="s">
        <v>155</v>
      </c>
      <c r="M17" s="6" t="s">
        <v>62</v>
      </c>
      <c r="N17" s="6" t="s">
        <v>158</v>
      </c>
      <c r="O17" s="6" t="s">
        <v>156</v>
      </c>
      <c r="P17" s="6"/>
      <c r="Q17" s="6" t="str">
        <f>VLOOKUP(G17,seznampsc!A:B,2,FALSE)</f>
        <v>Česká Lípa</v>
      </c>
      <c r="R17" s="6" t="str">
        <f>VLOOKUP(G17,seznampsc!A:C,3,FALSE)</f>
        <v>Liberecký kraj</v>
      </c>
      <c r="S17" s="6">
        <v>50.531109899999997</v>
      </c>
      <c r="T17" s="6">
        <v>15.000214400000001</v>
      </c>
      <c r="U17" s="6"/>
      <c r="V17" s="6"/>
      <c r="W17" s="6"/>
      <c r="X17" s="6"/>
      <c r="Y17" s="6"/>
      <c r="Z17" s="6"/>
      <c r="AA17" s="6"/>
      <c r="AB17" s="6"/>
      <c r="AC17" s="6"/>
      <c r="AD17" s="3">
        <v>740</v>
      </c>
      <c r="AE17" s="3">
        <v>740</v>
      </c>
      <c r="AF17" s="3">
        <v>740</v>
      </c>
      <c r="AJ17" s="3">
        <v>107</v>
      </c>
      <c r="AK17" s="3">
        <v>107</v>
      </c>
      <c r="AN17" s="29">
        <v>0.05</v>
      </c>
      <c r="AO17" s="29"/>
      <c r="AP17" s="29"/>
      <c r="AQ17" s="29"/>
      <c r="AR17" s="29"/>
      <c r="AS17" s="29"/>
      <c r="AT17" s="3">
        <v>250</v>
      </c>
      <c r="AU17" s="6" t="s">
        <v>159</v>
      </c>
      <c r="AV17" s="3">
        <v>100000</v>
      </c>
    </row>
    <row r="18" spans="1:48" ht="24" customHeight="1" x14ac:dyDescent="0.3">
      <c r="A18" s="6"/>
      <c r="B18" s="6" t="s">
        <v>65</v>
      </c>
      <c r="C18" s="6" t="s">
        <v>160</v>
      </c>
      <c r="D18" s="6" t="s">
        <v>161</v>
      </c>
      <c r="E18" s="6" t="s">
        <v>162</v>
      </c>
      <c r="F18" s="6" t="s">
        <v>163</v>
      </c>
      <c r="G18" s="6">
        <v>17000</v>
      </c>
      <c r="H18" s="6" t="s">
        <v>80</v>
      </c>
      <c r="I18" s="6"/>
      <c r="J18" s="6" t="s">
        <v>164</v>
      </c>
      <c r="K18" s="6">
        <v>257213830</v>
      </c>
      <c r="L18" s="6" t="s">
        <v>83</v>
      </c>
      <c r="M18" s="6" t="s">
        <v>84</v>
      </c>
      <c r="N18" s="6" t="s">
        <v>63</v>
      </c>
      <c r="O18" s="6" t="s">
        <v>165</v>
      </c>
      <c r="P18" s="6"/>
      <c r="Q18" s="6" t="str">
        <f>VLOOKUP(G18,seznampsc!A:B,2,FALSE)</f>
        <v>Hlavní město Praha</v>
      </c>
      <c r="R18" s="6" t="str">
        <f>VLOOKUP(G18,seznampsc!A:C,3,FALSE)</f>
        <v>Hlavní město Praha</v>
      </c>
      <c r="S18" s="6">
        <v>50.100579699999997</v>
      </c>
      <c r="T18" s="6">
        <v>14.451691500000001</v>
      </c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V18" s="10">
        <v>200000</v>
      </c>
    </row>
    <row r="19" spans="1:48" ht="24" customHeight="1" x14ac:dyDescent="0.3">
      <c r="A19" s="6"/>
      <c r="B19" s="6" t="s">
        <v>65</v>
      </c>
      <c r="C19" s="6" t="s">
        <v>160</v>
      </c>
      <c r="D19" s="6" t="s">
        <v>161</v>
      </c>
      <c r="E19" s="6" t="s">
        <v>162</v>
      </c>
      <c r="F19" s="6" t="s">
        <v>166</v>
      </c>
      <c r="G19" s="6">
        <v>54301</v>
      </c>
      <c r="H19" s="6" t="s">
        <v>167</v>
      </c>
      <c r="I19" s="6" t="s">
        <v>168</v>
      </c>
      <c r="J19" s="6" t="s">
        <v>169</v>
      </c>
      <c r="K19" s="6" t="s">
        <v>170</v>
      </c>
      <c r="L19" s="6" t="s">
        <v>83</v>
      </c>
      <c r="M19" s="6" t="s">
        <v>171</v>
      </c>
      <c r="N19" s="6" t="s">
        <v>63</v>
      </c>
      <c r="O19" s="6" t="s">
        <v>109</v>
      </c>
      <c r="P19" s="6"/>
      <c r="Q19" s="6" t="str">
        <f>VLOOKUP(G19,seznampsc!A:B,2,FALSE)</f>
        <v>Trutnov</v>
      </c>
      <c r="R19" s="6" t="str">
        <f>VLOOKUP(G19,seznampsc!A:C,3,FALSE)</f>
        <v>Královéhradecký kraj</v>
      </c>
      <c r="S19" s="6">
        <v>50.614686399999997</v>
      </c>
      <c r="T19" s="6">
        <v>15.6253402</v>
      </c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V19" s="10">
        <v>200000</v>
      </c>
    </row>
    <row r="20" spans="1:48" ht="24" customHeight="1" x14ac:dyDescent="0.3">
      <c r="A20" s="3" t="s">
        <v>53</v>
      </c>
      <c r="B20" s="3" t="s">
        <v>54</v>
      </c>
      <c r="C20" s="3" t="s">
        <v>55</v>
      </c>
      <c r="D20" s="3">
        <v>3635724</v>
      </c>
      <c r="E20" s="3" t="s">
        <v>172</v>
      </c>
      <c r="F20" s="3" t="s">
        <v>173</v>
      </c>
      <c r="G20" s="3">
        <v>59301</v>
      </c>
      <c r="H20" s="3" t="s">
        <v>174</v>
      </c>
      <c r="J20" s="3" t="s">
        <v>175</v>
      </c>
      <c r="K20" s="3">
        <v>605146970</v>
      </c>
      <c r="L20" s="3" t="s">
        <v>61</v>
      </c>
      <c r="M20" s="6" t="s">
        <v>62</v>
      </c>
      <c r="N20" s="6" t="s">
        <v>63</v>
      </c>
      <c r="O20" s="3" t="s">
        <v>64</v>
      </c>
      <c r="Q20" s="6" t="str">
        <f>VLOOKUP(G20,seznampsc!A:B,2,FALSE)</f>
        <v>Blansko</v>
      </c>
      <c r="R20" s="6" t="str">
        <f>VLOOKUP(G20,seznampsc!A:C,3,FALSE)</f>
        <v>Jihomoravský kraj</v>
      </c>
      <c r="S20" s="6">
        <v>49.520940000000003</v>
      </c>
      <c r="T20" s="6">
        <v>16.259250000000002</v>
      </c>
      <c r="U20" s="6"/>
      <c r="V20" s="6"/>
      <c r="W20" s="6"/>
      <c r="X20" s="6"/>
      <c r="Y20" s="6"/>
      <c r="Z20" s="6"/>
      <c r="AA20" s="6"/>
      <c r="AB20" s="6"/>
      <c r="AC20" s="6"/>
      <c r="AD20" s="6">
        <v>680</v>
      </c>
      <c r="AE20" s="6">
        <v>680</v>
      </c>
      <c r="AF20" s="6">
        <v>680</v>
      </c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>
        <v>10</v>
      </c>
      <c r="AR20" s="6"/>
      <c r="AS20" s="6"/>
      <c r="AT20" s="6"/>
      <c r="AV20" s="3">
        <v>100000</v>
      </c>
    </row>
    <row r="21" spans="1:48" ht="24" customHeight="1" x14ac:dyDescent="0.3">
      <c r="A21" s="6"/>
      <c r="B21" s="6" t="s">
        <v>65</v>
      </c>
      <c r="C21" s="6" t="s">
        <v>160</v>
      </c>
      <c r="D21" s="6" t="s">
        <v>161</v>
      </c>
      <c r="E21" s="6" t="s">
        <v>162</v>
      </c>
      <c r="F21" s="6" t="s">
        <v>176</v>
      </c>
      <c r="G21" s="6">
        <v>50901</v>
      </c>
      <c r="H21" s="6" t="s">
        <v>177</v>
      </c>
      <c r="I21" s="6" t="s">
        <v>178</v>
      </c>
      <c r="J21" s="7" t="s">
        <v>179</v>
      </c>
      <c r="K21" s="8">
        <v>493722124</v>
      </c>
      <c r="L21" s="6" t="s">
        <v>83</v>
      </c>
      <c r="M21" s="6" t="s">
        <v>180</v>
      </c>
      <c r="N21" s="6" t="s">
        <v>63</v>
      </c>
      <c r="O21" s="6" t="s">
        <v>181</v>
      </c>
      <c r="P21" s="6"/>
      <c r="Q21" s="6" t="str">
        <f>VLOOKUP(G21,seznampsc!A:B,2,FALSE)</f>
        <v>Jičín</v>
      </c>
      <c r="R21" s="6" t="str">
        <f>VLOOKUP(G21,seznampsc!A:C,3,FALSE)</f>
        <v>Královéhradecký kraj</v>
      </c>
      <c r="S21" s="6">
        <v>50.483348900000003</v>
      </c>
      <c r="T21" s="6">
        <v>15.5050855</v>
      </c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V21" s="10">
        <v>200000</v>
      </c>
    </row>
    <row r="22" spans="1:48" ht="24" customHeight="1" x14ac:dyDescent="0.3">
      <c r="A22" s="1"/>
      <c r="B22" s="1" t="s">
        <v>65</v>
      </c>
      <c r="C22" s="1" t="s">
        <v>160</v>
      </c>
      <c r="D22" s="1" t="s">
        <v>161</v>
      </c>
      <c r="E22" s="1" t="s">
        <v>162</v>
      </c>
      <c r="F22" s="1" t="s">
        <v>182</v>
      </c>
      <c r="G22" s="1">
        <v>51301</v>
      </c>
      <c r="H22" s="1" t="s">
        <v>183</v>
      </c>
      <c r="I22" s="1" t="s">
        <v>184</v>
      </c>
      <c r="J22" s="1" t="s">
        <v>185</v>
      </c>
      <c r="K22" s="1">
        <v>481621256.48162103</v>
      </c>
      <c r="L22" s="1" t="s">
        <v>83</v>
      </c>
      <c r="M22" s="1" t="s">
        <v>84</v>
      </c>
      <c r="N22" s="1" t="s">
        <v>63</v>
      </c>
      <c r="O22" s="1" t="s">
        <v>181</v>
      </c>
      <c r="P22" s="6"/>
      <c r="Q22" s="6" t="str">
        <f>VLOOKUP(G22,seznampsc!A:B,2,FALSE)</f>
        <v>Semily</v>
      </c>
      <c r="R22" s="6" t="str">
        <f>VLOOKUP(G22,seznampsc!A:C,3,FALSE)</f>
        <v>Liberecký kraj</v>
      </c>
      <c r="S22" s="1">
        <v>50.6087658</v>
      </c>
      <c r="T22" s="1">
        <v>15.322904899999999</v>
      </c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3" t="s">
        <v>186</v>
      </c>
      <c r="AV22" s="10">
        <v>200000</v>
      </c>
    </row>
    <row r="23" spans="1:48" ht="24" customHeight="1" x14ac:dyDescent="0.3">
      <c r="A23" s="6"/>
      <c r="B23" s="6" t="s">
        <v>65</v>
      </c>
      <c r="C23" s="6" t="s">
        <v>160</v>
      </c>
      <c r="D23" s="6" t="s">
        <v>161</v>
      </c>
      <c r="E23" s="6" t="s">
        <v>162</v>
      </c>
      <c r="F23" s="6" t="s">
        <v>187</v>
      </c>
      <c r="G23" s="6">
        <v>50351</v>
      </c>
      <c r="H23" s="6" t="s">
        <v>188</v>
      </c>
      <c r="I23" s="6" t="s">
        <v>189</v>
      </c>
      <c r="J23" s="6" t="s">
        <v>190</v>
      </c>
      <c r="K23" s="6">
        <v>731593096.49548399</v>
      </c>
      <c r="L23" s="6" t="s">
        <v>83</v>
      </c>
      <c r="M23" s="6" t="s">
        <v>180</v>
      </c>
      <c r="N23" s="6" t="s">
        <v>63</v>
      </c>
      <c r="O23" s="6" t="s">
        <v>181</v>
      </c>
      <c r="P23" s="6"/>
      <c r="Q23" s="6" t="str">
        <f>VLOOKUP(G23,seznampsc!A:B,2,FALSE)</f>
        <v>Hradec Králové</v>
      </c>
      <c r="R23" s="6" t="str">
        <f>VLOOKUP(G23,seznampsc!A:C,3,FALSE)</f>
        <v>Královéhradecký kraj</v>
      </c>
      <c r="S23" s="6">
        <v>50.159818700000002</v>
      </c>
      <c r="T23" s="6">
        <v>15.4467993</v>
      </c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V23" s="10">
        <v>200000</v>
      </c>
    </row>
    <row r="24" spans="1:48" ht="24" customHeight="1" x14ac:dyDescent="0.3">
      <c r="A24" s="6" t="s">
        <v>53</v>
      </c>
      <c r="B24" s="6" t="s">
        <v>65</v>
      </c>
      <c r="C24" s="6" t="s">
        <v>191</v>
      </c>
      <c r="D24" s="9">
        <v>29249694</v>
      </c>
      <c r="E24" s="6" t="s">
        <v>192</v>
      </c>
      <c r="F24" s="6" t="s">
        <v>193</v>
      </c>
      <c r="G24" s="6">
        <v>67913</v>
      </c>
      <c r="H24" s="6" t="s">
        <v>194</v>
      </c>
      <c r="I24" s="6" t="s">
        <v>195</v>
      </c>
      <c r="J24" s="6" t="s">
        <v>196</v>
      </c>
      <c r="K24" s="8">
        <v>604359045</v>
      </c>
      <c r="L24" s="6" t="s">
        <v>197</v>
      </c>
      <c r="M24" s="6" t="s">
        <v>62</v>
      </c>
      <c r="N24" s="6" t="s">
        <v>63</v>
      </c>
      <c r="O24" s="6" t="s">
        <v>198</v>
      </c>
      <c r="P24" s="6"/>
      <c r="Q24" s="6" t="str">
        <f>VLOOKUP(G24,seznampsc!A:B,2,FALSE)</f>
        <v>Blansko</v>
      </c>
      <c r="R24" s="6" t="str">
        <f>VLOOKUP(G24,seznampsc!A:C,3,FALSE)</f>
        <v>Jihomoravský kraj</v>
      </c>
      <c r="S24" s="6">
        <v>49.433515700000001</v>
      </c>
      <c r="T24" s="6">
        <v>16.809472</v>
      </c>
      <c r="U24" s="6"/>
      <c r="V24" s="6"/>
      <c r="W24" s="6"/>
      <c r="X24" s="6"/>
      <c r="Y24" s="6"/>
      <c r="Z24" s="6"/>
      <c r="AA24" s="6"/>
      <c r="AB24" s="6"/>
      <c r="AC24" s="6"/>
      <c r="AD24" s="6">
        <v>680</v>
      </c>
      <c r="AE24" s="6">
        <v>680</v>
      </c>
      <c r="AF24" s="6">
        <v>680</v>
      </c>
      <c r="AG24" s="6"/>
      <c r="AH24" s="6"/>
      <c r="AI24" s="6"/>
      <c r="AJ24" s="6">
        <v>107</v>
      </c>
      <c r="AK24" s="6">
        <v>116</v>
      </c>
      <c r="AL24" s="6"/>
      <c r="AM24" s="6"/>
      <c r="AN24" s="6"/>
      <c r="AO24" s="6"/>
      <c r="AP24" s="6">
        <v>2.5</v>
      </c>
      <c r="AQ24" s="6">
        <v>10</v>
      </c>
      <c r="AR24" s="6"/>
      <c r="AS24" s="6" t="s">
        <v>199</v>
      </c>
      <c r="AT24" s="6"/>
      <c r="AV24" s="10">
        <v>200000</v>
      </c>
    </row>
    <row r="25" spans="1:48" ht="24" customHeight="1" x14ac:dyDescent="0.3">
      <c r="A25" s="6" t="s">
        <v>53</v>
      </c>
      <c r="B25" s="6" t="s">
        <v>65</v>
      </c>
      <c r="C25" s="6" t="s">
        <v>200</v>
      </c>
      <c r="D25" s="6" t="s">
        <v>201</v>
      </c>
      <c r="E25" s="6" t="s">
        <v>202</v>
      </c>
      <c r="F25" s="6" t="s">
        <v>203</v>
      </c>
      <c r="G25" s="6">
        <v>73943</v>
      </c>
      <c r="H25" s="6" t="s">
        <v>204</v>
      </c>
      <c r="I25" s="6" t="s">
        <v>205</v>
      </c>
      <c r="J25" s="6" t="s">
        <v>206</v>
      </c>
      <c r="K25" s="6">
        <v>604230992</v>
      </c>
      <c r="L25" s="6" t="s">
        <v>73</v>
      </c>
      <c r="M25" s="6" t="s">
        <v>207</v>
      </c>
      <c r="N25" s="6" t="s">
        <v>63</v>
      </c>
      <c r="O25" s="6" t="s">
        <v>208</v>
      </c>
      <c r="P25" s="6"/>
      <c r="Q25" s="6" t="str">
        <f>VLOOKUP(G25,seznampsc!A:B,2,FALSE)</f>
        <v>Frýdek-Místek</v>
      </c>
      <c r="R25" s="6" t="str">
        <f>VLOOKUP(G25,seznampsc!A:C,3,FALSE)</f>
        <v>Moravskoslezský kraj</v>
      </c>
      <c r="S25" s="6">
        <v>49.688085800000003</v>
      </c>
      <c r="T25" s="6">
        <v>18.305938600000001</v>
      </c>
      <c r="U25" s="6"/>
      <c r="V25" s="6"/>
      <c r="W25" s="6"/>
      <c r="X25" s="6"/>
      <c r="Y25" s="6"/>
      <c r="Z25" s="6"/>
      <c r="AA25" s="6"/>
      <c r="AB25" s="6"/>
      <c r="AC25" s="6"/>
      <c r="AD25" s="6">
        <v>450</v>
      </c>
      <c r="AE25" s="6">
        <v>450</v>
      </c>
      <c r="AF25" s="6">
        <v>450</v>
      </c>
      <c r="AG25" s="6"/>
      <c r="AH25" s="6"/>
      <c r="AI25" s="6"/>
      <c r="AJ25" s="6">
        <v>120</v>
      </c>
      <c r="AK25" s="6">
        <v>120</v>
      </c>
      <c r="AL25" s="6"/>
      <c r="AM25" s="6"/>
      <c r="AN25" s="6"/>
      <c r="AO25" s="30">
        <v>0.03</v>
      </c>
      <c r="AP25" s="30"/>
      <c r="AQ25" s="30"/>
      <c r="AR25" s="30"/>
      <c r="AS25" s="30"/>
      <c r="AT25" s="6">
        <v>250</v>
      </c>
      <c r="AV25" s="3">
        <v>50000</v>
      </c>
    </row>
    <row r="26" spans="1:48" ht="24" customHeight="1" x14ac:dyDescent="0.3">
      <c r="A26" s="6" t="s">
        <v>53</v>
      </c>
      <c r="B26" s="6" t="s">
        <v>65</v>
      </c>
      <c r="C26" s="6" t="s">
        <v>209</v>
      </c>
      <c r="D26" s="6" t="s">
        <v>210</v>
      </c>
      <c r="E26" s="6" t="s">
        <v>211</v>
      </c>
      <c r="F26" s="6" t="s">
        <v>212</v>
      </c>
      <c r="G26" s="6">
        <v>76362</v>
      </c>
      <c r="H26" s="6" t="s">
        <v>213</v>
      </c>
      <c r="I26" s="6" t="s">
        <v>214</v>
      </c>
      <c r="J26" s="6" t="s">
        <v>215</v>
      </c>
      <c r="K26" s="6">
        <v>604943621</v>
      </c>
      <c r="L26" s="6" t="s">
        <v>73</v>
      </c>
      <c r="M26" s="6" t="s">
        <v>62</v>
      </c>
      <c r="N26" s="6" t="s">
        <v>63</v>
      </c>
      <c r="O26" s="6" t="s">
        <v>216</v>
      </c>
      <c r="P26" s="6"/>
      <c r="Q26" s="6" t="str">
        <f>VLOOKUP(G26,seznampsc!A:B,2,FALSE)</f>
        <v>Zlín</v>
      </c>
      <c r="R26" s="6" t="str">
        <f>VLOOKUP(G26,seznampsc!A:C,3,FALSE)</f>
        <v>Zlínský kraj</v>
      </c>
      <c r="S26" s="6">
        <v>49.252863400000003</v>
      </c>
      <c r="T26" s="6">
        <v>17.4928676</v>
      </c>
      <c r="U26" s="6"/>
      <c r="V26" s="6"/>
      <c r="W26" s="6"/>
      <c r="X26" s="6"/>
      <c r="Y26" s="6"/>
      <c r="Z26" s="6"/>
      <c r="AA26" s="6"/>
      <c r="AB26" s="6"/>
      <c r="AC26" s="6"/>
      <c r="AD26" s="6">
        <v>600</v>
      </c>
      <c r="AE26" s="6">
        <v>600</v>
      </c>
      <c r="AF26" s="6">
        <v>600</v>
      </c>
      <c r="AG26" s="6"/>
      <c r="AH26" s="6"/>
      <c r="AI26" s="6"/>
      <c r="AJ26" s="6">
        <v>107</v>
      </c>
      <c r="AK26" s="6">
        <v>116</v>
      </c>
      <c r="AL26" s="6"/>
      <c r="AM26" s="6"/>
      <c r="AN26" s="6"/>
      <c r="AO26" s="6"/>
      <c r="AP26" s="6"/>
      <c r="AQ26" s="6"/>
      <c r="AR26" s="6"/>
      <c r="AS26" s="6"/>
      <c r="AT26" s="6">
        <v>250</v>
      </c>
      <c r="AV26" s="3">
        <v>50000</v>
      </c>
    </row>
    <row r="27" spans="1:48" ht="24" customHeight="1" x14ac:dyDescent="0.3">
      <c r="A27" s="1"/>
      <c r="B27" s="1" t="s">
        <v>65</v>
      </c>
      <c r="C27" s="1" t="s">
        <v>217</v>
      </c>
      <c r="D27" s="1" t="s">
        <v>218</v>
      </c>
      <c r="E27" s="1" t="s">
        <v>219</v>
      </c>
      <c r="F27" s="1" t="s">
        <v>220</v>
      </c>
      <c r="G27" s="1">
        <v>47001</v>
      </c>
      <c r="H27" s="1" t="s">
        <v>221</v>
      </c>
      <c r="I27" s="1" t="s">
        <v>222</v>
      </c>
      <c r="J27" s="1" t="s">
        <v>223</v>
      </c>
      <c r="K27" s="1">
        <v>777727073</v>
      </c>
      <c r="L27" s="1" t="s">
        <v>73</v>
      </c>
      <c r="M27" s="1" t="s">
        <v>62</v>
      </c>
      <c r="N27" s="1" t="s">
        <v>63</v>
      </c>
      <c r="O27" s="1" t="s">
        <v>224</v>
      </c>
      <c r="P27" s="1"/>
      <c r="Q27" s="6" t="str">
        <f>VLOOKUP(G27,seznampsc!A:B,2,FALSE)</f>
        <v>Česká Lípa</v>
      </c>
      <c r="R27" s="6" t="str">
        <f>VLOOKUP(G27,seznampsc!A:C,3,FALSE)</f>
        <v>Liberecký kraj</v>
      </c>
      <c r="S27" s="1">
        <v>50.679062399999999</v>
      </c>
      <c r="T27" s="1">
        <v>14.5324562</v>
      </c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4" t="s">
        <v>225</v>
      </c>
    </row>
    <row r="28" spans="1:48" ht="24" customHeight="1" x14ac:dyDescent="0.3">
      <c r="A28" s="6"/>
      <c r="B28" s="6" t="s">
        <v>65</v>
      </c>
      <c r="C28" s="6" t="s">
        <v>226</v>
      </c>
      <c r="D28" s="6" t="s">
        <v>227</v>
      </c>
      <c r="E28" s="6" t="s">
        <v>228</v>
      </c>
      <c r="F28" s="6" t="s">
        <v>229</v>
      </c>
      <c r="G28" s="6">
        <v>76001</v>
      </c>
      <c r="H28" s="6" t="s">
        <v>230</v>
      </c>
      <c r="I28" s="6" t="s">
        <v>231</v>
      </c>
      <c r="J28" s="6" t="s">
        <v>232</v>
      </c>
      <c r="K28" s="6">
        <v>602731335.57743204</v>
      </c>
      <c r="L28" s="6" t="s">
        <v>83</v>
      </c>
      <c r="M28" s="6" t="s">
        <v>84</v>
      </c>
      <c r="N28" s="6" t="s">
        <v>63</v>
      </c>
      <c r="O28" s="6" t="s">
        <v>109</v>
      </c>
      <c r="P28" s="6"/>
      <c r="Q28" s="6" t="str">
        <f>VLOOKUP(G28,seznampsc!A:B,2,FALSE)</f>
        <v>Zlín</v>
      </c>
      <c r="R28" s="6" t="str">
        <f>VLOOKUP(G28,seznampsc!A:C,3,FALSE)</f>
        <v>Zlínský kraj</v>
      </c>
      <c r="S28" s="6">
        <v>49.223678499999998</v>
      </c>
      <c r="T28" s="6">
        <v>17.7022291</v>
      </c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 t="s">
        <v>233</v>
      </c>
      <c r="AV28" s="10">
        <v>200000</v>
      </c>
    </row>
    <row r="29" spans="1:48" ht="24" customHeight="1" x14ac:dyDescent="0.3">
      <c r="A29" s="6" t="s">
        <v>53</v>
      </c>
      <c r="B29" s="6" t="s">
        <v>65</v>
      </c>
      <c r="C29" s="6" t="s">
        <v>234</v>
      </c>
      <c r="D29" s="9">
        <v>61681857</v>
      </c>
      <c r="E29" s="6" t="s">
        <v>235</v>
      </c>
      <c r="F29" s="6" t="s">
        <v>236</v>
      </c>
      <c r="G29" s="6">
        <v>27601</v>
      </c>
      <c r="H29" s="6" t="s">
        <v>237</v>
      </c>
      <c r="I29" s="6" t="s">
        <v>238</v>
      </c>
      <c r="J29" s="6" t="s">
        <v>239</v>
      </c>
      <c r="K29" s="6">
        <v>603578123</v>
      </c>
      <c r="L29" s="6" t="s">
        <v>73</v>
      </c>
      <c r="M29" s="6" t="s">
        <v>240</v>
      </c>
      <c r="N29" s="6" t="s">
        <v>63</v>
      </c>
      <c r="O29" s="6" t="s">
        <v>241</v>
      </c>
      <c r="P29" s="6"/>
      <c r="Q29" s="6" t="str">
        <f>VLOOKUP(G29,seznampsc!A:B,2,FALSE)</f>
        <v>Mělník</v>
      </c>
      <c r="R29" s="6" t="str">
        <f>VLOOKUP(G29,seznampsc!A:C,3,FALSE)</f>
        <v>Středočeský kraj</v>
      </c>
      <c r="S29" s="6">
        <v>50.352476899999999</v>
      </c>
      <c r="T29" s="6">
        <v>14.4913703</v>
      </c>
      <c r="U29" s="30">
        <v>0.05</v>
      </c>
      <c r="V29" s="6"/>
      <c r="W29" s="6"/>
      <c r="X29" s="6"/>
      <c r="Y29" s="6"/>
      <c r="Z29" s="6"/>
      <c r="AA29" s="6">
        <v>5</v>
      </c>
      <c r="AB29" s="6">
        <v>500</v>
      </c>
      <c r="AC29" s="6">
        <v>500</v>
      </c>
      <c r="AD29" s="6">
        <v>600</v>
      </c>
      <c r="AE29" s="6">
        <v>600</v>
      </c>
      <c r="AF29" s="6">
        <v>650</v>
      </c>
      <c r="AG29" s="6">
        <v>800</v>
      </c>
      <c r="AH29" s="6">
        <v>800</v>
      </c>
      <c r="AI29" s="6">
        <v>800</v>
      </c>
      <c r="AJ29" s="6">
        <v>107</v>
      </c>
      <c r="AK29" s="6">
        <v>116</v>
      </c>
      <c r="AL29" s="6"/>
      <c r="AM29" s="6"/>
      <c r="AN29" s="6">
        <v>5</v>
      </c>
      <c r="AO29" s="6">
        <v>3</v>
      </c>
      <c r="AP29" s="6"/>
      <c r="AQ29" s="6"/>
      <c r="AR29" s="6"/>
      <c r="AS29" s="6"/>
      <c r="AT29" s="6"/>
      <c r="AV29" s="3">
        <v>50000</v>
      </c>
    </row>
    <row r="30" spans="1:48" ht="24" customHeight="1" x14ac:dyDescent="0.3">
      <c r="A30" s="1"/>
      <c r="B30" s="1" t="s">
        <v>65</v>
      </c>
      <c r="C30" s="1" t="s">
        <v>242</v>
      </c>
      <c r="D30" s="1" t="s">
        <v>243</v>
      </c>
      <c r="E30" s="1" t="s">
        <v>244</v>
      </c>
      <c r="F30" s="1" t="s">
        <v>245</v>
      </c>
      <c r="G30" s="1">
        <v>10000</v>
      </c>
      <c r="H30" s="1" t="s">
        <v>80</v>
      </c>
      <c r="I30" s="1" t="s">
        <v>246</v>
      </c>
      <c r="J30" s="1" t="s">
        <v>247</v>
      </c>
      <c r="K30" s="1">
        <v>774520568</v>
      </c>
      <c r="L30" s="1" t="s">
        <v>73</v>
      </c>
      <c r="M30" s="1" t="s">
        <v>62</v>
      </c>
      <c r="N30" s="1" t="s">
        <v>63</v>
      </c>
      <c r="O30" s="1" t="s">
        <v>248</v>
      </c>
      <c r="P30" s="1"/>
      <c r="Q30" s="6" t="str">
        <f>VLOOKUP(G30,seznampsc!A:B,2,FALSE)</f>
        <v>Hlavní město Praha</v>
      </c>
      <c r="R30" s="6" t="str">
        <f>VLOOKUP(G30,seznampsc!A:C,3,FALSE)</f>
        <v>Hlavní město Praha</v>
      </c>
      <c r="S30" s="1">
        <v>50.064787600000002</v>
      </c>
      <c r="T30" s="1">
        <v>14.4916318</v>
      </c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 t="s">
        <v>249</v>
      </c>
      <c r="AV30" s="1"/>
    </row>
    <row r="31" spans="1:48" ht="24" customHeight="1" x14ac:dyDescent="0.3">
      <c r="A31" s="1"/>
      <c r="B31" s="1" t="s">
        <v>65</v>
      </c>
      <c r="C31" s="1" t="s">
        <v>250</v>
      </c>
      <c r="D31" s="1" t="s">
        <v>251</v>
      </c>
      <c r="E31" s="1" t="s">
        <v>252</v>
      </c>
      <c r="F31" s="1" t="s">
        <v>253</v>
      </c>
      <c r="G31" s="1">
        <v>78501</v>
      </c>
      <c r="H31" s="1" t="s">
        <v>254</v>
      </c>
      <c r="I31" s="1" t="s">
        <v>255</v>
      </c>
      <c r="J31" s="1" t="s">
        <v>256</v>
      </c>
      <c r="K31" s="1">
        <v>585002024</v>
      </c>
      <c r="L31" s="1" t="s">
        <v>83</v>
      </c>
      <c r="M31" s="1" t="s">
        <v>257</v>
      </c>
      <c r="N31" s="1" t="s">
        <v>63</v>
      </c>
      <c r="O31" s="1" t="s">
        <v>258</v>
      </c>
      <c r="P31" s="6"/>
      <c r="Q31" s="6" t="str">
        <f>VLOOKUP(G31,seznampsc!A:B,2,FALSE)</f>
        <v>Olomouc</v>
      </c>
      <c r="R31" s="6" t="str">
        <f>VLOOKUP(G31,seznampsc!A:C,3,FALSE)</f>
        <v>Olomoucký kraj</v>
      </c>
      <c r="S31" s="1">
        <v>49.709924800000003</v>
      </c>
      <c r="T31" s="1">
        <v>17.291143900000002</v>
      </c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 t="s">
        <v>259</v>
      </c>
      <c r="AV31" s="2">
        <v>200000</v>
      </c>
    </row>
    <row r="32" spans="1:48" ht="24" customHeight="1" x14ac:dyDescent="0.3">
      <c r="A32" s="1"/>
      <c r="B32" s="1" t="s">
        <v>65</v>
      </c>
      <c r="C32" s="1" t="s">
        <v>250</v>
      </c>
      <c r="D32" s="1" t="s">
        <v>251</v>
      </c>
      <c r="E32" s="1" t="s">
        <v>252</v>
      </c>
      <c r="F32" s="1" t="s">
        <v>260</v>
      </c>
      <c r="G32" s="1">
        <v>78701</v>
      </c>
      <c r="H32" s="1" t="s">
        <v>261</v>
      </c>
      <c r="I32" s="1" t="s">
        <v>262</v>
      </c>
      <c r="J32" s="1" t="s">
        <v>263</v>
      </c>
      <c r="K32" s="1">
        <v>583301006</v>
      </c>
      <c r="L32" s="1" t="s">
        <v>83</v>
      </c>
      <c r="M32" s="1" t="s">
        <v>257</v>
      </c>
      <c r="N32" s="1" t="s">
        <v>63</v>
      </c>
      <c r="O32" s="1" t="s">
        <v>109</v>
      </c>
      <c r="P32" s="6"/>
      <c r="Q32" s="6" t="str">
        <f>VLOOKUP(G32,seznampsc!A:B,2,FALSE)</f>
        <v>Šumperk</v>
      </c>
      <c r="R32" s="6" t="str">
        <f>VLOOKUP(G32,seznampsc!A:C,3,FALSE)</f>
        <v>Olomoucký kraj</v>
      </c>
      <c r="S32" s="1">
        <v>49.955516600000003</v>
      </c>
      <c r="T32" s="1">
        <v>16.965991200000001</v>
      </c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 t="s">
        <v>259</v>
      </c>
      <c r="AV32" s="2">
        <v>200000</v>
      </c>
    </row>
    <row r="33" spans="1:48" ht="24" customHeight="1" x14ac:dyDescent="0.3">
      <c r="A33" s="1"/>
      <c r="B33" s="1" t="s">
        <v>65</v>
      </c>
      <c r="C33" s="1" t="s">
        <v>250</v>
      </c>
      <c r="D33" s="1" t="s">
        <v>251</v>
      </c>
      <c r="E33" s="1" t="s">
        <v>252</v>
      </c>
      <c r="F33" s="1" t="s">
        <v>264</v>
      </c>
      <c r="G33" s="1">
        <v>77900</v>
      </c>
      <c r="H33" s="1" t="s">
        <v>265</v>
      </c>
      <c r="I33" s="1" t="s">
        <v>266</v>
      </c>
      <c r="J33" s="1" t="s">
        <v>267</v>
      </c>
      <c r="K33" s="1">
        <v>585758323</v>
      </c>
      <c r="L33" s="1" t="s">
        <v>83</v>
      </c>
      <c r="M33" s="1" t="s">
        <v>257</v>
      </c>
      <c r="N33" s="1" t="s">
        <v>63</v>
      </c>
      <c r="O33" s="1" t="s">
        <v>258</v>
      </c>
      <c r="P33" s="6"/>
      <c r="Q33" s="6" t="str">
        <f>VLOOKUP(G33,seznampsc!A:B,2,FALSE)</f>
        <v>Olomouc</v>
      </c>
      <c r="R33" s="6" t="str">
        <f>VLOOKUP(G33,seznampsc!A:C,3,FALSE)</f>
        <v>Olomoucký kraj</v>
      </c>
      <c r="S33" s="1">
        <v>49.588700000000003</v>
      </c>
      <c r="T33" s="1">
        <v>17.240435000000002</v>
      </c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 t="s">
        <v>259</v>
      </c>
      <c r="AV33" s="2">
        <v>200000</v>
      </c>
    </row>
    <row r="34" spans="1:48" ht="24" customHeight="1" x14ac:dyDescent="0.3">
      <c r="A34" s="6" t="s">
        <v>53</v>
      </c>
      <c r="B34" s="6" t="s">
        <v>65</v>
      </c>
      <c r="C34" s="6" t="s">
        <v>268</v>
      </c>
      <c r="D34" s="6" t="s">
        <v>269</v>
      </c>
      <c r="E34" s="6" t="s">
        <v>270</v>
      </c>
      <c r="F34" s="6" t="s">
        <v>271</v>
      </c>
      <c r="G34" s="6">
        <v>61400</v>
      </c>
      <c r="H34" s="6" t="s">
        <v>272</v>
      </c>
      <c r="I34" s="6" t="s">
        <v>273</v>
      </c>
      <c r="J34" s="6" t="s">
        <v>274</v>
      </c>
      <c r="K34" s="6">
        <v>605279232.60322499</v>
      </c>
      <c r="L34" s="6" t="s">
        <v>73</v>
      </c>
      <c r="M34" s="6" t="s">
        <v>62</v>
      </c>
      <c r="N34" s="6" t="s">
        <v>63</v>
      </c>
      <c r="O34" s="6" t="s">
        <v>275</v>
      </c>
      <c r="P34" s="6"/>
      <c r="Q34" s="6" t="str">
        <f>VLOOKUP(G34,seznampsc!A:B,2,FALSE)</f>
        <v>Brno-město</v>
      </c>
      <c r="R34" s="6" t="str">
        <f>VLOOKUP(G34,seznampsc!A:C,3,FALSE)</f>
        <v>Jihomoravský kraj</v>
      </c>
      <c r="S34" s="6">
        <v>49.212807299999902</v>
      </c>
      <c r="T34" s="6">
        <v>16.643693200000001</v>
      </c>
      <c r="U34" s="6"/>
      <c r="V34" s="6"/>
      <c r="W34" s="6"/>
      <c r="X34" s="6"/>
      <c r="Y34" s="6"/>
      <c r="Z34" s="6"/>
      <c r="AA34" s="6"/>
      <c r="AB34" s="6"/>
      <c r="AC34" s="6"/>
      <c r="AD34" s="6">
        <v>450</v>
      </c>
      <c r="AE34" s="6">
        <v>550</v>
      </c>
      <c r="AF34" s="6">
        <v>550</v>
      </c>
      <c r="AG34" s="6"/>
      <c r="AH34" s="6"/>
      <c r="AI34" s="6"/>
      <c r="AJ34" s="6">
        <v>120</v>
      </c>
      <c r="AK34" s="6">
        <v>130</v>
      </c>
      <c r="AL34" s="6"/>
      <c r="AM34" s="6"/>
      <c r="AN34" s="6"/>
      <c r="AO34" s="6">
        <v>3</v>
      </c>
      <c r="AP34" s="6"/>
      <c r="AQ34" s="6"/>
      <c r="AR34" s="6"/>
      <c r="AS34" s="6"/>
      <c r="AT34" s="6"/>
      <c r="AV34" s="3">
        <v>100000</v>
      </c>
    </row>
    <row r="35" spans="1:48" ht="24" customHeight="1" x14ac:dyDescent="0.3">
      <c r="A35" s="6"/>
      <c r="B35" s="6" t="s">
        <v>65</v>
      </c>
      <c r="C35" s="6" t="s">
        <v>276</v>
      </c>
      <c r="D35" s="6" t="s">
        <v>277</v>
      </c>
      <c r="E35" s="6" t="s">
        <v>278</v>
      </c>
      <c r="F35" s="6" t="s">
        <v>279</v>
      </c>
      <c r="G35" s="6">
        <v>59401</v>
      </c>
      <c r="H35" s="6" t="s">
        <v>280</v>
      </c>
      <c r="I35" s="6" t="s">
        <v>281</v>
      </c>
      <c r="J35" s="6" t="s">
        <v>282</v>
      </c>
      <c r="K35" s="6">
        <v>566502351.56650198</v>
      </c>
      <c r="L35" s="6" t="s">
        <v>83</v>
      </c>
      <c r="M35" s="6" t="s">
        <v>283</v>
      </c>
      <c r="N35" s="6" t="s">
        <v>63</v>
      </c>
      <c r="O35" s="6" t="s">
        <v>284</v>
      </c>
      <c r="P35" s="6"/>
      <c r="Q35" s="6" t="str">
        <f>VLOOKUP(G35,seznampsc!A:B,2,FALSE)</f>
        <v>Žďár nad Sázavou</v>
      </c>
      <c r="R35" s="6" t="str">
        <f>VLOOKUP(G35,seznampsc!A:C,3,FALSE)</f>
        <v>Kraj Vysočina</v>
      </c>
      <c r="S35" s="6">
        <v>49.358718099999997</v>
      </c>
      <c r="T35" s="6">
        <v>15.996223199999999</v>
      </c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V35" s="10">
        <v>200000</v>
      </c>
    </row>
    <row r="36" spans="1:48" ht="24" customHeight="1" x14ac:dyDescent="0.3">
      <c r="A36" s="6"/>
      <c r="B36" s="6" t="s">
        <v>65</v>
      </c>
      <c r="C36" s="6" t="s">
        <v>276</v>
      </c>
      <c r="D36" s="6" t="s">
        <v>277</v>
      </c>
      <c r="E36" s="6" t="s">
        <v>278</v>
      </c>
      <c r="F36" s="6" t="s">
        <v>285</v>
      </c>
      <c r="G36" s="6">
        <v>58601</v>
      </c>
      <c r="H36" s="6" t="s">
        <v>286</v>
      </c>
      <c r="I36" s="6" t="s">
        <v>287</v>
      </c>
      <c r="J36" s="6" t="s">
        <v>288</v>
      </c>
      <c r="K36" s="6">
        <v>567579720.56757903</v>
      </c>
      <c r="L36" s="6" t="s">
        <v>83</v>
      </c>
      <c r="M36" s="6" t="s">
        <v>283</v>
      </c>
      <c r="N36" s="6" t="s">
        <v>63</v>
      </c>
      <c r="O36" s="6" t="s">
        <v>284</v>
      </c>
      <c r="P36" s="6"/>
      <c r="Q36" s="6" t="str">
        <f>VLOOKUP(G36,seznampsc!A:B,2,FALSE)</f>
        <v>Jihlava</v>
      </c>
      <c r="R36" s="6" t="str">
        <f>VLOOKUP(G36,seznampsc!A:C,3,FALSE)</f>
        <v>Kraj Vysočina</v>
      </c>
      <c r="S36" s="6">
        <v>49.4058323</v>
      </c>
      <c r="T36" s="6">
        <v>15.594248800000001</v>
      </c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V36" s="10">
        <v>200000</v>
      </c>
    </row>
    <row r="37" spans="1:48" ht="24" customHeight="1" x14ac:dyDescent="0.3">
      <c r="A37" s="6"/>
      <c r="B37" s="6" t="s">
        <v>65</v>
      </c>
      <c r="C37" s="6" t="s">
        <v>276</v>
      </c>
      <c r="D37" s="6" t="s">
        <v>277</v>
      </c>
      <c r="E37" s="6" t="s">
        <v>289</v>
      </c>
      <c r="F37" s="6" t="s">
        <v>290</v>
      </c>
      <c r="G37" s="6">
        <v>66902</v>
      </c>
      <c r="H37" s="6" t="s">
        <v>291</v>
      </c>
      <c r="I37" s="6" t="s">
        <v>292</v>
      </c>
      <c r="J37" s="6" t="s">
        <v>293</v>
      </c>
      <c r="K37" s="6">
        <v>515200402</v>
      </c>
      <c r="L37" s="6" t="s">
        <v>83</v>
      </c>
      <c r="M37" s="6" t="s">
        <v>283</v>
      </c>
      <c r="N37" s="6" t="s">
        <v>63</v>
      </c>
      <c r="O37" s="6" t="s">
        <v>294</v>
      </c>
      <c r="P37" s="6"/>
      <c r="Q37" s="6" t="str">
        <f>VLOOKUP(G37,seznampsc!A:B,2,FALSE)</f>
        <v>Znojmo</v>
      </c>
      <c r="R37" s="6" t="str">
        <f>VLOOKUP(G37,seznampsc!A:C,3,FALSE)</f>
        <v>Jihomoravský kraj</v>
      </c>
      <c r="S37" s="6">
        <v>48.831113100000003</v>
      </c>
      <c r="T37" s="6">
        <v>16.071110000000001</v>
      </c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V37" s="10">
        <v>200000</v>
      </c>
    </row>
    <row r="38" spans="1:48" ht="24" customHeight="1" x14ac:dyDescent="0.3">
      <c r="A38" s="6" t="s">
        <v>53</v>
      </c>
      <c r="B38" s="6" t="s">
        <v>65</v>
      </c>
      <c r="C38" s="6" t="s">
        <v>295</v>
      </c>
      <c r="D38" s="6" t="s">
        <v>296</v>
      </c>
      <c r="E38" s="6" t="s">
        <v>297</v>
      </c>
      <c r="F38" s="6" t="s">
        <v>298</v>
      </c>
      <c r="G38" s="6">
        <v>14300</v>
      </c>
      <c r="H38" s="6" t="s">
        <v>299</v>
      </c>
      <c r="I38" s="6"/>
      <c r="J38" s="6" t="s">
        <v>300</v>
      </c>
      <c r="K38" s="6">
        <v>602313844</v>
      </c>
      <c r="L38" s="6" t="s">
        <v>73</v>
      </c>
      <c r="M38" s="6" t="s">
        <v>301</v>
      </c>
      <c r="N38" s="6" t="s">
        <v>63</v>
      </c>
      <c r="O38" s="6" t="s">
        <v>248</v>
      </c>
      <c r="P38" s="6"/>
      <c r="Q38" s="6" t="str">
        <f>VLOOKUP(G38,seznampsc!A:B,2,FALSE)</f>
        <v>Hlavní město Praha</v>
      </c>
      <c r="R38" s="6" t="str">
        <f>VLOOKUP(G38,seznampsc!A:C,3,FALSE)</f>
        <v>Hlavní město Praha</v>
      </c>
      <c r="S38" s="6" t="s">
        <v>302</v>
      </c>
      <c r="T38" s="6" t="s">
        <v>303</v>
      </c>
      <c r="U38" s="6"/>
      <c r="V38" s="6"/>
      <c r="W38" s="6"/>
      <c r="X38" s="6"/>
      <c r="Y38" s="6"/>
      <c r="Z38" s="6"/>
      <c r="AA38" s="6"/>
      <c r="AB38" s="6"/>
      <c r="AC38" s="6"/>
      <c r="AD38" s="6">
        <v>743</v>
      </c>
      <c r="AE38" s="6">
        <v>743</v>
      </c>
      <c r="AF38" s="6">
        <v>743</v>
      </c>
      <c r="AG38" s="6"/>
      <c r="AH38" s="6"/>
      <c r="AI38" s="6"/>
      <c r="AJ38" s="6">
        <v>107</v>
      </c>
      <c r="AK38" s="6">
        <v>116</v>
      </c>
      <c r="AL38" s="6"/>
      <c r="AM38" s="6"/>
      <c r="AN38" s="30">
        <v>0.05</v>
      </c>
      <c r="AO38" s="6"/>
      <c r="AP38" s="6"/>
      <c r="AQ38" s="6"/>
      <c r="AR38" s="6"/>
      <c r="AS38" s="6"/>
      <c r="AT38" s="6">
        <v>250</v>
      </c>
      <c r="AV38" s="3">
        <v>50000</v>
      </c>
    </row>
    <row r="39" spans="1:48" ht="24" customHeight="1" x14ac:dyDescent="0.3">
      <c r="A39" s="6"/>
      <c r="B39" s="6" t="s">
        <v>65</v>
      </c>
      <c r="C39" s="6" t="s">
        <v>304</v>
      </c>
      <c r="D39" s="6" t="s">
        <v>305</v>
      </c>
      <c r="E39" s="6" t="s">
        <v>306</v>
      </c>
      <c r="F39" s="6" t="s">
        <v>307</v>
      </c>
      <c r="G39" s="6">
        <v>59401</v>
      </c>
      <c r="H39" s="6" t="s">
        <v>280</v>
      </c>
      <c r="I39" s="6" t="s">
        <v>308</v>
      </c>
      <c r="J39" s="6" t="s">
        <v>309</v>
      </c>
      <c r="K39" s="6">
        <v>608666318</v>
      </c>
      <c r="L39" s="6" t="s">
        <v>83</v>
      </c>
      <c r="M39" s="6" t="s">
        <v>84</v>
      </c>
      <c r="N39" s="6" t="s">
        <v>63</v>
      </c>
      <c r="O39" s="6" t="s">
        <v>310</v>
      </c>
      <c r="P39" s="6"/>
      <c r="Q39" s="6" t="str">
        <f>VLOOKUP(G39,seznampsc!A:B,2,FALSE)</f>
        <v>Žďár nad Sázavou</v>
      </c>
      <c r="R39" s="6" t="str">
        <f>VLOOKUP(G39,seznampsc!A:C,3,FALSE)</f>
        <v>Kraj Vysočina</v>
      </c>
      <c r="S39" s="6">
        <v>49.350050299999999</v>
      </c>
      <c r="T39" s="6">
        <v>16.021147899999999</v>
      </c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V39" s="10">
        <v>200000</v>
      </c>
    </row>
    <row r="40" spans="1:48" ht="24" customHeight="1" x14ac:dyDescent="0.3">
      <c r="A40" s="6"/>
      <c r="B40" s="6" t="s">
        <v>65</v>
      </c>
      <c r="C40" s="6" t="s">
        <v>311</v>
      </c>
      <c r="D40" s="6" t="s">
        <v>312</v>
      </c>
      <c r="E40" s="6" t="s">
        <v>313</v>
      </c>
      <c r="F40" s="6" t="s">
        <v>314</v>
      </c>
      <c r="G40" s="6">
        <v>43801</v>
      </c>
      <c r="H40" s="6" t="s">
        <v>315</v>
      </c>
      <c r="I40" s="6" t="s">
        <v>316</v>
      </c>
      <c r="J40" s="6" t="s">
        <v>317</v>
      </c>
      <c r="K40" s="6">
        <v>602212300.41571105</v>
      </c>
      <c r="L40" s="6" t="s">
        <v>83</v>
      </c>
      <c r="M40" s="6" t="s">
        <v>318</v>
      </c>
      <c r="N40" s="6" t="s">
        <v>63</v>
      </c>
      <c r="O40" s="6" t="s">
        <v>310</v>
      </c>
      <c r="P40" s="6"/>
      <c r="Q40" s="6" t="str">
        <f>VLOOKUP(G40,seznampsc!A:B,2,FALSE)</f>
        <v>Louny</v>
      </c>
      <c r="R40" s="6" t="str">
        <f>VLOOKUP(G40,seznampsc!A:C,3,FALSE)</f>
        <v>Ústecký kraj</v>
      </c>
      <c r="S40" s="6" t="s">
        <v>319</v>
      </c>
      <c r="T40" s="6" t="s">
        <v>320</v>
      </c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V40" s="10">
        <v>200000</v>
      </c>
    </row>
    <row r="41" spans="1:48" ht="24" customHeight="1" x14ac:dyDescent="0.3">
      <c r="A41" s="6" t="s">
        <v>53</v>
      </c>
      <c r="B41" s="6" t="s">
        <v>65</v>
      </c>
      <c r="C41" s="6" t="s">
        <v>321</v>
      </c>
      <c r="D41" s="9">
        <v>5121361</v>
      </c>
      <c r="E41" s="6" t="s">
        <v>322</v>
      </c>
      <c r="F41" s="6" t="s">
        <v>323</v>
      </c>
      <c r="G41" s="6">
        <v>59301</v>
      </c>
      <c r="H41" s="6" t="s">
        <v>174</v>
      </c>
      <c r="I41" s="6" t="s">
        <v>324</v>
      </c>
      <c r="J41" s="6" t="s">
        <v>325</v>
      </c>
      <c r="K41" s="6">
        <v>731174681</v>
      </c>
      <c r="L41" s="6" t="s">
        <v>73</v>
      </c>
      <c r="M41" s="6" t="s">
        <v>62</v>
      </c>
      <c r="N41" s="6" t="s">
        <v>63</v>
      </c>
      <c r="O41" s="6" t="s">
        <v>216</v>
      </c>
      <c r="P41" s="6"/>
      <c r="Q41" s="6" t="str">
        <f>VLOOKUP(G41,seznampsc!A:B,2,FALSE)</f>
        <v>Blansko</v>
      </c>
      <c r="R41" s="6" t="str">
        <f>VLOOKUP(G41,seznampsc!A:C,3,FALSE)</f>
        <v>Jihomoravský kraj</v>
      </c>
      <c r="S41" s="6">
        <v>49.512023999999997</v>
      </c>
      <c r="T41" s="6">
        <v>16.255351999999998</v>
      </c>
      <c r="U41" s="6"/>
      <c r="V41" s="6"/>
      <c r="W41" s="6"/>
      <c r="X41" s="6"/>
      <c r="Y41" s="6"/>
      <c r="Z41" s="6"/>
      <c r="AA41" s="6"/>
      <c r="AB41" s="6"/>
      <c r="AC41" s="6"/>
      <c r="AD41" s="6">
        <v>450</v>
      </c>
      <c r="AE41" s="6">
        <v>500</v>
      </c>
      <c r="AF41" s="6">
        <v>500</v>
      </c>
      <c r="AG41" s="6"/>
      <c r="AH41" s="6"/>
      <c r="AI41" s="6"/>
      <c r="AJ41" s="6">
        <v>120</v>
      </c>
      <c r="AK41" s="6">
        <v>120</v>
      </c>
      <c r="AL41" s="6"/>
      <c r="AM41" s="6"/>
      <c r="AN41" s="6">
        <v>5</v>
      </c>
      <c r="AO41" s="6">
        <v>3</v>
      </c>
      <c r="AP41" s="6"/>
      <c r="AQ41" s="6"/>
      <c r="AR41" s="6"/>
      <c r="AS41" s="6"/>
      <c r="AT41" s="6">
        <v>250</v>
      </c>
      <c r="AV41" s="3">
        <v>50000</v>
      </c>
    </row>
    <row r="42" spans="1:48" ht="24" customHeight="1" x14ac:dyDescent="0.3">
      <c r="A42" s="6" t="s">
        <v>53</v>
      </c>
      <c r="B42" s="6" t="s">
        <v>65</v>
      </c>
      <c r="C42" s="6" t="s">
        <v>326</v>
      </c>
      <c r="D42" s="6" t="s">
        <v>327</v>
      </c>
      <c r="E42" s="6" t="s">
        <v>328</v>
      </c>
      <c r="F42" s="6" t="s">
        <v>329</v>
      </c>
      <c r="G42" s="6">
        <v>50003</v>
      </c>
      <c r="H42" s="6" t="s">
        <v>330</v>
      </c>
      <c r="I42" s="6" t="s">
        <v>331</v>
      </c>
      <c r="J42" s="6" t="s">
        <v>332</v>
      </c>
      <c r="K42" s="6">
        <v>777606660</v>
      </c>
      <c r="L42" s="6" t="s">
        <v>73</v>
      </c>
      <c r="M42" s="6" t="s">
        <v>62</v>
      </c>
      <c r="N42" s="6" t="s">
        <v>63</v>
      </c>
      <c r="O42" s="6" t="s">
        <v>216</v>
      </c>
      <c r="P42" s="6"/>
      <c r="Q42" s="6" t="str">
        <f>VLOOKUP(G42,seznampsc!A:B,2,FALSE)</f>
        <v>Hradec Králové</v>
      </c>
      <c r="R42" s="6" t="str">
        <f>VLOOKUP(G42,seznampsc!A:C,3,FALSE)</f>
        <v>Královéhradecký kraj</v>
      </c>
      <c r="S42" s="6">
        <v>50.227592100000003</v>
      </c>
      <c r="T42" s="6">
        <v>15.8565465</v>
      </c>
      <c r="U42" s="6"/>
      <c r="V42" s="6"/>
      <c r="W42" s="6"/>
      <c r="X42" s="6"/>
      <c r="Y42" s="6"/>
      <c r="Z42" s="6"/>
      <c r="AA42" s="6"/>
      <c r="AB42" s="6"/>
      <c r="AC42" s="6"/>
      <c r="AD42" s="6">
        <v>650</v>
      </c>
      <c r="AE42" s="6">
        <v>650</v>
      </c>
      <c r="AF42" s="6">
        <v>650</v>
      </c>
      <c r="AG42" s="6"/>
      <c r="AH42" s="6"/>
      <c r="AI42" s="6"/>
      <c r="AJ42" s="6">
        <v>107</v>
      </c>
      <c r="AK42" s="6">
        <v>116</v>
      </c>
      <c r="AL42" s="6"/>
      <c r="AM42" s="6"/>
      <c r="AN42" s="6">
        <v>5</v>
      </c>
      <c r="AO42" s="6"/>
      <c r="AP42" s="6"/>
      <c r="AQ42" s="6"/>
      <c r="AR42" s="6"/>
      <c r="AS42" s="6"/>
      <c r="AT42" s="6">
        <v>250</v>
      </c>
      <c r="AV42" s="3">
        <v>100000</v>
      </c>
    </row>
    <row r="43" spans="1:48" ht="24" customHeight="1" x14ac:dyDescent="0.3">
      <c r="B43" s="6" t="s">
        <v>65</v>
      </c>
      <c r="C43" s="6" t="s">
        <v>333</v>
      </c>
      <c r="D43" s="6">
        <v>49969641</v>
      </c>
      <c r="E43" s="6" t="s">
        <v>334</v>
      </c>
      <c r="F43" s="6" t="s">
        <v>335</v>
      </c>
      <c r="G43" s="6">
        <v>62800</v>
      </c>
      <c r="H43" s="6" t="s">
        <v>336</v>
      </c>
      <c r="I43" s="6" t="s">
        <v>149</v>
      </c>
      <c r="J43" s="6" t="s">
        <v>337</v>
      </c>
      <c r="K43" s="6">
        <v>518700040</v>
      </c>
      <c r="L43" s="6" t="s">
        <v>151</v>
      </c>
      <c r="M43" s="6" t="s">
        <v>338</v>
      </c>
      <c r="N43" s="3" t="s">
        <v>63</v>
      </c>
      <c r="P43" s="6"/>
      <c r="Q43" s="6" t="str">
        <f>VLOOKUP(G43,seznampsc!A:B,2,FALSE)</f>
        <v>Brno-město</v>
      </c>
      <c r="R43" s="6" t="str">
        <f>VLOOKUP(G43,seznampsc!A:C,3,FALSE)</f>
        <v>Jihomoravský kraj</v>
      </c>
      <c r="AU43" s="6"/>
    </row>
    <row r="44" spans="1:48" ht="24" customHeight="1" x14ac:dyDescent="0.3">
      <c r="A44" s="6"/>
      <c r="B44" s="6" t="s">
        <v>65</v>
      </c>
      <c r="C44" s="6" t="s">
        <v>333</v>
      </c>
      <c r="D44" s="6">
        <v>49969641</v>
      </c>
      <c r="E44" s="6" t="s">
        <v>334</v>
      </c>
      <c r="F44" s="6" t="s">
        <v>335</v>
      </c>
      <c r="G44" s="6">
        <v>62800</v>
      </c>
      <c r="H44" s="6" t="s">
        <v>336</v>
      </c>
      <c r="I44" s="6" t="s">
        <v>339</v>
      </c>
      <c r="J44" s="7" t="s">
        <v>337</v>
      </c>
      <c r="K44" s="8">
        <v>518700040</v>
      </c>
      <c r="L44" s="6" t="s">
        <v>340</v>
      </c>
      <c r="M44" s="6" t="s">
        <v>338</v>
      </c>
      <c r="N44" s="6" t="s">
        <v>63</v>
      </c>
      <c r="O44" s="6" t="s">
        <v>341</v>
      </c>
      <c r="P44" s="6"/>
      <c r="Q44" s="6" t="str">
        <f>VLOOKUP(G44,seznampsc!A:B,2,FALSE)</f>
        <v>Brno-město</v>
      </c>
      <c r="R44" s="6" t="str">
        <f>VLOOKUP(G44,seznampsc!A:C,3,FALSE)</f>
        <v>Jihomoravský kraj</v>
      </c>
      <c r="S44" s="6">
        <v>49.207401300000001</v>
      </c>
      <c r="T44" s="6">
        <v>16.665494599999999</v>
      </c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8" t="s">
        <v>342</v>
      </c>
    </row>
    <row r="45" spans="1:48" ht="24" customHeight="1" x14ac:dyDescent="0.3">
      <c r="A45" s="1"/>
      <c r="B45" s="1" t="s">
        <v>65</v>
      </c>
      <c r="C45" s="1" t="s">
        <v>343</v>
      </c>
      <c r="D45" s="1" t="s">
        <v>344</v>
      </c>
      <c r="E45" s="1" t="s">
        <v>345</v>
      </c>
      <c r="F45" s="1" t="s">
        <v>346</v>
      </c>
      <c r="G45" s="1">
        <v>63600</v>
      </c>
      <c r="H45" s="1" t="s">
        <v>272</v>
      </c>
      <c r="I45" s="1" t="s">
        <v>347</v>
      </c>
      <c r="J45" s="1" t="s">
        <v>348</v>
      </c>
      <c r="K45" s="1">
        <v>775775215</v>
      </c>
      <c r="L45" s="1" t="s">
        <v>83</v>
      </c>
      <c r="M45" s="1" t="s">
        <v>349</v>
      </c>
      <c r="N45" s="1" t="s">
        <v>63</v>
      </c>
      <c r="O45" s="1" t="s">
        <v>350</v>
      </c>
      <c r="P45" s="6"/>
      <c r="Q45" s="6" t="str">
        <f>VLOOKUP(G45,seznampsc!A:B,2,FALSE)</f>
        <v>Brno-město</v>
      </c>
      <c r="R45" s="6" t="str">
        <f>VLOOKUP(G45,seznampsc!A:C,3,FALSE)</f>
        <v>Jihomoravský kraj</v>
      </c>
      <c r="S45" s="1">
        <v>49.1898476</v>
      </c>
      <c r="T45" s="1">
        <v>16.662083200000001</v>
      </c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3" t="s">
        <v>351</v>
      </c>
      <c r="AV45" s="10">
        <v>200000</v>
      </c>
    </row>
    <row r="46" spans="1:48" ht="24" customHeight="1" x14ac:dyDescent="0.3">
      <c r="A46" s="6"/>
      <c r="B46" s="6" t="s">
        <v>65</v>
      </c>
      <c r="C46" s="6" t="s">
        <v>352</v>
      </c>
      <c r="D46" s="6" t="s">
        <v>353</v>
      </c>
      <c r="E46" s="6" t="s">
        <v>354</v>
      </c>
      <c r="F46" s="6" t="s">
        <v>355</v>
      </c>
      <c r="G46" s="6">
        <v>63800</v>
      </c>
      <c r="H46" s="6" t="s">
        <v>272</v>
      </c>
      <c r="I46" s="6" t="s">
        <v>356</v>
      </c>
      <c r="J46" s="6" t="s">
        <v>357</v>
      </c>
      <c r="K46" s="6">
        <v>603453313.53219402</v>
      </c>
      <c r="L46" s="6" t="s">
        <v>83</v>
      </c>
      <c r="M46" s="6" t="s">
        <v>134</v>
      </c>
      <c r="N46" s="6" t="s">
        <v>63</v>
      </c>
      <c r="O46" s="6" t="s">
        <v>358</v>
      </c>
      <c r="P46" s="6"/>
      <c r="Q46" s="6" t="str">
        <f>VLOOKUP(G46,seznampsc!A:B,2,FALSE)</f>
        <v>Brno-město</v>
      </c>
      <c r="R46" s="6" t="str">
        <f>VLOOKUP(G46,seznampsc!A:C,3,FALSE)</f>
        <v>Jihomoravský kraj</v>
      </c>
      <c r="S46" s="6">
        <v>49.228140499999903</v>
      </c>
      <c r="T46" s="6">
        <v>16.615945499999999</v>
      </c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V46" s="10">
        <v>200000</v>
      </c>
    </row>
    <row r="47" spans="1:48" ht="24" customHeight="1" x14ac:dyDescent="0.3">
      <c r="A47" s="6"/>
      <c r="B47" s="6" t="s">
        <v>65</v>
      </c>
      <c r="C47" s="6" t="s">
        <v>352</v>
      </c>
      <c r="D47" s="6" t="s">
        <v>359</v>
      </c>
      <c r="E47" s="6" t="s">
        <v>354</v>
      </c>
      <c r="F47" s="6" t="s">
        <v>360</v>
      </c>
      <c r="G47" s="6">
        <v>66442</v>
      </c>
      <c r="H47" s="6" t="s">
        <v>361</v>
      </c>
      <c r="I47" s="6" t="s">
        <v>362</v>
      </c>
      <c r="J47" s="6" t="s">
        <v>363</v>
      </c>
      <c r="K47" s="6">
        <v>730518898</v>
      </c>
      <c r="L47" s="6" t="s">
        <v>83</v>
      </c>
      <c r="M47" s="6" t="s">
        <v>134</v>
      </c>
      <c r="N47" s="6" t="s">
        <v>63</v>
      </c>
      <c r="O47" s="6" t="s">
        <v>364</v>
      </c>
      <c r="P47" s="6"/>
      <c r="Q47" s="6" t="str">
        <f>VLOOKUP(G47,seznampsc!A:B,2,FALSE)</f>
        <v>Brno-město</v>
      </c>
      <c r="R47" s="6" t="str">
        <f>VLOOKUP(G47,seznampsc!A:C,3,FALSE)</f>
        <v>Jihomoravský kraj</v>
      </c>
      <c r="S47" s="6">
        <v>49.132579999999997</v>
      </c>
      <c r="T47" s="6">
        <v>16.635249999999999</v>
      </c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V47" s="10">
        <v>200000</v>
      </c>
    </row>
    <row r="48" spans="1:48" ht="24" customHeight="1" x14ac:dyDescent="0.3">
      <c r="A48" s="6"/>
      <c r="B48" s="6" t="s">
        <v>65</v>
      </c>
      <c r="C48" s="6" t="s">
        <v>352</v>
      </c>
      <c r="D48" s="6" t="s">
        <v>359</v>
      </c>
      <c r="E48" s="6" t="s">
        <v>354</v>
      </c>
      <c r="F48" s="6" t="s">
        <v>365</v>
      </c>
      <c r="G48" s="6">
        <v>59401</v>
      </c>
      <c r="H48" s="6" t="s">
        <v>280</v>
      </c>
      <c r="I48" s="6" t="s">
        <v>366</v>
      </c>
      <c r="J48" s="7" t="s">
        <v>367</v>
      </c>
      <c r="K48" s="6">
        <v>604520404</v>
      </c>
      <c r="L48" s="6" t="s">
        <v>83</v>
      </c>
      <c r="M48" s="6" t="s">
        <v>134</v>
      </c>
      <c r="N48" s="6" t="s">
        <v>63</v>
      </c>
      <c r="O48" s="6" t="s">
        <v>364</v>
      </c>
      <c r="P48" s="6"/>
      <c r="Q48" s="6" t="str">
        <f>VLOOKUP(G48,seznampsc!A:B,2,FALSE)</f>
        <v>Žďár nad Sázavou</v>
      </c>
      <c r="R48" s="6" t="str">
        <f>VLOOKUP(G48,seznampsc!A:C,3,FALSE)</f>
        <v>Kraj Vysočina</v>
      </c>
      <c r="S48" s="6">
        <v>49.132579999999997</v>
      </c>
      <c r="T48" s="6">
        <v>16.635249999999999</v>
      </c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V48" s="10">
        <v>200000</v>
      </c>
    </row>
    <row r="49" spans="1:48" ht="24" customHeight="1" x14ac:dyDescent="0.3">
      <c r="A49" s="6"/>
      <c r="B49" s="6" t="s">
        <v>65</v>
      </c>
      <c r="C49" s="6" t="s">
        <v>368</v>
      </c>
      <c r="D49" s="6" t="s">
        <v>369</v>
      </c>
      <c r="E49" s="6" t="s">
        <v>370</v>
      </c>
      <c r="F49" s="6" t="s">
        <v>371</v>
      </c>
      <c r="G49" s="6">
        <v>62100</v>
      </c>
      <c r="H49" s="6" t="s">
        <v>272</v>
      </c>
      <c r="I49" s="6" t="s">
        <v>372</v>
      </c>
      <c r="J49" s="6" t="s">
        <v>373</v>
      </c>
      <c r="K49" s="6">
        <v>515915005.72786403</v>
      </c>
      <c r="L49" s="6" t="s">
        <v>83</v>
      </c>
      <c r="M49" s="6" t="s">
        <v>120</v>
      </c>
      <c r="N49" s="6" t="s">
        <v>63</v>
      </c>
      <c r="O49" s="6" t="s">
        <v>358</v>
      </c>
      <c r="P49" s="6"/>
      <c r="Q49" s="6" t="str">
        <f>VLOOKUP(G49,seznampsc!A:B,2,FALSE)</f>
        <v>Brno-město</v>
      </c>
      <c r="R49" s="6" t="str">
        <f>VLOOKUP(G49,seznampsc!A:C,3,FALSE)</f>
        <v>Jihomoravský kraj</v>
      </c>
      <c r="S49" s="6" t="s">
        <v>374</v>
      </c>
      <c r="T49" s="6" t="s">
        <v>375</v>
      </c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V49" s="10">
        <v>200000</v>
      </c>
    </row>
    <row r="50" spans="1:48" ht="24" customHeight="1" x14ac:dyDescent="0.3">
      <c r="A50" s="6"/>
      <c r="B50" s="6" t="s">
        <v>65</v>
      </c>
      <c r="C50" s="6" t="s">
        <v>368</v>
      </c>
      <c r="D50" s="6" t="s">
        <v>369</v>
      </c>
      <c r="E50" s="6" t="s">
        <v>370</v>
      </c>
      <c r="F50" s="6" t="s">
        <v>360</v>
      </c>
      <c r="G50" s="6">
        <v>66442</v>
      </c>
      <c r="H50" s="6" t="s">
        <v>376</v>
      </c>
      <c r="I50" s="6"/>
      <c r="J50" s="6" t="s">
        <v>377</v>
      </c>
      <c r="K50" s="6" t="s">
        <v>378</v>
      </c>
      <c r="L50" s="6" t="s">
        <v>83</v>
      </c>
      <c r="M50" s="6" t="s">
        <v>120</v>
      </c>
      <c r="N50" s="6" t="s">
        <v>63</v>
      </c>
      <c r="O50" s="6" t="s">
        <v>358</v>
      </c>
      <c r="P50" s="6"/>
      <c r="Q50" s="6" t="str">
        <f>VLOOKUP(G50,seznampsc!A:B,2,FALSE)</f>
        <v>Brno-město</v>
      </c>
      <c r="R50" s="6" t="str">
        <f>VLOOKUP(G50,seznampsc!A:C,3,FALSE)</f>
        <v>Jihomoravský kraj</v>
      </c>
      <c r="S50" s="6" t="s">
        <v>379</v>
      </c>
      <c r="T50" s="6" t="s">
        <v>380</v>
      </c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V50" s="10">
        <v>200000</v>
      </c>
    </row>
    <row r="51" spans="1:48" ht="24" customHeight="1" x14ac:dyDescent="0.3">
      <c r="A51" s="1" t="s">
        <v>381</v>
      </c>
      <c r="B51" s="1" t="s">
        <v>65</v>
      </c>
      <c r="C51" s="1" t="s">
        <v>382</v>
      </c>
      <c r="D51" s="11">
        <v>26394294</v>
      </c>
      <c r="E51" s="1" t="s">
        <v>383</v>
      </c>
      <c r="F51" s="1" t="s">
        <v>384</v>
      </c>
      <c r="G51" s="1">
        <v>31600</v>
      </c>
      <c r="H51" s="1" t="s">
        <v>385</v>
      </c>
      <c r="I51" s="1"/>
      <c r="J51" s="12" t="s">
        <v>386</v>
      </c>
      <c r="K51" s="2" t="s">
        <v>387</v>
      </c>
      <c r="L51" s="1" t="s">
        <v>388</v>
      </c>
      <c r="M51" s="1" t="s">
        <v>389</v>
      </c>
      <c r="N51" s="1" t="s">
        <v>158</v>
      </c>
      <c r="O51" s="1" t="s">
        <v>390</v>
      </c>
      <c r="P51" s="1"/>
      <c r="Q51" s="1"/>
      <c r="R51" s="1"/>
      <c r="S51" s="1">
        <v>49.7368393</v>
      </c>
      <c r="T51" s="1">
        <v>13.3496103</v>
      </c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4" t="s">
        <v>391</v>
      </c>
      <c r="AV51" s="13">
        <v>200000</v>
      </c>
    </row>
    <row r="52" spans="1:48" ht="24" customHeight="1" x14ac:dyDescent="0.3">
      <c r="A52" s="1"/>
      <c r="B52" s="1" t="s">
        <v>65</v>
      </c>
      <c r="C52" s="1" t="s">
        <v>392</v>
      </c>
      <c r="D52" s="1" t="s">
        <v>393</v>
      </c>
      <c r="E52" s="1" t="s">
        <v>394</v>
      </c>
      <c r="F52" s="1" t="s">
        <v>395</v>
      </c>
      <c r="G52" s="1">
        <v>61900</v>
      </c>
      <c r="H52" s="1" t="s">
        <v>272</v>
      </c>
      <c r="I52" s="1" t="s">
        <v>396</v>
      </c>
      <c r="J52" s="1" t="s">
        <v>397</v>
      </c>
      <c r="K52" s="1">
        <v>515908886.60272098</v>
      </c>
      <c r="L52" s="1" t="s">
        <v>73</v>
      </c>
      <c r="M52" s="1" t="s">
        <v>62</v>
      </c>
      <c r="N52" s="1" t="s">
        <v>63</v>
      </c>
      <c r="O52" s="1" t="s">
        <v>398</v>
      </c>
      <c r="P52" s="1"/>
      <c r="Q52" s="6" t="str">
        <f>VLOOKUP(G52,seznampsc!A:B,2,FALSE)</f>
        <v>Brno-město</v>
      </c>
      <c r="R52" s="6" t="str">
        <f>VLOOKUP(G52,seznampsc!A:C,3,FALSE)</f>
        <v>Jihomoravský kraj</v>
      </c>
      <c r="S52" s="1">
        <v>49.166839699999997</v>
      </c>
      <c r="T52" s="1">
        <v>16.6264118</v>
      </c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3" t="s">
        <v>399</v>
      </c>
    </row>
    <row r="53" spans="1:48" ht="24" customHeight="1" x14ac:dyDescent="0.3">
      <c r="A53" s="6" t="s">
        <v>53</v>
      </c>
      <c r="B53" s="6" t="s">
        <v>65</v>
      </c>
      <c r="C53" s="6" t="s">
        <v>400</v>
      </c>
      <c r="D53" s="6" t="s">
        <v>401</v>
      </c>
      <c r="E53" s="6" t="s">
        <v>402</v>
      </c>
      <c r="F53" s="6" t="s">
        <v>403</v>
      </c>
      <c r="G53" s="6">
        <v>10000</v>
      </c>
      <c r="H53" s="6" t="s">
        <v>80</v>
      </c>
      <c r="I53" s="6" t="s">
        <v>404</v>
      </c>
      <c r="J53" s="6" t="s">
        <v>405</v>
      </c>
      <c r="K53" s="6">
        <v>241740024.60273001</v>
      </c>
      <c r="L53" s="6" t="s">
        <v>73</v>
      </c>
      <c r="M53" s="6" t="s">
        <v>62</v>
      </c>
      <c r="N53" s="6" t="s">
        <v>63</v>
      </c>
      <c r="O53" s="6" t="s">
        <v>406</v>
      </c>
      <c r="P53" s="6"/>
      <c r="Q53" s="6" t="str">
        <f>VLOOKUP(G53,seznampsc!A:B,2,FALSE)</f>
        <v>Hlavní město Praha</v>
      </c>
      <c r="R53" s="6" t="str">
        <f>VLOOKUP(G53,seznampsc!A:C,3,FALSE)</f>
        <v>Hlavní město Praha</v>
      </c>
      <c r="S53" s="6">
        <v>50.061022899999998</v>
      </c>
      <c r="T53" s="6">
        <v>14.4717143</v>
      </c>
      <c r="U53" s="6"/>
      <c r="V53" s="6"/>
      <c r="W53" s="6"/>
      <c r="X53" s="6"/>
      <c r="Y53" s="6"/>
      <c r="Z53" s="6"/>
      <c r="AA53" s="6"/>
      <c r="AB53" s="6"/>
      <c r="AC53" s="6"/>
      <c r="AD53" s="6">
        <v>650</v>
      </c>
      <c r="AE53" s="6">
        <v>650</v>
      </c>
      <c r="AF53" s="6">
        <v>650</v>
      </c>
      <c r="AG53" s="6"/>
      <c r="AH53" s="6"/>
      <c r="AI53" s="6"/>
      <c r="AJ53" s="6">
        <v>107</v>
      </c>
      <c r="AK53" s="6">
        <v>116</v>
      </c>
      <c r="AL53" s="6"/>
      <c r="AM53" s="6"/>
      <c r="AN53" s="6"/>
      <c r="AO53" s="6"/>
      <c r="AP53" s="6"/>
      <c r="AQ53" s="30">
        <v>0.05</v>
      </c>
      <c r="AR53" s="30"/>
      <c r="AS53" s="6"/>
      <c r="AT53" s="6"/>
      <c r="AV53" s="3">
        <v>100000</v>
      </c>
    </row>
    <row r="54" spans="1:48" ht="24" customHeight="1" x14ac:dyDescent="0.3">
      <c r="A54" s="6" t="s">
        <v>53</v>
      </c>
      <c r="B54" s="6" t="s">
        <v>65</v>
      </c>
      <c r="C54" s="6" t="s">
        <v>400</v>
      </c>
      <c r="D54" s="6" t="s">
        <v>401</v>
      </c>
      <c r="E54" s="6" t="s">
        <v>402</v>
      </c>
      <c r="F54" s="6" t="s">
        <v>407</v>
      </c>
      <c r="G54" s="6">
        <v>12000</v>
      </c>
      <c r="H54" s="6" t="s">
        <v>80</v>
      </c>
      <c r="I54" s="6" t="s">
        <v>408</v>
      </c>
      <c r="J54" s="6" t="s">
        <v>409</v>
      </c>
      <c r="K54" s="6">
        <v>222564116.72433701</v>
      </c>
      <c r="L54" s="6" t="s">
        <v>73</v>
      </c>
      <c r="M54" s="6" t="s">
        <v>62</v>
      </c>
      <c r="N54" s="6" t="s">
        <v>63</v>
      </c>
      <c r="O54" s="6" t="s">
        <v>410</v>
      </c>
      <c r="P54" s="6"/>
      <c r="Q54" s="6" t="str">
        <f>VLOOKUP(G54,seznampsc!A:B,2,FALSE)</f>
        <v>Hlavní město Praha</v>
      </c>
      <c r="R54" s="6" t="str">
        <f>VLOOKUP(G54,seznampsc!A:C,3,FALSE)</f>
        <v>Hlavní město Praha</v>
      </c>
      <c r="S54" s="6">
        <v>50.067708499999902</v>
      </c>
      <c r="T54" s="6">
        <v>14.435748</v>
      </c>
      <c r="U54" s="6"/>
      <c r="V54" s="6"/>
      <c r="W54" s="6"/>
      <c r="X54" s="6"/>
      <c r="Y54" s="6"/>
      <c r="Z54" s="6"/>
      <c r="AA54" s="6"/>
      <c r="AB54" s="6"/>
      <c r="AC54" s="6"/>
      <c r="AD54" s="6">
        <v>650</v>
      </c>
      <c r="AE54" s="6">
        <v>650</v>
      </c>
      <c r="AF54" s="6">
        <v>650</v>
      </c>
      <c r="AG54" s="6"/>
      <c r="AH54" s="6"/>
      <c r="AI54" s="6"/>
      <c r="AJ54" s="6">
        <v>107</v>
      </c>
      <c r="AK54" s="6">
        <v>116</v>
      </c>
      <c r="AL54" s="6"/>
      <c r="AM54" s="6"/>
      <c r="AN54" s="6"/>
      <c r="AO54" s="6"/>
      <c r="AP54" s="6"/>
      <c r="AQ54" s="30">
        <v>0.05</v>
      </c>
      <c r="AR54" s="30"/>
      <c r="AS54" s="6"/>
      <c r="AT54" s="6"/>
      <c r="AV54" s="3">
        <v>100000</v>
      </c>
    </row>
    <row r="55" spans="1:48" ht="24" customHeight="1" x14ac:dyDescent="0.3">
      <c r="A55" s="6" t="s">
        <v>53</v>
      </c>
      <c r="B55" s="6" t="s">
        <v>65</v>
      </c>
      <c r="C55" s="6" t="s">
        <v>411</v>
      </c>
      <c r="D55" s="6" t="s">
        <v>412</v>
      </c>
      <c r="E55" s="6" t="s">
        <v>413</v>
      </c>
      <c r="F55" s="6" t="s">
        <v>414</v>
      </c>
      <c r="G55" s="6">
        <v>67906</v>
      </c>
      <c r="H55" s="6" t="s">
        <v>415</v>
      </c>
      <c r="I55" s="6" t="s">
        <v>416</v>
      </c>
      <c r="J55" s="6" t="s">
        <v>417</v>
      </c>
      <c r="K55" s="6">
        <v>606084893</v>
      </c>
      <c r="L55" s="6" t="s">
        <v>73</v>
      </c>
      <c r="M55" s="6" t="s">
        <v>62</v>
      </c>
      <c r="N55" s="6" t="s">
        <v>63</v>
      </c>
      <c r="O55" s="6" t="s">
        <v>248</v>
      </c>
      <c r="P55" s="6"/>
      <c r="Q55" s="6" t="str">
        <f>VLOOKUP(G55,seznampsc!A:B,2,FALSE)</f>
        <v>Blansko</v>
      </c>
      <c r="R55" s="6" t="str">
        <f>VLOOKUP(G55,seznampsc!A:C,3,FALSE)</f>
        <v>Jihomoravský kraj</v>
      </c>
      <c r="S55" s="6">
        <v>49.348876199999999</v>
      </c>
      <c r="T55" s="6">
        <v>16.812951999999999</v>
      </c>
      <c r="U55" s="6"/>
      <c r="V55" s="6"/>
      <c r="W55" s="6"/>
      <c r="X55" s="6"/>
      <c r="Y55" s="6"/>
      <c r="Z55" s="6"/>
      <c r="AA55" s="6"/>
      <c r="AB55" s="6"/>
      <c r="AC55" s="6"/>
      <c r="AD55" s="6">
        <v>450</v>
      </c>
      <c r="AE55" s="6">
        <v>450</v>
      </c>
      <c r="AF55" s="6">
        <v>450</v>
      </c>
      <c r="AG55" s="6"/>
      <c r="AH55" s="6"/>
      <c r="AI55" s="6"/>
      <c r="AJ55" s="6">
        <v>120</v>
      </c>
      <c r="AK55" s="6">
        <v>130</v>
      </c>
      <c r="AL55" s="6"/>
      <c r="AM55" s="6"/>
      <c r="AN55" s="6"/>
      <c r="AO55" s="6">
        <v>3</v>
      </c>
      <c r="AP55" s="6"/>
      <c r="AQ55" s="6"/>
      <c r="AR55" s="6"/>
      <c r="AS55" s="6"/>
      <c r="AT55" s="6">
        <v>250</v>
      </c>
      <c r="AV55" s="3">
        <v>50000</v>
      </c>
    </row>
    <row r="56" spans="1:48" ht="24" customHeight="1" x14ac:dyDescent="0.3">
      <c r="A56" s="1"/>
      <c r="B56" s="1" t="s">
        <v>65</v>
      </c>
      <c r="C56" s="1" t="s">
        <v>418</v>
      </c>
      <c r="D56" s="1" t="s">
        <v>419</v>
      </c>
      <c r="E56" s="1" t="s">
        <v>420</v>
      </c>
      <c r="F56" s="1" t="s">
        <v>421</v>
      </c>
      <c r="G56" s="1">
        <v>69006</v>
      </c>
      <c r="H56" s="1" t="s">
        <v>422</v>
      </c>
      <c r="I56" s="1" t="s">
        <v>423</v>
      </c>
      <c r="J56" s="1" t="s">
        <v>424</v>
      </c>
      <c r="K56" s="1">
        <v>777290810</v>
      </c>
      <c r="L56" s="1" t="s">
        <v>73</v>
      </c>
      <c r="M56" s="1" t="s">
        <v>62</v>
      </c>
      <c r="N56" s="1" t="s">
        <v>63</v>
      </c>
      <c r="O56" s="1" t="s">
        <v>241</v>
      </c>
      <c r="P56" s="1"/>
      <c r="Q56" s="6" t="str">
        <f>VLOOKUP(G56,seznampsc!A:B,2,FALSE)</f>
        <v>Břeclav</v>
      </c>
      <c r="R56" s="6" t="str">
        <f>VLOOKUP(G56,seznampsc!A:C,3,FALSE)</f>
        <v>Jihomoravský kraj</v>
      </c>
      <c r="S56" s="1">
        <v>48.768417499999998</v>
      </c>
      <c r="T56" s="1">
        <v>16.845430100000002</v>
      </c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 t="s">
        <v>425</v>
      </c>
      <c r="AV56" s="1"/>
    </row>
    <row r="57" spans="1:48" ht="24" customHeight="1" x14ac:dyDescent="0.3">
      <c r="A57" s="6"/>
      <c r="B57" s="6" t="s">
        <v>65</v>
      </c>
      <c r="C57" s="6" t="s">
        <v>426</v>
      </c>
      <c r="D57" s="6" t="s">
        <v>427</v>
      </c>
      <c r="E57" s="6" t="s">
        <v>428</v>
      </c>
      <c r="F57" s="6" t="s">
        <v>429</v>
      </c>
      <c r="G57" s="6">
        <v>40001</v>
      </c>
      <c r="H57" s="6" t="s">
        <v>430</v>
      </c>
      <c r="I57" s="6" t="s">
        <v>431</v>
      </c>
      <c r="J57" s="6" t="s">
        <v>432</v>
      </c>
      <c r="K57" s="6">
        <v>737222169</v>
      </c>
      <c r="L57" s="6" t="s">
        <v>83</v>
      </c>
      <c r="M57" s="6" t="s">
        <v>433</v>
      </c>
      <c r="N57" s="6" t="s">
        <v>63</v>
      </c>
      <c r="O57" s="6" t="s">
        <v>434</v>
      </c>
      <c r="P57" s="6"/>
      <c r="Q57" s="6" t="str">
        <f>VLOOKUP(G57,seznampsc!A:B,2,FALSE)</f>
        <v>Ústí nad Labem</v>
      </c>
      <c r="R57" s="6" t="str">
        <f>VLOOKUP(G57,seznampsc!A:C,3,FALSE)</f>
        <v>Ústecký kraj</v>
      </c>
      <c r="S57" s="6">
        <v>50.678528800000002</v>
      </c>
      <c r="T57" s="6">
        <v>14.013007699999999</v>
      </c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V57" s="10">
        <v>200000</v>
      </c>
    </row>
    <row r="58" spans="1:48" ht="24" customHeight="1" x14ac:dyDescent="0.3">
      <c r="A58" s="6"/>
      <c r="B58" s="6" t="s">
        <v>65</v>
      </c>
      <c r="C58" s="6" t="s">
        <v>426</v>
      </c>
      <c r="D58" s="6" t="s">
        <v>427</v>
      </c>
      <c r="E58" s="6" t="s">
        <v>428</v>
      </c>
      <c r="F58" s="6" t="s">
        <v>435</v>
      </c>
      <c r="G58" s="6">
        <v>41002</v>
      </c>
      <c r="H58" s="6" t="s">
        <v>436</v>
      </c>
      <c r="I58" s="6" t="s">
        <v>437</v>
      </c>
      <c r="J58" s="7" t="s">
        <v>438</v>
      </c>
      <c r="K58" s="6">
        <v>737216005</v>
      </c>
      <c r="L58" s="6" t="s">
        <v>83</v>
      </c>
      <c r="M58" s="6" t="s">
        <v>433</v>
      </c>
      <c r="N58" s="6" t="s">
        <v>63</v>
      </c>
      <c r="O58" s="6" t="s">
        <v>434</v>
      </c>
      <c r="P58" s="6"/>
      <c r="Q58" s="6" t="str">
        <f>VLOOKUP(G58,seznampsc!A:B,2,FALSE)</f>
        <v>Litoměřice</v>
      </c>
      <c r="R58" s="6" t="str">
        <f>VLOOKUP(G58,seznampsc!A:C,3,FALSE)</f>
        <v>Ústecký kraj</v>
      </c>
      <c r="S58" s="6">
        <v>50.511338199999997</v>
      </c>
      <c r="T58" s="6">
        <v>14.063291700000001</v>
      </c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V58" s="10">
        <v>200000</v>
      </c>
    </row>
    <row r="59" spans="1:48" ht="24" customHeight="1" x14ac:dyDescent="0.3">
      <c r="A59" s="6"/>
      <c r="B59" s="6" t="s">
        <v>65</v>
      </c>
      <c r="C59" s="6" t="s">
        <v>426</v>
      </c>
      <c r="D59" s="6" t="s">
        <v>427</v>
      </c>
      <c r="E59" s="6" t="s">
        <v>428</v>
      </c>
      <c r="F59" s="6" t="s">
        <v>439</v>
      </c>
      <c r="G59" s="6">
        <v>44001</v>
      </c>
      <c r="H59" s="6" t="s">
        <v>440</v>
      </c>
      <c r="I59" s="6" t="s">
        <v>441</v>
      </c>
      <c r="J59" s="6" t="s">
        <v>442</v>
      </c>
      <c r="K59" s="6">
        <v>737216019</v>
      </c>
      <c r="L59" s="6" t="s">
        <v>83</v>
      </c>
      <c r="M59" s="6" t="s">
        <v>433</v>
      </c>
      <c r="N59" s="6" t="s">
        <v>63</v>
      </c>
      <c r="O59" s="6" t="s">
        <v>434</v>
      </c>
      <c r="P59" s="6"/>
      <c r="Q59" s="6" t="str">
        <f>VLOOKUP(G59,seznampsc!A:B,2,FALSE)</f>
        <v>Louny</v>
      </c>
      <c r="R59" s="6" t="str">
        <f>VLOOKUP(G59,seznampsc!A:C,3,FALSE)</f>
        <v>Ústecký kraj</v>
      </c>
      <c r="S59" s="6">
        <v>50.3511454</v>
      </c>
      <c r="T59" s="6">
        <v>13.8161503</v>
      </c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V59" s="10">
        <v>200000</v>
      </c>
    </row>
    <row r="60" spans="1:48" ht="24" customHeight="1" x14ac:dyDescent="0.3">
      <c r="A60" s="1"/>
      <c r="B60" s="1" t="s">
        <v>65</v>
      </c>
      <c r="C60" s="1" t="s">
        <v>443</v>
      </c>
      <c r="D60" s="1" t="s">
        <v>444</v>
      </c>
      <c r="E60" s="1" t="s">
        <v>445</v>
      </c>
      <c r="F60" s="1" t="s">
        <v>446</v>
      </c>
      <c r="G60" s="1">
        <v>40004</v>
      </c>
      <c r="H60" s="1" t="s">
        <v>430</v>
      </c>
      <c r="I60" s="1" t="s">
        <v>431</v>
      </c>
      <c r="J60" s="1" t="s">
        <v>447</v>
      </c>
      <c r="K60" s="1">
        <v>725222040</v>
      </c>
      <c r="L60" s="1" t="s">
        <v>83</v>
      </c>
      <c r="M60" s="1" t="s">
        <v>134</v>
      </c>
      <c r="N60" s="1" t="s">
        <v>63</v>
      </c>
      <c r="O60" s="1" t="s">
        <v>109</v>
      </c>
      <c r="P60" s="6"/>
      <c r="Q60" s="6" t="str">
        <f>VLOOKUP(G60,seznampsc!A:B,2,FALSE)</f>
        <v>Ústí nad Labem</v>
      </c>
      <c r="R60" s="6" t="str">
        <f>VLOOKUP(G60,seznampsc!A:C,3,FALSE)</f>
        <v>Ústecký kraj</v>
      </c>
      <c r="AU60" s="3" t="s">
        <v>448</v>
      </c>
      <c r="AV60" s="10"/>
    </row>
    <row r="61" spans="1:48" ht="24" customHeight="1" x14ac:dyDescent="0.3">
      <c r="A61" s="1"/>
      <c r="B61" s="1" t="s">
        <v>65</v>
      </c>
      <c r="C61" s="1" t="s">
        <v>449</v>
      </c>
      <c r="D61" s="1" t="s">
        <v>450</v>
      </c>
      <c r="E61" s="1" t="s">
        <v>445</v>
      </c>
      <c r="F61" s="1" t="s">
        <v>451</v>
      </c>
      <c r="G61" s="1">
        <v>41713</v>
      </c>
      <c r="H61" s="1" t="s">
        <v>452</v>
      </c>
      <c r="I61" s="1" t="s">
        <v>453</v>
      </c>
      <c r="J61" s="1" t="s">
        <v>454</v>
      </c>
      <c r="K61" s="1">
        <v>608555239</v>
      </c>
      <c r="L61" s="1" t="s">
        <v>83</v>
      </c>
      <c r="M61" s="1" t="s">
        <v>84</v>
      </c>
      <c r="N61" s="1" t="s">
        <v>63</v>
      </c>
      <c r="O61" s="1" t="s">
        <v>455</v>
      </c>
      <c r="P61" s="6"/>
      <c r="Q61" s="6" t="str">
        <f>VLOOKUP(G61,seznampsc!A:B,2,FALSE)</f>
        <v>Teplice</v>
      </c>
      <c r="R61" s="6" t="str">
        <f>VLOOKUP(G61,seznampsc!A:C,3,FALSE)</f>
        <v>Ústecký kraj</v>
      </c>
      <c r="AU61" s="3" t="s">
        <v>448</v>
      </c>
      <c r="AV61" s="10"/>
    </row>
    <row r="62" spans="1:48" ht="24" customHeight="1" x14ac:dyDescent="0.3">
      <c r="A62" s="6" t="s">
        <v>53</v>
      </c>
      <c r="B62" s="6" t="s">
        <v>65</v>
      </c>
      <c r="C62" s="6" t="s">
        <v>456</v>
      </c>
      <c r="D62" s="6" t="s">
        <v>457</v>
      </c>
      <c r="E62" s="6" t="s">
        <v>458</v>
      </c>
      <c r="F62" s="6" t="s">
        <v>459</v>
      </c>
      <c r="G62" s="6">
        <v>37011</v>
      </c>
      <c r="H62" s="6" t="s">
        <v>460</v>
      </c>
      <c r="I62" s="6" t="s">
        <v>461</v>
      </c>
      <c r="J62" s="6" t="s">
        <v>462</v>
      </c>
      <c r="K62" s="6">
        <v>606202151.38569999</v>
      </c>
      <c r="L62" s="6" t="s">
        <v>73</v>
      </c>
      <c r="M62" s="6" t="s">
        <v>62</v>
      </c>
      <c r="N62" s="6" t="s">
        <v>63</v>
      </c>
      <c r="O62" s="6" t="s">
        <v>463</v>
      </c>
      <c r="P62" s="6"/>
      <c r="Q62" s="6" t="str">
        <f>VLOOKUP(G62,seznampsc!A:B,2,FALSE)</f>
        <v>České Budějovice</v>
      </c>
      <c r="R62" s="6" t="str">
        <f>VLOOKUP(G62,seznampsc!A:C,3,FALSE)</f>
        <v>Jihočeský kraj</v>
      </c>
      <c r="S62" s="6">
        <v>49.003148299999999</v>
      </c>
      <c r="T62" s="6">
        <v>14.452023000000001</v>
      </c>
      <c r="U62" s="6"/>
      <c r="V62" s="6"/>
      <c r="W62" s="6"/>
      <c r="X62" s="6"/>
      <c r="Y62" s="6"/>
      <c r="Z62" s="6"/>
      <c r="AA62" s="6"/>
      <c r="AB62" s="6"/>
      <c r="AC62" s="6"/>
      <c r="AD62" s="6">
        <v>600</v>
      </c>
      <c r="AE62" s="6">
        <v>600</v>
      </c>
      <c r="AF62" s="6">
        <v>600</v>
      </c>
      <c r="AG62" s="6"/>
      <c r="AH62" s="6"/>
      <c r="AI62" s="6"/>
      <c r="AJ62" s="6">
        <v>107</v>
      </c>
      <c r="AK62" s="6">
        <v>116</v>
      </c>
      <c r="AL62" s="6"/>
      <c r="AM62" s="6"/>
      <c r="AN62" s="6"/>
      <c r="AO62" s="6"/>
      <c r="AP62" s="6"/>
      <c r="AQ62" s="6">
        <v>5</v>
      </c>
      <c r="AR62" s="6"/>
      <c r="AS62" s="6"/>
      <c r="AT62" s="6">
        <v>250</v>
      </c>
      <c r="AV62" s="3">
        <v>100000</v>
      </c>
    </row>
    <row r="63" spans="1:48" ht="24" customHeight="1" x14ac:dyDescent="0.3">
      <c r="A63" s="6" t="s">
        <v>53</v>
      </c>
      <c r="B63" s="6" t="s">
        <v>65</v>
      </c>
      <c r="C63" s="6" t="s">
        <v>464</v>
      </c>
      <c r="D63" s="6" t="s">
        <v>465</v>
      </c>
      <c r="E63" s="6" t="s">
        <v>466</v>
      </c>
      <c r="F63" s="6" t="s">
        <v>467</v>
      </c>
      <c r="G63" s="6">
        <v>73934</v>
      </c>
      <c r="H63" s="6" t="s">
        <v>468</v>
      </c>
      <c r="I63" s="6" t="s">
        <v>469</v>
      </c>
      <c r="J63" s="6" t="s">
        <v>470</v>
      </c>
      <c r="K63" s="6">
        <v>773100773.59641004</v>
      </c>
      <c r="L63" s="6" t="s">
        <v>73</v>
      </c>
      <c r="M63" s="6" t="s">
        <v>62</v>
      </c>
      <c r="N63" s="6" t="s">
        <v>63</v>
      </c>
      <c r="O63" s="6" t="s">
        <v>241</v>
      </c>
      <c r="P63" s="6"/>
      <c r="Q63" s="6" t="str">
        <f>VLOOKUP(G63,seznampsc!A:B,2,FALSE)</f>
        <v>Ostrava-město</v>
      </c>
      <c r="R63" s="6" t="str">
        <f>VLOOKUP(G63,seznampsc!A:C,3,FALSE)</f>
        <v>Moravskoslezský kraj</v>
      </c>
      <c r="S63" s="6">
        <v>49.7911772</v>
      </c>
      <c r="T63" s="6">
        <v>18.390482200000001</v>
      </c>
      <c r="U63" s="6"/>
      <c r="V63" s="6"/>
      <c r="W63" s="6"/>
      <c r="X63" s="6"/>
      <c r="Y63" s="6"/>
      <c r="Z63" s="6"/>
      <c r="AA63" s="6"/>
      <c r="AB63" s="6"/>
      <c r="AC63" s="6"/>
      <c r="AD63" s="6">
        <v>740</v>
      </c>
      <c r="AE63" s="6">
        <v>740</v>
      </c>
      <c r="AF63" s="6">
        <v>740</v>
      </c>
      <c r="AG63" s="6"/>
      <c r="AH63" s="6"/>
      <c r="AI63" s="6"/>
      <c r="AJ63" s="6">
        <v>107</v>
      </c>
      <c r="AK63" s="6">
        <v>107</v>
      </c>
      <c r="AL63" s="6"/>
      <c r="AM63" s="6"/>
      <c r="AN63" s="6"/>
      <c r="AO63" s="6"/>
      <c r="AP63" s="6"/>
      <c r="AQ63" s="6">
        <v>5</v>
      </c>
      <c r="AR63" s="6"/>
      <c r="AS63" s="6"/>
      <c r="AT63" s="6">
        <v>250</v>
      </c>
      <c r="AU63" s="3" t="s">
        <v>471</v>
      </c>
      <c r="AV63" s="3">
        <v>100000</v>
      </c>
    </row>
    <row r="64" spans="1:48" ht="24" customHeight="1" x14ac:dyDescent="0.3">
      <c r="A64" s="6" t="s">
        <v>53</v>
      </c>
      <c r="B64" s="6" t="s">
        <v>65</v>
      </c>
      <c r="C64" s="6" t="s">
        <v>464</v>
      </c>
      <c r="D64" s="6" t="s">
        <v>465</v>
      </c>
      <c r="E64" s="6" t="s">
        <v>466</v>
      </c>
      <c r="F64" s="6" t="s">
        <v>472</v>
      </c>
      <c r="G64" s="6">
        <v>73961</v>
      </c>
      <c r="H64" s="6" t="s">
        <v>473</v>
      </c>
      <c r="I64" s="6" t="s">
        <v>474</v>
      </c>
      <c r="J64" s="6" t="s">
        <v>470</v>
      </c>
      <c r="K64" s="6">
        <v>773118773</v>
      </c>
      <c r="L64" s="6" t="s">
        <v>73</v>
      </c>
      <c r="M64" s="6" t="s">
        <v>62</v>
      </c>
      <c r="N64" s="6" t="s">
        <v>63</v>
      </c>
      <c r="O64" s="6" t="s">
        <v>475</v>
      </c>
      <c r="P64" s="6"/>
      <c r="Q64" s="6" t="str">
        <f>VLOOKUP(G64,seznampsc!A:B,2,FALSE)</f>
        <v>Frýdek-Místek</v>
      </c>
      <c r="R64" s="6" t="str">
        <f>VLOOKUP(G64,seznampsc!A:C,3,FALSE)</f>
        <v>Moravskoslezský kraj</v>
      </c>
      <c r="S64" s="6">
        <v>49.668378300000001</v>
      </c>
      <c r="T64" s="6">
        <v>18.674836299999999</v>
      </c>
      <c r="U64" s="6"/>
      <c r="V64" s="6"/>
      <c r="W64" s="6"/>
      <c r="X64" s="6"/>
      <c r="Y64" s="6"/>
      <c r="Z64" s="6"/>
      <c r="AA64" s="6"/>
      <c r="AB64" s="6"/>
      <c r="AC64" s="6"/>
      <c r="AD64" s="6">
        <v>740</v>
      </c>
      <c r="AE64" s="6">
        <v>740</v>
      </c>
      <c r="AF64" s="6">
        <v>740</v>
      </c>
      <c r="AG64" s="6"/>
      <c r="AH64" s="6"/>
      <c r="AI64" s="6"/>
      <c r="AJ64" s="6">
        <v>107</v>
      </c>
      <c r="AK64" s="6">
        <v>107</v>
      </c>
      <c r="AL64" s="6"/>
      <c r="AM64" s="6"/>
      <c r="AN64" s="6"/>
      <c r="AO64" s="6"/>
      <c r="AP64" s="6"/>
      <c r="AQ64" s="6">
        <v>5</v>
      </c>
      <c r="AR64" s="6"/>
      <c r="AS64" s="6"/>
      <c r="AT64" s="6">
        <v>250</v>
      </c>
      <c r="AU64" s="3" t="s">
        <v>471</v>
      </c>
      <c r="AV64" s="3">
        <v>100000</v>
      </c>
    </row>
    <row r="65" spans="1:48" ht="24" customHeight="1" x14ac:dyDescent="0.3">
      <c r="A65" s="6" t="s">
        <v>53</v>
      </c>
      <c r="B65" s="6" t="s">
        <v>65</v>
      </c>
      <c r="C65" s="6" t="s">
        <v>464</v>
      </c>
      <c r="D65" s="6" t="s">
        <v>465</v>
      </c>
      <c r="E65" s="6" t="s">
        <v>466</v>
      </c>
      <c r="F65" s="6" t="s">
        <v>476</v>
      </c>
      <c r="G65" s="6">
        <v>73801</v>
      </c>
      <c r="H65" s="6" t="s">
        <v>477</v>
      </c>
      <c r="I65" s="6" t="s">
        <v>478</v>
      </c>
      <c r="J65" s="6" t="s">
        <v>470</v>
      </c>
      <c r="K65" s="6">
        <v>773103773</v>
      </c>
      <c r="L65" s="6" t="s">
        <v>73</v>
      </c>
      <c r="M65" s="6" t="s">
        <v>62</v>
      </c>
      <c r="N65" s="6" t="s">
        <v>63</v>
      </c>
      <c r="O65" s="6" t="s">
        <v>475</v>
      </c>
      <c r="P65" s="6"/>
      <c r="Q65" s="6" t="str">
        <f>VLOOKUP(G65,seznampsc!A:B,2,FALSE)</f>
        <v>Frýdek-Místek</v>
      </c>
      <c r="R65" s="6" t="str">
        <f>VLOOKUP(G65,seznampsc!A:C,3,FALSE)</f>
        <v>Moravskoslezský kraj</v>
      </c>
      <c r="S65" s="6">
        <v>49.668722099999997</v>
      </c>
      <c r="T65" s="6">
        <v>18.335143599999999</v>
      </c>
      <c r="U65" s="6"/>
      <c r="V65" s="6"/>
      <c r="W65" s="6"/>
      <c r="X65" s="6"/>
      <c r="Y65" s="6"/>
      <c r="Z65" s="6"/>
      <c r="AA65" s="6"/>
      <c r="AB65" s="6"/>
      <c r="AC65" s="6"/>
      <c r="AD65" s="6">
        <v>740</v>
      </c>
      <c r="AE65" s="6">
        <v>740</v>
      </c>
      <c r="AF65" s="6">
        <v>740</v>
      </c>
      <c r="AG65" s="6"/>
      <c r="AH65" s="6"/>
      <c r="AI65" s="6"/>
      <c r="AJ65" s="6">
        <v>107</v>
      </c>
      <c r="AK65" s="6">
        <v>107</v>
      </c>
      <c r="AL65" s="6"/>
      <c r="AM65" s="6"/>
      <c r="AN65" s="6"/>
      <c r="AO65" s="6"/>
      <c r="AP65" s="6"/>
      <c r="AQ65" s="6">
        <v>5</v>
      </c>
      <c r="AR65" s="6"/>
      <c r="AS65" s="6"/>
      <c r="AT65" s="6">
        <v>250</v>
      </c>
      <c r="AU65" s="3" t="s">
        <v>471</v>
      </c>
      <c r="AV65" s="3">
        <v>100000</v>
      </c>
    </row>
    <row r="66" spans="1:48" ht="24" customHeight="1" x14ac:dyDescent="0.3">
      <c r="A66" s="6" t="s">
        <v>53</v>
      </c>
      <c r="B66" s="6" t="s">
        <v>65</v>
      </c>
      <c r="C66" s="6" t="s">
        <v>464</v>
      </c>
      <c r="D66" s="6" t="s">
        <v>465</v>
      </c>
      <c r="E66" s="6" t="s">
        <v>466</v>
      </c>
      <c r="F66" s="6" t="s">
        <v>479</v>
      </c>
      <c r="G66" s="6">
        <v>74242</v>
      </c>
      <c r="H66" s="6" t="s">
        <v>480</v>
      </c>
      <c r="I66" s="6" t="s">
        <v>481</v>
      </c>
      <c r="J66" s="6" t="s">
        <v>470</v>
      </c>
      <c r="K66" s="6">
        <v>773110773</v>
      </c>
      <c r="L66" s="6" t="s">
        <v>73</v>
      </c>
      <c r="M66" s="6" t="s">
        <v>62</v>
      </c>
      <c r="N66" s="6" t="s">
        <v>63</v>
      </c>
      <c r="O66" s="6" t="s">
        <v>475</v>
      </c>
      <c r="P66" s="6"/>
      <c r="Q66" s="6" t="str">
        <f>VLOOKUP(G66,seznampsc!A:B,2,FALSE)</f>
        <v>Nový Jičín</v>
      </c>
      <c r="R66" s="6" t="str">
        <f>VLOOKUP(G66,seznampsc!A:C,3,FALSE)</f>
        <v>Moravskoslezský kraj</v>
      </c>
      <c r="S66" s="6">
        <v>49.6004857</v>
      </c>
      <c r="T66" s="6">
        <v>18.008381</v>
      </c>
      <c r="U66" s="6"/>
      <c r="V66" s="6"/>
      <c r="W66" s="6"/>
      <c r="X66" s="6"/>
      <c r="Y66" s="6"/>
      <c r="Z66" s="6"/>
      <c r="AA66" s="6"/>
      <c r="AB66" s="6"/>
      <c r="AC66" s="6"/>
      <c r="AD66" s="6">
        <v>740</v>
      </c>
      <c r="AE66" s="6">
        <v>740</v>
      </c>
      <c r="AF66" s="6">
        <v>740</v>
      </c>
      <c r="AG66" s="6"/>
      <c r="AH66" s="6"/>
      <c r="AI66" s="6"/>
      <c r="AJ66" s="6">
        <v>107</v>
      </c>
      <c r="AK66" s="6">
        <v>107</v>
      </c>
      <c r="AL66" s="6"/>
      <c r="AM66" s="6"/>
      <c r="AN66" s="6"/>
      <c r="AO66" s="6"/>
      <c r="AP66" s="6"/>
      <c r="AQ66" s="6">
        <v>5</v>
      </c>
      <c r="AR66" s="6"/>
      <c r="AS66" s="6"/>
      <c r="AT66" s="6">
        <v>250</v>
      </c>
      <c r="AU66" s="3" t="s">
        <v>471</v>
      </c>
      <c r="AV66" s="3">
        <v>100000</v>
      </c>
    </row>
    <row r="67" spans="1:48" ht="24" customHeight="1" x14ac:dyDescent="0.3">
      <c r="A67" s="6" t="s">
        <v>53</v>
      </c>
      <c r="B67" s="6" t="s">
        <v>65</v>
      </c>
      <c r="C67" s="6" t="s">
        <v>464</v>
      </c>
      <c r="D67" s="6" t="s">
        <v>465</v>
      </c>
      <c r="E67" s="6" t="s">
        <v>466</v>
      </c>
      <c r="F67" s="6" t="s">
        <v>482</v>
      </c>
      <c r="G67" s="6">
        <v>77900</v>
      </c>
      <c r="H67" s="6" t="s">
        <v>265</v>
      </c>
      <c r="I67" s="6" t="s">
        <v>483</v>
      </c>
      <c r="J67" s="6" t="s">
        <v>470</v>
      </c>
      <c r="K67" s="6">
        <v>773459773</v>
      </c>
      <c r="L67" s="6" t="s">
        <v>73</v>
      </c>
      <c r="M67" s="6" t="s">
        <v>62</v>
      </c>
      <c r="N67" s="6" t="s">
        <v>63</v>
      </c>
      <c r="O67" s="6" t="s">
        <v>475</v>
      </c>
      <c r="P67" s="6"/>
      <c r="Q67" s="6" t="str">
        <f>VLOOKUP(G67,seznampsc!A:B,2,FALSE)</f>
        <v>Olomouc</v>
      </c>
      <c r="R67" s="6" t="str">
        <f>VLOOKUP(G67,seznampsc!A:C,3,FALSE)</f>
        <v>Olomoucký kraj</v>
      </c>
      <c r="S67" s="6">
        <v>49.587136000000001</v>
      </c>
      <c r="T67" s="6">
        <v>17.269391500000001</v>
      </c>
      <c r="U67" s="6"/>
      <c r="V67" s="6"/>
      <c r="W67" s="6"/>
      <c r="X67" s="6"/>
      <c r="Y67" s="6"/>
      <c r="Z67" s="6"/>
      <c r="AA67" s="6"/>
      <c r="AB67" s="6"/>
      <c r="AC67" s="6"/>
      <c r="AD67" s="6">
        <v>740</v>
      </c>
      <c r="AE67" s="6">
        <v>740</v>
      </c>
      <c r="AF67" s="6">
        <v>740</v>
      </c>
      <c r="AG67" s="6"/>
      <c r="AH67" s="6"/>
      <c r="AI67" s="6"/>
      <c r="AJ67" s="6">
        <v>107</v>
      </c>
      <c r="AK67" s="6">
        <v>107</v>
      </c>
      <c r="AL67" s="6"/>
      <c r="AM67" s="6"/>
      <c r="AN67" s="6"/>
      <c r="AO67" s="6"/>
      <c r="AP67" s="6"/>
      <c r="AQ67" s="6">
        <v>5</v>
      </c>
      <c r="AR67" s="6"/>
      <c r="AS67" s="6"/>
      <c r="AT67" s="6">
        <v>250</v>
      </c>
      <c r="AU67" s="3" t="s">
        <v>471</v>
      </c>
      <c r="AV67" s="3">
        <v>100000</v>
      </c>
    </row>
    <row r="68" spans="1:48" ht="24" customHeight="1" x14ac:dyDescent="0.3">
      <c r="A68" s="6" t="s">
        <v>53</v>
      </c>
      <c r="B68" s="6" t="s">
        <v>65</v>
      </c>
      <c r="C68" s="6" t="s">
        <v>464</v>
      </c>
      <c r="D68" s="6" t="s">
        <v>465</v>
      </c>
      <c r="E68" s="6" t="s">
        <v>466</v>
      </c>
      <c r="F68" s="6" t="s">
        <v>484</v>
      </c>
      <c r="G68" s="6">
        <v>74706</v>
      </c>
      <c r="H68" s="6" t="s">
        <v>485</v>
      </c>
      <c r="I68" s="6" t="s">
        <v>486</v>
      </c>
      <c r="J68" s="6" t="s">
        <v>470</v>
      </c>
      <c r="K68" s="6">
        <v>773379773</v>
      </c>
      <c r="L68" s="6" t="s">
        <v>73</v>
      </c>
      <c r="M68" s="6" t="s">
        <v>62</v>
      </c>
      <c r="N68" s="6" t="s">
        <v>63</v>
      </c>
      <c r="O68" s="6" t="s">
        <v>475</v>
      </c>
      <c r="P68" s="6"/>
      <c r="Q68" s="6" t="str">
        <f>VLOOKUP(G68,seznampsc!A:B,2,FALSE)</f>
        <v>Opava</v>
      </c>
      <c r="R68" s="6" t="str">
        <f>VLOOKUP(G68,seznampsc!A:C,3,FALSE)</f>
        <v>Moravskoslezský kraj</v>
      </c>
      <c r="S68" s="6">
        <v>49.923132500000001</v>
      </c>
      <c r="T68" s="6">
        <v>17.947109000000001</v>
      </c>
      <c r="U68" s="6"/>
      <c r="V68" s="6"/>
      <c r="W68" s="6"/>
      <c r="X68" s="6"/>
      <c r="Y68" s="6"/>
      <c r="Z68" s="6"/>
      <c r="AA68" s="6"/>
      <c r="AB68" s="6"/>
      <c r="AC68" s="6"/>
      <c r="AD68" s="6">
        <v>740</v>
      </c>
      <c r="AE68" s="6">
        <v>740</v>
      </c>
      <c r="AF68" s="6">
        <v>740</v>
      </c>
      <c r="AG68" s="6"/>
      <c r="AH68" s="6"/>
      <c r="AI68" s="6"/>
      <c r="AJ68" s="6">
        <v>107</v>
      </c>
      <c r="AK68" s="6">
        <v>107</v>
      </c>
      <c r="AL68" s="6"/>
      <c r="AM68" s="6"/>
      <c r="AN68" s="6"/>
      <c r="AO68" s="6"/>
      <c r="AP68" s="6"/>
      <c r="AQ68" s="6">
        <v>5</v>
      </c>
      <c r="AR68" s="6"/>
      <c r="AS68" s="6"/>
      <c r="AT68" s="6">
        <v>250</v>
      </c>
      <c r="AU68" s="3" t="s">
        <v>487</v>
      </c>
      <c r="AV68" s="3">
        <v>100000</v>
      </c>
    </row>
    <row r="69" spans="1:48" ht="24" customHeight="1" x14ac:dyDescent="0.3">
      <c r="A69" s="1"/>
      <c r="B69" s="1" t="s">
        <v>65</v>
      </c>
      <c r="C69" s="1" t="s">
        <v>488</v>
      </c>
      <c r="D69" s="1" t="s">
        <v>489</v>
      </c>
      <c r="E69" s="1" t="s">
        <v>490</v>
      </c>
      <c r="F69" s="1" t="s">
        <v>491</v>
      </c>
      <c r="G69" s="1">
        <v>46604</v>
      </c>
      <c r="H69" s="1" t="s">
        <v>492</v>
      </c>
      <c r="I69" s="1" t="s">
        <v>493</v>
      </c>
      <c r="J69" s="1" t="s">
        <v>494</v>
      </c>
      <c r="K69" s="1">
        <v>603241333</v>
      </c>
      <c r="L69" s="1" t="s">
        <v>83</v>
      </c>
      <c r="M69" s="1" t="s">
        <v>495</v>
      </c>
      <c r="N69" s="1" t="s">
        <v>63</v>
      </c>
      <c r="O69" s="1" t="s">
        <v>455</v>
      </c>
      <c r="P69" s="6"/>
      <c r="Q69" s="6" t="str">
        <f>VLOOKUP(G69,seznampsc!A:B,2,FALSE)</f>
        <v>Jablonec nad Nisou</v>
      </c>
      <c r="R69" s="6" t="str">
        <f>VLOOKUP(G69,seznampsc!A:C,3,FALSE)</f>
        <v>Liberecký kraj</v>
      </c>
      <c r="AU69" s="3" t="s">
        <v>448</v>
      </c>
      <c r="AV69" s="10"/>
    </row>
    <row r="70" spans="1:48" ht="24" customHeight="1" x14ac:dyDescent="0.3">
      <c r="A70" s="1"/>
      <c r="B70" s="1" t="s">
        <v>65</v>
      </c>
      <c r="C70" s="1" t="s">
        <v>488</v>
      </c>
      <c r="D70" s="1" t="s">
        <v>489</v>
      </c>
      <c r="E70" s="1" t="s">
        <v>490</v>
      </c>
      <c r="F70" s="1" t="s">
        <v>496</v>
      </c>
      <c r="G70" s="1">
        <v>47001</v>
      </c>
      <c r="H70" s="1" t="s">
        <v>221</v>
      </c>
      <c r="I70" s="1" t="s">
        <v>497</v>
      </c>
      <c r="J70" s="1" t="s">
        <v>498</v>
      </c>
      <c r="K70" s="1">
        <v>487829817</v>
      </c>
      <c r="L70" s="1" t="s">
        <v>83</v>
      </c>
      <c r="M70" s="1" t="s">
        <v>495</v>
      </c>
      <c r="N70" s="1" t="s">
        <v>63</v>
      </c>
      <c r="O70" s="1" t="s">
        <v>455</v>
      </c>
      <c r="P70" s="6"/>
      <c r="Q70" s="6" t="str">
        <f>VLOOKUP(G70,seznampsc!A:B,2,FALSE)</f>
        <v>Česká Lípa</v>
      </c>
      <c r="R70" s="6" t="str">
        <f>VLOOKUP(G70,seznampsc!A:C,3,FALSE)</f>
        <v>Liberecký kraj</v>
      </c>
      <c r="AU70" s="3" t="s">
        <v>448</v>
      </c>
      <c r="AV70" s="10"/>
    </row>
    <row r="71" spans="1:48" ht="24" customHeight="1" x14ac:dyDescent="0.3">
      <c r="A71" s="6" t="s">
        <v>53</v>
      </c>
      <c r="B71" s="6" t="s">
        <v>65</v>
      </c>
      <c r="C71" s="6" t="s">
        <v>499</v>
      </c>
      <c r="D71" s="6" t="s">
        <v>500</v>
      </c>
      <c r="E71" s="6" t="s">
        <v>501</v>
      </c>
      <c r="F71" s="6" t="s">
        <v>502</v>
      </c>
      <c r="G71" s="6">
        <v>43401</v>
      </c>
      <c r="H71" s="6" t="s">
        <v>503</v>
      </c>
      <c r="I71" s="6" t="s">
        <v>504</v>
      </c>
      <c r="J71" s="6" t="s">
        <v>505</v>
      </c>
      <c r="K71" s="6">
        <v>775341050</v>
      </c>
      <c r="L71" s="6" t="s">
        <v>73</v>
      </c>
      <c r="M71" s="6" t="s">
        <v>62</v>
      </c>
      <c r="N71" s="6" t="s">
        <v>63</v>
      </c>
      <c r="O71" s="6" t="s">
        <v>506</v>
      </c>
      <c r="P71" s="6"/>
      <c r="Q71" s="6" t="str">
        <f>VLOOKUP(G71,seznampsc!A:B,2,FALSE)</f>
        <v>Most</v>
      </c>
      <c r="R71" s="6" t="str">
        <f>VLOOKUP(G71,seznampsc!A:C,3,FALSE)</f>
        <v>Ústecký kraj</v>
      </c>
      <c r="S71" s="6">
        <v>50.485972199999999</v>
      </c>
      <c r="T71" s="6">
        <v>13.665801099999999</v>
      </c>
      <c r="U71" s="6"/>
      <c r="V71" s="6"/>
      <c r="W71" s="6"/>
      <c r="X71" s="6"/>
      <c r="Y71" s="6"/>
      <c r="Z71" s="6"/>
      <c r="AA71" s="6"/>
      <c r="AB71" s="6"/>
      <c r="AC71" s="6"/>
      <c r="AD71" s="6">
        <v>600</v>
      </c>
      <c r="AE71" s="6">
        <v>600</v>
      </c>
      <c r="AF71" s="6">
        <v>650</v>
      </c>
      <c r="AG71" s="6"/>
      <c r="AH71" s="6"/>
      <c r="AI71" s="6"/>
      <c r="AJ71" s="6">
        <v>120</v>
      </c>
      <c r="AK71" s="6">
        <v>130</v>
      </c>
      <c r="AL71" s="6"/>
      <c r="AM71" s="6"/>
      <c r="AN71" s="6"/>
      <c r="AO71" s="6"/>
      <c r="AP71" s="6"/>
      <c r="AQ71" s="6">
        <v>5</v>
      </c>
      <c r="AR71" s="6"/>
      <c r="AS71" s="6"/>
      <c r="AT71" s="6">
        <v>250</v>
      </c>
      <c r="AV71" s="3">
        <v>50000</v>
      </c>
    </row>
    <row r="72" spans="1:48" ht="24" customHeight="1" x14ac:dyDescent="0.3">
      <c r="A72" s="6" t="s">
        <v>53</v>
      </c>
      <c r="B72" s="6" t="s">
        <v>65</v>
      </c>
      <c r="C72" s="6" t="s">
        <v>507</v>
      </c>
      <c r="D72" s="6" t="s">
        <v>508</v>
      </c>
      <c r="E72" s="6" t="s">
        <v>509</v>
      </c>
      <c r="F72" s="6" t="s">
        <v>510</v>
      </c>
      <c r="G72" s="6">
        <v>79001</v>
      </c>
      <c r="H72" s="6" t="s">
        <v>511</v>
      </c>
      <c r="I72" s="6" t="s">
        <v>512</v>
      </c>
      <c r="J72" s="6" t="s">
        <v>513</v>
      </c>
      <c r="K72" s="6">
        <v>584450037</v>
      </c>
      <c r="L72" s="6" t="s">
        <v>73</v>
      </c>
      <c r="M72" s="6" t="s">
        <v>62</v>
      </c>
      <c r="N72" s="6" t="s">
        <v>63</v>
      </c>
      <c r="O72" s="6" t="s">
        <v>310</v>
      </c>
      <c r="P72" s="6"/>
      <c r="Q72" s="6" t="str">
        <f>VLOOKUP(G72,seznampsc!A:B,2,FALSE)</f>
        <v>Jeseník</v>
      </c>
      <c r="R72" s="6" t="str">
        <f>VLOOKUP(G72,seznampsc!A:C,3,FALSE)</f>
        <v>Olomoucký kraj</v>
      </c>
      <c r="S72" s="6">
        <v>50.2289575</v>
      </c>
      <c r="T72" s="6">
        <v>17.200903499999999</v>
      </c>
      <c r="U72" s="6"/>
      <c r="V72" s="6"/>
      <c r="W72" s="6"/>
      <c r="X72" s="6"/>
      <c r="Y72" s="6"/>
      <c r="Z72" s="6"/>
      <c r="AA72" s="6"/>
      <c r="AB72" s="6"/>
      <c r="AC72" s="6"/>
      <c r="AD72" s="6">
        <v>550</v>
      </c>
      <c r="AE72" s="6">
        <v>600</v>
      </c>
      <c r="AF72" s="6">
        <v>600</v>
      </c>
      <c r="AG72" s="6"/>
      <c r="AH72" s="6"/>
      <c r="AI72" s="6"/>
      <c r="AJ72" s="6">
        <v>107</v>
      </c>
      <c r="AK72" s="6">
        <v>116</v>
      </c>
      <c r="AL72" s="6"/>
      <c r="AM72" s="6"/>
      <c r="AN72" s="6"/>
      <c r="AO72" s="6">
        <v>3</v>
      </c>
      <c r="AP72" s="6"/>
      <c r="AQ72" s="6">
        <v>5</v>
      </c>
      <c r="AR72" s="6"/>
      <c r="AS72" s="6"/>
      <c r="AT72" s="6">
        <v>250</v>
      </c>
      <c r="AV72" s="3">
        <v>50000</v>
      </c>
    </row>
    <row r="73" spans="1:48" ht="24" customHeight="1" x14ac:dyDescent="0.3">
      <c r="A73" s="6"/>
      <c r="B73" s="6" t="s">
        <v>65</v>
      </c>
      <c r="C73" s="6" t="s">
        <v>514</v>
      </c>
      <c r="D73" s="6" t="s">
        <v>515</v>
      </c>
      <c r="E73" s="6" t="s">
        <v>516</v>
      </c>
      <c r="F73" s="6" t="s">
        <v>517</v>
      </c>
      <c r="G73" s="6">
        <v>30100</v>
      </c>
      <c r="H73" s="6" t="s">
        <v>385</v>
      </c>
      <c r="I73" s="6" t="s">
        <v>518</v>
      </c>
      <c r="J73" s="6" t="s">
        <v>519</v>
      </c>
      <c r="K73" s="6">
        <v>733167724</v>
      </c>
      <c r="L73" s="6" t="s">
        <v>83</v>
      </c>
      <c r="M73" s="6" t="s">
        <v>520</v>
      </c>
      <c r="N73" s="6" t="s">
        <v>63</v>
      </c>
      <c r="O73" s="6" t="s">
        <v>455</v>
      </c>
      <c r="P73" s="6"/>
      <c r="Q73" s="6" t="str">
        <f>VLOOKUP(G73,seznampsc!A:B,2,FALSE)</f>
        <v>Plzeň-město</v>
      </c>
      <c r="R73" s="6" t="str">
        <f>VLOOKUP(G73,seznampsc!A:C,3,FALSE)</f>
        <v>Plzeňský kraj</v>
      </c>
      <c r="S73" s="6">
        <v>49.735753799999998</v>
      </c>
      <c r="T73" s="6">
        <v>13.3551856</v>
      </c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V73" s="10">
        <v>200000</v>
      </c>
    </row>
    <row r="74" spans="1:48" ht="24" customHeight="1" x14ac:dyDescent="0.3">
      <c r="A74" s="6"/>
      <c r="B74" s="6" t="s">
        <v>65</v>
      </c>
      <c r="C74" s="6" t="s">
        <v>514</v>
      </c>
      <c r="D74" s="6" t="s">
        <v>515</v>
      </c>
      <c r="E74" s="6" t="s">
        <v>516</v>
      </c>
      <c r="F74" s="6" t="s">
        <v>521</v>
      </c>
      <c r="G74" s="6">
        <v>34601</v>
      </c>
      <c r="H74" s="6" t="s">
        <v>522</v>
      </c>
      <c r="I74" s="6" t="s">
        <v>523</v>
      </c>
      <c r="J74" s="6" t="s">
        <v>524</v>
      </c>
      <c r="K74" s="6">
        <v>734875664</v>
      </c>
      <c r="L74" s="6" t="s">
        <v>83</v>
      </c>
      <c r="M74" s="6" t="s">
        <v>525</v>
      </c>
      <c r="N74" s="6" t="s">
        <v>63</v>
      </c>
      <c r="O74" s="6" t="s">
        <v>310</v>
      </c>
      <c r="P74" s="6"/>
      <c r="Q74" s="6" t="str">
        <f>VLOOKUP(G74,seznampsc!A:B,2,FALSE)</f>
        <v>Domažlice</v>
      </c>
      <c r="R74" s="6" t="str">
        <f>VLOOKUP(G74,seznampsc!A:C,3,FALSE)</f>
        <v>Plzeňský kraj</v>
      </c>
      <c r="S74" s="6">
        <v>49.527552900000003</v>
      </c>
      <c r="T74" s="6">
        <v>12.947877</v>
      </c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V74" s="10">
        <v>200000</v>
      </c>
    </row>
    <row r="75" spans="1:48" ht="24" customHeight="1" x14ac:dyDescent="0.3">
      <c r="A75" s="6"/>
      <c r="B75" s="6" t="s">
        <v>65</v>
      </c>
      <c r="C75" s="6" t="s">
        <v>514</v>
      </c>
      <c r="D75" s="6" t="s">
        <v>515</v>
      </c>
      <c r="E75" s="6" t="s">
        <v>516</v>
      </c>
      <c r="F75" s="6" t="s">
        <v>526</v>
      </c>
      <c r="G75" s="6">
        <v>33901</v>
      </c>
      <c r="H75" s="6" t="s">
        <v>527</v>
      </c>
      <c r="I75" s="6" t="s">
        <v>528</v>
      </c>
      <c r="J75" s="6" t="s">
        <v>529</v>
      </c>
      <c r="K75" s="6">
        <v>702209919</v>
      </c>
      <c r="L75" s="6" t="s">
        <v>83</v>
      </c>
      <c r="M75" s="6" t="s">
        <v>530</v>
      </c>
      <c r="N75" s="6" t="s">
        <v>63</v>
      </c>
      <c r="O75" s="6" t="s">
        <v>531</v>
      </c>
      <c r="P75" s="6"/>
      <c r="Q75" s="6" t="str">
        <f>VLOOKUP(G75,seznampsc!A:B,2,FALSE)</f>
        <v>Klatovy</v>
      </c>
      <c r="R75" s="6" t="str">
        <f>VLOOKUP(G75,seznampsc!A:C,3,FALSE)</f>
        <v>Plzeňský kraj</v>
      </c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3" t="s">
        <v>532</v>
      </c>
      <c r="AV75" s="10"/>
    </row>
    <row r="76" spans="1:48" ht="24" customHeight="1" x14ac:dyDescent="0.3">
      <c r="A76" s="6"/>
      <c r="B76" s="6" t="s">
        <v>65</v>
      </c>
      <c r="C76" s="6" t="s">
        <v>533</v>
      </c>
      <c r="D76" s="6" t="s">
        <v>534</v>
      </c>
      <c r="E76" s="6" t="s">
        <v>535</v>
      </c>
      <c r="F76" s="6" t="s">
        <v>536</v>
      </c>
      <c r="G76" s="6">
        <v>60200</v>
      </c>
      <c r="H76" s="6" t="s">
        <v>272</v>
      </c>
      <c r="I76" s="6" t="s">
        <v>537</v>
      </c>
      <c r="J76" s="6" t="s">
        <v>538</v>
      </c>
      <c r="K76" s="6">
        <v>543424229</v>
      </c>
      <c r="L76" s="6" t="s">
        <v>83</v>
      </c>
      <c r="M76" s="6" t="s">
        <v>257</v>
      </c>
      <c r="N76" s="6" t="s">
        <v>63</v>
      </c>
      <c r="O76" s="6" t="s">
        <v>539</v>
      </c>
      <c r="P76" s="6"/>
      <c r="Q76" s="6" t="str">
        <f>VLOOKUP(G76,seznampsc!A:B,2,FALSE)</f>
        <v>Brno-město</v>
      </c>
      <c r="R76" s="6" t="str">
        <f>VLOOKUP(G76,seznampsc!A:C,3,FALSE)</f>
        <v>Jihomoravský kraj</v>
      </c>
      <c r="S76" s="6">
        <v>49.187949799999998</v>
      </c>
      <c r="T76" s="6">
        <v>16.623719099999999</v>
      </c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3" t="s">
        <v>540</v>
      </c>
      <c r="AV76" s="10">
        <v>200000</v>
      </c>
    </row>
    <row r="77" spans="1:48" ht="24" customHeight="1" x14ac:dyDescent="0.3">
      <c r="A77" s="6"/>
      <c r="B77" s="6" t="s">
        <v>65</v>
      </c>
      <c r="C77" s="6" t="s">
        <v>541</v>
      </c>
      <c r="D77" s="6" t="s">
        <v>542</v>
      </c>
      <c r="E77" s="6" t="s">
        <v>543</v>
      </c>
      <c r="F77" s="6" t="s">
        <v>544</v>
      </c>
      <c r="G77" s="6">
        <v>76302</v>
      </c>
      <c r="H77" s="6" t="s">
        <v>230</v>
      </c>
      <c r="I77" s="6" t="s">
        <v>545</v>
      </c>
      <c r="J77" s="6" t="s">
        <v>546</v>
      </c>
      <c r="K77" s="6">
        <v>702015801</v>
      </c>
      <c r="L77" s="6" t="s">
        <v>83</v>
      </c>
      <c r="M77" s="6" t="s">
        <v>547</v>
      </c>
      <c r="N77" s="6" t="s">
        <v>63</v>
      </c>
      <c r="O77" s="6" t="s">
        <v>455</v>
      </c>
      <c r="P77" s="6"/>
      <c r="Q77" s="6" t="str">
        <f>VLOOKUP(G77,seznampsc!A:B,2,FALSE)</f>
        <v>Zlín</v>
      </c>
      <c r="R77" s="6" t="str">
        <f>VLOOKUP(G77,seznampsc!A:C,3,FALSE)</f>
        <v>Zlínský kraj</v>
      </c>
      <c r="S77" s="6">
        <v>49.217389799999999</v>
      </c>
      <c r="T77" s="6">
        <v>17.627869</v>
      </c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V77" s="10">
        <v>200000</v>
      </c>
    </row>
    <row r="78" spans="1:48" ht="24" customHeight="1" x14ac:dyDescent="0.3">
      <c r="A78" s="6"/>
      <c r="B78" s="6" t="s">
        <v>65</v>
      </c>
      <c r="C78" s="6" t="s">
        <v>541</v>
      </c>
      <c r="D78" s="6" t="s">
        <v>542</v>
      </c>
      <c r="E78" s="6" t="s">
        <v>548</v>
      </c>
      <c r="F78" s="6" t="s">
        <v>549</v>
      </c>
      <c r="G78" s="6">
        <v>77200</v>
      </c>
      <c r="H78" s="6" t="s">
        <v>265</v>
      </c>
      <c r="I78" s="6" t="s">
        <v>550</v>
      </c>
      <c r="J78" s="6" t="s">
        <v>551</v>
      </c>
      <c r="K78" s="6">
        <v>737230890</v>
      </c>
      <c r="L78" s="6" t="s">
        <v>83</v>
      </c>
      <c r="M78" s="6" t="s">
        <v>552</v>
      </c>
      <c r="N78" s="6" t="s">
        <v>63</v>
      </c>
      <c r="O78" s="6" t="s">
        <v>553</v>
      </c>
      <c r="P78" s="6"/>
      <c r="Q78" s="6" t="str">
        <f>VLOOKUP(G78,seznampsc!A:B,2,FALSE)</f>
        <v>Olomouc</v>
      </c>
      <c r="R78" s="6" t="str">
        <f>VLOOKUP(G78,seznampsc!A:C,3,FALSE)</f>
        <v>Olomoucký kraj</v>
      </c>
      <c r="S78" s="6">
        <v>49.589389099999998</v>
      </c>
      <c r="T78" s="6">
        <v>17.2629342</v>
      </c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3" t="s">
        <v>554</v>
      </c>
      <c r="AV78" s="10">
        <v>200000</v>
      </c>
    </row>
    <row r="79" spans="1:48" ht="24" customHeight="1" x14ac:dyDescent="0.3">
      <c r="A79" s="6"/>
      <c r="B79" s="6" t="s">
        <v>65</v>
      </c>
      <c r="C79" s="6" t="s">
        <v>541</v>
      </c>
      <c r="D79" s="6" t="s">
        <v>542</v>
      </c>
      <c r="E79" s="6" t="s">
        <v>548</v>
      </c>
      <c r="F79" s="6" t="s">
        <v>555</v>
      </c>
      <c r="G79" s="6">
        <v>75501</v>
      </c>
      <c r="H79" s="6" t="s">
        <v>556</v>
      </c>
      <c r="I79" s="6" t="s">
        <v>557</v>
      </c>
      <c r="J79" s="6" t="s">
        <v>558</v>
      </c>
      <c r="K79" s="6">
        <v>724171818</v>
      </c>
      <c r="L79" s="6" t="s">
        <v>83</v>
      </c>
      <c r="M79" s="6" t="s">
        <v>84</v>
      </c>
      <c r="N79" s="6" t="s">
        <v>63</v>
      </c>
      <c r="O79" s="6" t="s">
        <v>109</v>
      </c>
      <c r="P79" s="6"/>
      <c r="Q79" s="6" t="str">
        <f>VLOOKUP(G79,seznampsc!A:B,2,FALSE)</f>
        <v>Vsetín</v>
      </c>
      <c r="R79" s="6" t="str">
        <f>VLOOKUP(G79,seznampsc!A:C,3,FALSE)</f>
        <v>Zlínský kraj</v>
      </c>
      <c r="S79" s="6">
        <v>49.336721399999902</v>
      </c>
      <c r="T79" s="6">
        <v>17.988704299999998</v>
      </c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V79" s="10">
        <v>200000</v>
      </c>
    </row>
    <row r="80" spans="1:48" ht="24" customHeight="1" x14ac:dyDescent="0.3">
      <c r="A80" s="6"/>
      <c r="B80" s="6" t="s">
        <v>65</v>
      </c>
      <c r="C80" s="6" t="s">
        <v>541</v>
      </c>
      <c r="D80" s="6" t="s">
        <v>542</v>
      </c>
      <c r="E80" s="6" t="s">
        <v>559</v>
      </c>
      <c r="F80" s="6" t="s">
        <v>560</v>
      </c>
      <c r="G80" s="6">
        <v>76302</v>
      </c>
      <c r="H80" s="6" t="s">
        <v>230</v>
      </c>
      <c r="I80" s="6" t="s">
        <v>561</v>
      </c>
      <c r="J80" s="6" t="s">
        <v>562</v>
      </c>
      <c r="K80" s="6">
        <v>724760681</v>
      </c>
      <c r="L80" s="6" t="s">
        <v>83</v>
      </c>
      <c r="M80" s="6" t="s">
        <v>84</v>
      </c>
      <c r="N80" s="6" t="s">
        <v>63</v>
      </c>
      <c r="O80" s="6" t="s">
        <v>455</v>
      </c>
      <c r="P80" s="6"/>
      <c r="Q80" s="6" t="str">
        <f>VLOOKUP(G80,seznampsc!A:B,2,FALSE)</f>
        <v>Zlín</v>
      </c>
      <c r="R80" s="6" t="str">
        <f>VLOOKUP(G80,seznampsc!A:C,3,FALSE)</f>
        <v>Zlínský kraj</v>
      </c>
      <c r="S80" s="6">
        <v>49.217567899999999</v>
      </c>
      <c r="T80" s="6">
        <v>17.628501199999999</v>
      </c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V80" s="10">
        <v>200000</v>
      </c>
    </row>
    <row r="81" spans="1:48" ht="24" customHeight="1" x14ac:dyDescent="0.3">
      <c r="A81" s="6"/>
      <c r="B81" s="6" t="s">
        <v>65</v>
      </c>
      <c r="C81" s="6" t="s">
        <v>563</v>
      </c>
      <c r="D81" s="6" t="s">
        <v>564</v>
      </c>
      <c r="E81" s="6" t="s">
        <v>565</v>
      </c>
      <c r="F81" s="6" t="s">
        <v>566</v>
      </c>
      <c r="G81" s="6">
        <v>76701</v>
      </c>
      <c r="H81" s="6" t="s">
        <v>567</v>
      </c>
      <c r="I81" s="6" t="s">
        <v>568</v>
      </c>
      <c r="J81" s="6" t="s">
        <v>569</v>
      </c>
      <c r="K81" s="6">
        <v>606784110</v>
      </c>
      <c r="L81" s="6" t="s">
        <v>83</v>
      </c>
      <c r="M81" s="6" t="s">
        <v>84</v>
      </c>
      <c r="N81" s="6" t="s">
        <v>63</v>
      </c>
      <c r="O81" s="6" t="s">
        <v>570</v>
      </c>
      <c r="P81" s="6"/>
      <c r="Q81" s="6" t="str">
        <f>VLOOKUP(G81,seznampsc!A:B,2,FALSE)</f>
        <v>Kroměříž</v>
      </c>
      <c r="R81" s="6" t="str">
        <f>VLOOKUP(G81,seznampsc!A:C,3,FALSE)</f>
        <v>Zlínský kraj</v>
      </c>
      <c r="S81" s="6">
        <v>49.306480899999997</v>
      </c>
      <c r="T81" s="6">
        <v>17.406760599999998</v>
      </c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V81" s="10">
        <v>200000</v>
      </c>
    </row>
    <row r="82" spans="1:48" ht="24" customHeight="1" x14ac:dyDescent="0.3">
      <c r="A82" s="1" t="s">
        <v>381</v>
      </c>
      <c r="B82" s="1" t="s">
        <v>65</v>
      </c>
      <c r="C82" s="1" t="s">
        <v>571</v>
      </c>
      <c r="D82" s="1">
        <v>76461971</v>
      </c>
      <c r="E82" s="1" t="s">
        <v>572</v>
      </c>
      <c r="F82" s="1" t="s">
        <v>573</v>
      </c>
      <c r="G82" s="1">
        <v>72200</v>
      </c>
      <c r="H82" s="1" t="s">
        <v>574</v>
      </c>
      <c r="I82" s="1" t="s">
        <v>572</v>
      </c>
      <c r="J82" s="1" t="s">
        <v>575</v>
      </c>
      <c r="K82" s="1" t="s">
        <v>576</v>
      </c>
      <c r="L82" s="1" t="s">
        <v>577</v>
      </c>
      <c r="M82" s="1" t="s">
        <v>389</v>
      </c>
      <c r="N82" s="1" t="s">
        <v>63</v>
      </c>
      <c r="O82" s="1" t="s">
        <v>109</v>
      </c>
      <c r="P82" s="1"/>
      <c r="Q82" s="1"/>
      <c r="R82" s="1"/>
      <c r="S82" s="1">
        <v>49.835915200000002</v>
      </c>
      <c r="T82" s="1">
        <v>18.190214900000001</v>
      </c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 t="s">
        <v>578</v>
      </c>
    </row>
    <row r="83" spans="1:48" ht="24" customHeight="1" x14ac:dyDescent="0.3">
      <c r="A83" s="6"/>
      <c r="B83" s="6" t="s">
        <v>65</v>
      </c>
      <c r="C83" s="6" t="s">
        <v>579</v>
      </c>
      <c r="D83" s="6" t="s">
        <v>580</v>
      </c>
      <c r="E83" s="6" t="s">
        <v>581</v>
      </c>
      <c r="F83" s="6" t="s">
        <v>582</v>
      </c>
      <c r="G83" s="6">
        <v>33701</v>
      </c>
      <c r="H83" s="6" t="s">
        <v>583</v>
      </c>
      <c r="I83" s="6" t="s">
        <v>584</v>
      </c>
      <c r="J83" s="6" t="s">
        <v>585</v>
      </c>
      <c r="K83" s="6">
        <v>608308092</v>
      </c>
      <c r="L83" s="6" t="s">
        <v>586</v>
      </c>
      <c r="M83" s="6" t="s">
        <v>587</v>
      </c>
      <c r="N83" s="6" t="s">
        <v>63</v>
      </c>
      <c r="O83" s="6" t="s">
        <v>588</v>
      </c>
      <c r="P83" s="6"/>
      <c r="Q83" s="6" t="str">
        <f>VLOOKUP(G83,seznampsc!A:B,2,FALSE)</f>
        <v>Rokycany</v>
      </c>
      <c r="R83" s="6" t="str">
        <f>VLOOKUP(G83,seznampsc!A:C,3,FALSE)</f>
        <v>Plzeňský kraj</v>
      </c>
      <c r="S83" s="6">
        <v>49.737734099999997</v>
      </c>
      <c r="T83" s="6">
        <v>13.6026448</v>
      </c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 t="s">
        <v>589</v>
      </c>
      <c r="AV83" s="8">
        <v>200000</v>
      </c>
    </row>
    <row r="84" spans="1:48" ht="24" customHeight="1" x14ac:dyDescent="0.3">
      <c r="A84" s="6"/>
      <c r="B84" s="6" t="s">
        <v>65</v>
      </c>
      <c r="C84" s="6" t="s">
        <v>579</v>
      </c>
      <c r="D84" s="6" t="s">
        <v>580</v>
      </c>
      <c r="E84" s="6" t="s">
        <v>581</v>
      </c>
      <c r="F84" s="6" t="s">
        <v>582</v>
      </c>
      <c r="G84" s="6">
        <v>33701</v>
      </c>
      <c r="H84" s="6" t="s">
        <v>583</v>
      </c>
      <c r="I84" s="6" t="s">
        <v>584</v>
      </c>
      <c r="J84" s="6" t="s">
        <v>585</v>
      </c>
      <c r="K84" s="6">
        <v>608308092</v>
      </c>
      <c r="L84" s="6" t="s">
        <v>73</v>
      </c>
      <c r="M84" s="6" t="s">
        <v>62</v>
      </c>
      <c r="N84" s="6" t="s">
        <v>63</v>
      </c>
      <c r="O84" s="6" t="s">
        <v>588</v>
      </c>
      <c r="P84" s="6"/>
      <c r="Q84" s="6" t="str">
        <f>VLOOKUP(G84,seznampsc!A:B,2,FALSE)</f>
        <v>Rokycany</v>
      </c>
      <c r="R84" s="6" t="str">
        <f>VLOOKUP(G84,seznampsc!A:C,3,FALSE)</f>
        <v>Plzeňský kraj</v>
      </c>
      <c r="S84" s="6">
        <v>49.737734099999997</v>
      </c>
      <c r="T84" s="6">
        <v>13.6026448</v>
      </c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3" t="s">
        <v>589</v>
      </c>
      <c r="AV84" s="3">
        <v>200000</v>
      </c>
    </row>
    <row r="85" spans="1:48" ht="24" customHeight="1" x14ac:dyDescent="0.3">
      <c r="A85" s="6"/>
      <c r="B85" s="6" t="s">
        <v>65</v>
      </c>
      <c r="C85" s="6" t="s">
        <v>590</v>
      </c>
      <c r="D85" s="6" t="s">
        <v>591</v>
      </c>
      <c r="E85" s="6" t="s">
        <v>592</v>
      </c>
      <c r="F85" s="6" t="s">
        <v>593</v>
      </c>
      <c r="G85" s="6">
        <v>67801</v>
      </c>
      <c r="H85" s="6" t="s">
        <v>124</v>
      </c>
      <c r="I85" s="6" t="s">
        <v>594</v>
      </c>
      <c r="J85" s="6" t="s">
        <v>595</v>
      </c>
      <c r="K85" s="6">
        <v>608328671.77368999</v>
      </c>
      <c r="L85" s="6" t="s">
        <v>83</v>
      </c>
      <c r="M85" s="6" t="s">
        <v>84</v>
      </c>
      <c r="N85" s="6" t="s">
        <v>63</v>
      </c>
      <c r="O85" s="6" t="s">
        <v>181</v>
      </c>
      <c r="P85" s="6"/>
      <c r="Q85" s="6" t="str">
        <f>VLOOKUP(G85,seznampsc!A:B,2,FALSE)</f>
        <v>Blansko</v>
      </c>
      <c r="R85" s="6" t="str">
        <f>VLOOKUP(G85,seznampsc!A:C,3,FALSE)</f>
        <v>Jihomoravský kraj</v>
      </c>
      <c r="S85" s="6">
        <v>49.357516199999999</v>
      </c>
      <c r="T85" s="6">
        <v>16.643371900000002</v>
      </c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V85" s="10">
        <v>200000</v>
      </c>
    </row>
    <row r="86" spans="1:48" ht="24" customHeight="1" x14ac:dyDescent="0.3">
      <c r="A86" s="6" t="s">
        <v>53</v>
      </c>
      <c r="B86" s="6" t="s">
        <v>65</v>
      </c>
      <c r="C86" s="6" t="s">
        <v>596</v>
      </c>
      <c r="D86" s="6" t="s">
        <v>597</v>
      </c>
      <c r="E86" s="6" t="s">
        <v>598</v>
      </c>
      <c r="F86" s="6" t="s">
        <v>599</v>
      </c>
      <c r="G86" s="6">
        <v>47001</v>
      </c>
      <c r="H86" s="6" t="s">
        <v>221</v>
      </c>
      <c r="I86" s="6" t="s">
        <v>600</v>
      </c>
      <c r="J86" s="6" t="s">
        <v>601</v>
      </c>
      <c r="K86" s="6">
        <v>777323374.48751998</v>
      </c>
      <c r="L86" s="6" t="s">
        <v>73</v>
      </c>
      <c r="M86" s="6" t="s">
        <v>62</v>
      </c>
      <c r="N86" s="6" t="s">
        <v>63</v>
      </c>
      <c r="O86" s="6" t="s">
        <v>588</v>
      </c>
      <c r="P86" s="6"/>
      <c r="Q86" s="6" t="str">
        <f>VLOOKUP(G86,seznampsc!A:B,2,FALSE)</f>
        <v>Česká Lípa</v>
      </c>
      <c r="R86" s="6" t="str">
        <f>VLOOKUP(G86,seznampsc!A:C,3,FALSE)</f>
        <v>Liberecký kraj</v>
      </c>
      <c r="S86" s="6">
        <v>50.673749099999903</v>
      </c>
      <c r="T86" s="6">
        <v>14.5350821</v>
      </c>
      <c r="U86" s="6"/>
      <c r="V86" s="6"/>
      <c r="W86" s="6"/>
      <c r="X86" s="6"/>
      <c r="Y86" s="6"/>
      <c r="Z86" s="6"/>
      <c r="AA86" s="6"/>
      <c r="AB86" s="6"/>
      <c r="AC86" s="6"/>
      <c r="AD86" s="6">
        <v>650</v>
      </c>
      <c r="AE86" s="6">
        <v>650</v>
      </c>
      <c r="AF86" s="6">
        <v>650</v>
      </c>
      <c r="AG86" s="6"/>
      <c r="AH86" s="6"/>
      <c r="AI86" s="6"/>
      <c r="AJ86" s="6">
        <v>107</v>
      </c>
      <c r="AK86" s="6">
        <v>107</v>
      </c>
      <c r="AL86" s="6"/>
      <c r="AM86" s="6"/>
      <c r="AN86" s="6"/>
      <c r="AO86" s="6"/>
      <c r="AP86" s="6"/>
      <c r="AQ86" s="6">
        <v>5</v>
      </c>
      <c r="AR86" s="6"/>
      <c r="AS86" s="6" t="s">
        <v>199</v>
      </c>
      <c r="AT86" s="6"/>
      <c r="AV86" s="3">
        <v>100000</v>
      </c>
    </row>
    <row r="87" spans="1:48" ht="24" customHeight="1" x14ac:dyDescent="0.3">
      <c r="A87" s="6" t="s">
        <v>53</v>
      </c>
      <c r="B87" s="6" t="s">
        <v>65</v>
      </c>
      <c r="C87" s="6" t="s">
        <v>596</v>
      </c>
      <c r="D87" s="6" t="s">
        <v>597</v>
      </c>
      <c r="E87" s="6" t="s">
        <v>598</v>
      </c>
      <c r="F87" s="6" t="s">
        <v>602</v>
      </c>
      <c r="G87" s="6">
        <v>47002</v>
      </c>
      <c r="H87" s="6" t="s">
        <v>221</v>
      </c>
      <c r="I87" s="6" t="s">
        <v>600</v>
      </c>
      <c r="J87" s="6" t="s">
        <v>603</v>
      </c>
      <c r="K87" s="6">
        <v>777323372</v>
      </c>
      <c r="L87" s="6" t="s">
        <v>73</v>
      </c>
      <c r="M87" s="6" t="s">
        <v>62</v>
      </c>
      <c r="N87" s="6" t="s">
        <v>63</v>
      </c>
      <c r="O87" s="6" t="s">
        <v>275</v>
      </c>
      <c r="P87" s="6"/>
      <c r="Q87" s="6" t="str">
        <f>VLOOKUP(G87,seznampsc!A:B,2,FALSE)</f>
        <v>Česká Lípa</v>
      </c>
      <c r="R87" s="6" t="str">
        <f>VLOOKUP(G87,seznampsc!A:C,3,FALSE)</f>
        <v>Liberecký kraj</v>
      </c>
      <c r="S87" s="6">
        <v>50.617491200000003</v>
      </c>
      <c r="T87" s="6">
        <v>14.4971268</v>
      </c>
      <c r="U87" s="6"/>
      <c r="V87" s="6"/>
      <c r="W87" s="6"/>
      <c r="X87" s="6"/>
      <c r="Y87" s="6"/>
      <c r="Z87" s="6"/>
      <c r="AA87" s="6"/>
      <c r="AB87" s="6"/>
      <c r="AC87" s="6"/>
      <c r="AD87" s="6">
        <v>650</v>
      </c>
      <c r="AE87" s="6">
        <v>650</v>
      </c>
      <c r="AF87" s="6">
        <v>650</v>
      </c>
      <c r="AG87" s="6"/>
      <c r="AH87" s="6"/>
      <c r="AI87" s="6"/>
      <c r="AJ87" s="6">
        <v>107</v>
      </c>
      <c r="AK87" s="6">
        <v>107</v>
      </c>
      <c r="AL87" s="6"/>
      <c r="AM87" s="6"/>
      <c r="AN87" s="6"/>
      <c r="AO87" s="6"/>
      <c r="AP87" s="6"/>
      <c r="AQ87" s="6">
        <v>5</v>
      </c>
      <c r="AR87" s="6"/>
      <c r="AS87" s="6" t="s">
        <v>199</v>
      </c>
      <c r="AT87" s="6"/>
      <c r="AV87" s="3">
        <v>100000</v>
      </c>
    </row>
    <row r="88" spans="1:48" ht="24" customHeight="1" x14ac:dyDescent="0.3">
      <c r="A88" s="6" t="s">
        <v>53</v>
      </c>
      <c r="B88" s="6" t="s">
        <v>65</v>
      </c>
      <c r="C88" s="6" t="s">
        <v>604</v>
      </c>
      <c r="D88" s="6" t="s">
        <v>605</v>
      </c>
      <c r="E88" s="6" t="s">
        <v>606</v>
      </c>
      <c r="F88" s="6" t="s">
        <v>607</v>
      </c>
      <c r="G88" s="6">
        <v>40801</v>
      </c>
      <c r="H88" s="6" t="s">
        <v>608</v>
      </c>
      <c r="I88" s="6" t="s">
        <v>609</v>
      </c>
      <c r="J88" s="6" t="s">
        <v>610</v>
      </c>
      <c r="K88" s="6">
        <v>602132899.41233206</v>
      </c>
      <c r="L88" s="6" t="s">
        <v>73</v>
      </c>
      <c r="M88" s="6" t="s">
        <v>62</v>
      </c>
      <c r="N88" s="6" t="s">
        <v>63</v>
      </c>
      <c r="O88" s="6" t="s">
        <v>224</v>
      </c>
      <c r="P88" s="6"/>
      <c r="Q88" s="6" t="str">
        <f>VLOOKUP(G88,seznampsc!A:B,2,FALSE)</f>
        <v>Děčín</v>
      </c>
      <c r="R88" s="6" t="str">
        <f>VLOOKUP(G88,seznampsc!A:C,3,FALSE)</f>
        <v>Ústecký kraj</v>
      </c>
      <c r="S88" s="6">
        <v>50.948990799999997</v>
      </c>
      <c r="T88" s="6">
        <v>14.567814</v>
      </c>
      <c r="U88" s="6"/>
      <c r="V88" s="6"/>
      <c r="W88" s="6"/>
      <c r="X88" s="6"/>
      <c r="Y88" s="6"/>
      <c r="Z88" s="6"/>
      <c r="AA88" s="6"/>
      <c r="AB88" s="6"/>
      <c r="AC88" s="6"/>
      <c r="AD88" s="6">
        <v>450</v>
      </c>
      <c r="AE88" s="6">
        <v>450</v>
      </c>
      <c r="AF88" s="6">
        <v>450</v>
      </c>
      <c r="AG88" s="6"/>
      <c r="AH88" s="6"/>
      <c r="AI88" s="6"/>
      <c r="AJ88" s="6">
        <v>120</v>
      </c>
      <c r="AK88" s="6">
        <v>130</v>
      </c>
      <c r="AL88" s="6"/>
      <c r="AM88" s="6"/>
      <c r="AN88" s="6"/>
      <c r="AO88" s="6">
        <v>3</v>
      </c>
      <c r="AP88" s="6"/>
      <c r="AQ88" s="6"/>
      <c r="AR88" s="6"/>
      <c r="AS88" s="6" t="s">
        <v>199</v>
      </c>
      <c r="AT88" s="6"/>
      <c r="AV88" s="3">
        <v>50000</v>
      </c>
    </row>
    <row r="89" spans="1:48" ht="24" customHeight="1" x14ac:dyDescent="0.3">
      <c r="A89" s="3" t="s">
        <v>53</v>
      </c>
      <c r="B89" s="3" t="s">
        <v>54</v>
      </c>
      <c r="C89" s="3" t="s">
        <v>55</v>
      </c>
      <c r="D89" s="3" t="s">
        <v>611</v>
      </c>
      <c r="E89" s="3" t="s">
        <v>612</v>
      </c>
      <c r="F89" s="3" t="s">
        <v>613</v>
      </c>
      <c r="G89" s="3">
        <v>62700</v>
      </c>
      <c r="H89" s="3" t="s">
        <v>272</v>
      </c>
      <c r="J89" s="3" t="s">
        <v>614</v>
      </c>
      <c r="K89" s="3">
        <v>776001187</v>
      </c>
      <c r="L89" s="3" t="s">
        <v>61</v>
      </c>
      <c r="M89" s="6" t="s">
        <v>62</v>
      </c>
      <c r="N89" s="6" t="s">
        <v>63</v>
      </c>
      <c r="O89" s="3" t="s">
        <v>64</v>
      </c>
      <c r="Q89" s="6" t="str">
        <f>VLOOKUP(G89,seznampsc!A:B,2,FALSE)</f>
        <v>Brno-město</v>
      </c>
      <c r="R89" s="6" t="str">
        <f>VLOOKUP(G89,seznampsc!A:C,3,FALSE)</f>
        <v>Jihomoravský kraj</v>
      </c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>
        <v>680</v>
      </c>
      <c r="AE89" s="6">
        <v>680</v>
      </c>
      <c r="AF89" s="6">
        <v>680</v>
      </c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>
        <v>10</v>
      </c>
      <c r="AR89" s="6"/>
      <c r="AS89" s="6"/>
      <c r="AT89" s="6"/>
      <c r="AV89" s="3">
        <v>100000</v>
      </c>
    </row>
    <row r="90" spans="1:48" ht="24" customHeight="1" x14ac:dyDescent="0.3">
      <c r="A90" s="6" t="s">
        <v>53</v>
      </c>
      <c r="B90" s="6" t="s">
        <v>65</v>
      </c>
      <c r="C90" s="6" t="s">
        <v>615</v>
      </c>
      <c r="D90" s="6" t="s">
        <v>616</v>
      </c>
      <c r="E90" s="6" t="s">
        <v>617</v>
      </c>
      <c r="F90" s="6" t="s">
        <v>618</v>
      </c>
      <c r="G90" s="6">
        <v>46311</v>
      </c>
      <c r="H90" s="6" t="s">
        <v>619</v>
      </c>
      <c r="I90" s="6" t="s">
        <v>620</v>
      </c>
      <c r="J90" s="6" t="s">
        <v>621</v>
      </c>
      <c r="K90" s="6">
        <v>602411214.72352397</v>
      </c>
      <c r="L90" s="6" t="s">
        <v>73</v>
      </c>
      <c r="M90" s="6" t="s">
        <v>62</v>
      </c>
      <c r="N90" s="6" t="s">
        <v>63</v>
      </c>
      <c r="O90" s="6" t="s">
        <v>622</v>
      </c>
      <c r="P90" s="6"/>
      <c r="Q90" s="6" t="str">
        <f>VLOOKUP(G90,seznampsc!A:B,2,FALSE)</f>
        <v>Liberec</v>
      </c>
      <c r="R90" s="6" t="str">
        <f>VLOOKUP(G90,seznampsc!A:C,3,FALSE)</f>
        <v>Liberecký kraj</v>
      </c>
      <c r="S90" s="6">
        <v>50.745570100000002</v>
      </c>
      <c r="T90" s="6">
        <v>15.085642399999999</v>
      </c>
      <c r="U90" s="6"/>
      <c r="V90" s="6"/>
      <c r="W90" s="6"/>
      <c r="X90" s="6"/>
      <c r="Y90" s="6"/>
      <c r="Z90" s="6"/>
      <c r="AA90" s="6"/>
      <c r="AB90" s="6"/>
      <c r="AC90" s="6"/>
      <c r="AD90" s="6">
        <v>450</v>
      </c>
      <c r="AE90" s="6">
        <v>450</v>
      </c>
      <c r="AF90" s="6">
        <v>500</v>
      </c>
      <c r="AG90" s="6"/>
      <c r="AH90" s="6"/>
      <c r="AI90" s="6"/>
      <c r="AJ90" s="6">
        <v>110</v>
      </c>
      <c r="AK90" s="6">
        <v>110</v>
      </c>
      <c r="AL90" s="6"/>
      <c r="AM90" s="6"/>
      <c r="AN90" s="6"/>
      <c r="AO90" s="6">
        <v>3</v>
      </c>
      <c r="AP90" s="6"/>
      <c r="AQ90" s="6">
        <v>5</v>
      </c>
      <c r="AR90" s="6"/>
      <c r="AS90" s="6"/>
      <c r="AT90" s="6"/>
      <c r="AV90" s="3">
        <v>50000</v>
      </c>
    </row>
    <row r="91" spans="1:48" ht="24" customHeight="1" x14ac:dyDescent="0.3">
      <c r="A91" s="6"/>
      <c r="B91" s="6" t="s">
        <v>65</v>
      </c>
      <c r="C91" s="6" t="s">
        <v>623</v>
      </c>
      <c r="D91" s="6" t="s">
        <v>624</v>
      </c>
      <c r="E91" s="6" t="s">
        <v>625</v>
      </c>
      <c r="F91" s="6" t="s">
        <v>626</v>
      </c>
      <c r="G91" s="6">
        <v>70030</v>
      </c>
      <c r="H91" s="6" t="s">
        <v>627</v>
      </c>
      <c r="I91" s="6" t="s">
        <v>628</v>
      </c>
      <c r="J91" s="6" t="s">
        <v>629</v>
      </c>
      <c r="K91" s="6">
        <v>725275998</v>
      </c>
      <c r="L91" s="6" t="s">
        <v>83</v>
      </c>
      <c r="M91" s="6" t="s">
        <v>84</v>
      </c>
      <c r="N91" s="6" t="s">
        <v>63</v>
      </c>
      <c r="O91" s="6"/>
      <c r="P91" s="6"/>
      <c r="Q91" s="6" t="str">
        <f>VLOOKUP(G91,seznampsc!A:B,2,FALSE)</f>
        <v>Ostrava-město</v>
      </c>
      <c r="R91" s="6" t="str">
        <f>VLOOKUP(G91,seznampsc!A:C,3,FALSE)</f>
        <v>Moravskoslezský kraj</v>
      </c>
      <c r="S91" s="6">
        <v>49.773510700000003</v>
      </c>
      <c r="T91" s="6">
        <v>18.245606800000001</v>
      </c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V91" s="10">
        <v>200000</v>
      </c>
    </row>
    <row r="92" spans="1:48" ht="24" customHeight="1" x14ac:dyDescent="0.3">
      <c r="B92" s="6" t="s">
        <v>65</v>
      </c>
      <c r="C92" s="6" t="s">
        <v>630</v>
      </c>
      <c r="D92" s="6" t="s">
        <v>631</v>
      </c>
      <c r="E92" s="6" t="s">
        <v>632</v>
      </c>
      <c r="F92" s="6" t="s">
        <v>633</v>
      </c>
      <c r="G92" s="6">
        <v>75501</v>
      </c>
      <c r="H92" s="6" t="s">
        <v>556</v>
      </c>
      <c r="I92" s="6" t="s">
        <v>149</v>
      </c>
      <c r="J92" s="6" t="s">
        <v>634</v>
      </c>
      <c r="K92" s="8">
        <v>602788522</v>
      </c>
      <c r="L92" s="6" t="s">
        <v>151</v>
      </c>
      <c r="M92" s="6" t="s">
        <v>62</v>
      </c>
      <c r="N92" s="3" t="s">
        <v>63</v>
      </c>
      <c r="P92" s="6"/>
      <c r="Q92" s="6" t="str">
        <f>VLOOKUP(G92,seznampsc!A:B,2,FALSE)</f>
        <v>Vsetín</v>
      </c>
      <c r="R92" s="6" t="str">
        <f>VLOOKUP(G92,seznampsc!A:C,3,FALSE)</f>
        <v>Zlínský kraj</v>
      </c>
      <c r="AU92" s="6"/>
    </row>
    <row r="93" spans="1:48" ht="24" customHeight="1" x14ac:dyDescent="0.3">
      <c r="A93" s="6" t="s">
        <v>53</v>
      </c>
      <c r="B93" s="6" t="s">
        <v>65</v>
      </c>
      <c r="C93" s="6" t="s">
        <v>630</v>
      </c>
      <c r="D93" s="6" t="s">
        <v>631</v>
      </c>
      <c r="E93" s="6" t="s">
        <v>632</v>
      </c>
      <c r="F93" s="6" t="s">
        <v>633</v>
      </c>
      <c r="G93" s="6">
        <v>75501</v>
      </c>
      <c r="H93" s="6" t="s">
        <v>556</v>
      </c>
      <c r="I93" s="6" t="s">
        <v>635</v>
      </c>
      <c r="J93" s="6" t="s">
        <v>634</v>
      </c>
      <c r="K93" s="6">
        <v>777214027.60278797</v>
      </c>
      <c r="L93" s="6" t="s">
        <v>73</v>
      </c>
      <c r="M93" s="6" t="s">
        <v>62</v>
      </c>
      <c r="N93" s="6" t="s">
        <v>63</v>
      </c>
      <c r="O93" s="6" t="s">
        <v>224</v>
      </c>
      <c r="P93" s="6"/>
      <c r="Q93" s="6" t="str">
        <f>VLOOKUP(G93,seznampsc!A:B,2,FALSE)</f>
        <v>Vsetín</v>
      </c>
      <c r="R93" s="6" t="str">
        <f>VLOOKUP(G93,seznampsc!A:C,3,FALSE)</f>
        <v>Zlínský kraj</v>
      </c>
      <c r="S93" s="6">
        <v>49.3272859</v>
      </c>
      <c r="T93" s="6">
        <v>18.001697199999999</v>
      </c>
      <c r="U93" s="6"/>
      <c r="V93" s="6"/>
      <c r="W93" s="6"/>
      <c r="X93" s="6"/>
      <c r="Y93" s="6"/>
      <c r="Z93" s="6"/>
      <c r="AA93" s="6"/>
      <c r="AB93" s="6"/>
      <c r="AC93" s="6"/>
      <c r="AD93" s="6">
        <v>650</v>
      </c>
      <c r="AE93" s="6">
        <v>650</v>
      </c>
      <c r="AF93" s="6">
        <v>650</v>
      </c>
      <c r="AG93" s="6"/>
      <c r="AH93" s="6"/>
      <c r="AI93" s="6"/>
      <c r="AJ93" s="6">
        <v>107</v>
      </c>
      <c r="AK93" s="6">
        <v>107</v>
      </c>
      <c r="AL93" s="6"/>
      <c r="AM93" s="6"/>
      <c r="AN93" s="6"/>
      <c r="AO93" s="6">
        <v>3</v>
      </c>
      <c r="AP93" s="6"/>
      <c r="AQ93" s="6">
        <v>5</v>
      </c>
      <c r="AR93" s="6"/>
      <c r="AS93" s="6" t="s">
        <v>199</v>
      </c>
      <c r="AT93" s="6"/>
      <c r="AV93" s="3">
        <v>100000</v>
      </c>
    </row>
    <row r="94" spans="1:48" ht="24" customHeight="1" x14ac:dyDescent="0.3">
      <c r="A94" s="3" t="s">
        <v>53</v>
      </c>
      <c r="B94" s="6" t="s">
        <v>65</v>
      </c>
      <c r="C94" s="6" t="s">
        <v>636</v>
      </c>
      <c r="D94" s="6" t="s">
        <v>637</v>
      </c>
      <c r="E94" s="6" t="s">
        <v>638</v>
      </c>
      <c r="F94" s="6" t="s">
        <v>639</v>
      </c>
      <c r="G94" s="6">
        <v>76001</v>
      </c>
      <c r="H94" s="6" t="s">
        <v>230</v>
      </c>
      <c r="I94" s="6" t="s">
        <v>640</v>
      </c>
      <c r="J94" s="6" t="s">
        <v>641</v>
      </c>
      <c r="K94" s="6">
        <v>777214027.60278797</v>
      </c>
      <c r="L94" s="6" t="s">
        <v>151</v>
      </c>
      <c r="M94" s="6" t="s">
        <v>62</v>
      </c>
      <c r="N94" s="3" t="s">
        <v>63</v>
      </c>
      <c r="O94" s="6" t="s">
        <v>224</v>
      </c>
      <c r="P94" s="6"/>
      <c r="Q94" s="6" t="str">
        <f>VLOOKUP(G94,seznampsc!A:B,2,FALSE)</f>
        <v>Zlín</v>
      </c>
      <c r="R94" s="6" t="str">
        <f>VLOOKUP(G94,seznampsc!A:C,3,FALSE)</f>
        <v>Zlínský kraj</v>
      </c>
      <c r="S94" s="6">
        <v>49.223344500000003</v>
      </c>
      <c r="T94" s="6">
        <v>17.728623800000001</v>
      </c>
      <c r="AD94" s="3">
        <v>650</v>
      </c>
      <c r="AE94" s="3">
        <v>650</v>
      </c>
      <c r="AF94" s="3">
        <v>650</v>
      </c>
      <c r="AJ94" s="3">
        <v>107</v>
      </c>
      <c r="AK94" s="3">
        <v>107</v>
      </c>
      <c r="AQ94" s="3">
        <v>5</v>
      </c>
      <c r="AS94" s="3" t="s">
        <v>199</v>
      </c>
      <c r="AU94" s="6"/>
      <c r="AV94" s="3">
        <v>100000</v>
      </c>
    </row>
    <row r="95" spans="1:48" ht="24" customHeight="1" x14ac:dyDescent="0.3">
      <c r="A95" s="6" t="s">
        <v>53</v>
      </c>
      <c r="B95" s="6" t="s">
        <v>65</v>
      </c>
      <c r="C95" s="6" t="s">
        <v>642</v>
      </c>
      <c r="D95" s="6" t="s">
        <v>643</v>
      </c>
      <c r="E95" s="6" t="s">
        <v>644</v>
      </c>
      <c r="F95" s="6" t="s">
        <v>645</v>
      </c>
      <c r="G95" s="6">
        <v>76601</v>
      </c>
      <c r="H95" s="6" t="s">
        <v>646</v>
      </c>
      <c r="I95" s="6" t="s">
        <v>647</v>
      </c>
      <c r="J95" s="6" t="s">
        <v>648</v>
      </c>
      <c r="K95" s="6">
        <v>737259831</v>
      </c>
      <c r="L95" s="6" t="s">
        <v>73</v>
      </c>
      <c r="M95" s="6" t="s">
        <v>62</v>
      </c>
      <c r="N95" s="6" t="s">
        <v>63</v>
      </c>
      <c r="O95" s="6" t="s">
        <v>649</v>
      </c>
      <c r="P95" s="6"/>
      <c r="Q95" s="6" t="str">
        <f>VLOOKUP(G95,seznampsc!A:B,2,FALSE)</f>
        <v>Zlín</v>
      </c>
      <c r="R95" s="6" t="str">
        <f>VLOOKUP(G95,seznampsc!A:C,3,FALSE)</f>
        <v>Zlínský kraj</v>
      </c>
      <c r="S95" s="6">
        <v>49.136119899999997</v>
      </c>
      <c r="T95" s="6">
        <v>18.010162999999999</v>
      </c>
      <c r="U95" s="6"/>
      <c r="V95" s="6"/>
      <c r="W95" s="6"/>
      <c r="X95" s="6"/>
      <c r="Y95" s="6"/>
      <c r="Z95" s="6"/>
      <c r="AA95" s="6"/>
      <c r="AB95" s="6"/>
      <c r="AC95" s="6"/>
      <c r="AD95" s="6">
        <v>620</v>
      </c>
      <c r="AE95" s="6">
        <v>670</v>
      </c>
      <c r="AF95" s="6">
        <v>670</v>
      </c>
      <c r="AG95" s="6"/>
      <c r="AH95" s="6"/>
      <c r="AI95" s="6"/>
      <c r="AJ95" s="6"/>
      <c r="AK95" s="6"/>
      <c r="AL95" s="6">
        <v>100</v>
      </c>
      <c r="AM95" s="6"/>
      <c r="AN95" s="6"/>
      <c r="AO95" s="6"/>
      <c r="AP95" s="6"/>
      <c r="AQ95" s="6">
        <v>5</v>
      </c>
      <c r="AR95" s="6"/>
      <c r="AS95" s="6" t="s">
        <v>199</v>
      </c>
      <c r="AT95" s="6"/>
      <c r="AV95" s="3">
        <v>100000</v>
      </c>
    </row>
    <row r="96" spans="1:48" ht="24" customHeight="1" x14ac:dyDescent="0.3">
      <c r="A96" s="1"/>
      <c r="B96" s="1" t="s">
        <v>65</v>
      </c>
      <c r="C96" s="1" t="s">
        <v>650</v>
      </c>
      <c r="D96" s="1" t="s">
        <v>651</v>
      </c>
      <c r="E96" s="1" t="s">
        <v>652</v>
      </c>
      <c r="F96" s="1" t="s">
        <v>653</v>
      </c>
      <c r="G96" s="1">
        <v>18000</v>
      </c>
      <c r="H96" s="1" t="s">
        <v>80</v>
      </c>
      <c r="I96" s="1" t="s">
        <v>654</v>
      </c>
      <c r="J96" s="1" t="s">
        <v>655</v>
      </c>
      <c r="K96" s="1">
        <v>730510743</v>
      </c>
      <c r="L96" s="1" t="s">
        <v>73</v>
      </c>
      <c r="M96" s="1" t="s">
        <v>62</v>
      </c>
      <c r="N96" s="1" t="s">
        <v>63</v>
      </c>
      <c r="O96" s="1" t="s">
        <v>248</v>
      </c>
      <c r="P96" s="1"/>
      <c r="Q96" s="6" t="str">
        <f>VLOOKUP(G96,seznampsc!A:B,2,FALSE)</f>
        <v>Hlavní město Praha</v>
      </c>
      <c r="R96" s="6" t="str">
        <f>VLOOKUP(G96,seznampsc!A:C,3,FALSE)</f>
        <v>Hlavní město Praha</v>
      </c>
      <c r="S96" s="1">
        <v>50.117501300000001</v>
      </c>
      <c r="T96" s="1">
        <v>14.497091299999999</v>
      </c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 t="s">
        <v>656</v>
      </c>
    </row>
    <row r="97" spans="1:48" ht="24" customHeight="1" x14ac:dyDescent="0.3">
      <c r="A97" s="6" t="s">
        <v>53</v>
      </c>
      <c r="B97" s="6" t="s">
        <v>65</v>
      </c>
      <c r="C97" s="6" t="s">
        <v>657</v>
      </c>
      <c r="D97" s="6" t="s">
        <v>658</v>
      </c>
      <c r="E97" s="6" t="s">
        <v>659</v>
      </c>
      <c r="F97" s="6" t="s">
        <v>660</v>
      </c>
      <c r="G97" s="6">
        <v>67401</v>
      </c>
      <c r="H97" s="6" t="s">
        <v>661</v>
      </c>
      <c r="I97" s="6" t="s">
        <v>662</v>
      </c>
      <c r="J97" s="6" t="s">
        <v>663</v>
      </c>
      <c r="K97" s="6" t="s">
        <v>664</v>
      </c>
      <c r="L97" s="6" t="s">
        <v>73</v>
      </c>
      <c r="M97" s="6" t="s">
        <v>62</v>
      </c>
      <c r="N97" s="6" t="s">
        <v>63</v>
      </c>
      <c r="O97" s="6" t="s">
        <v>224</v>
      </c>
      <c r="P97" s="6"/>
      <c r="Q97" s="6" t="str">
        <f>VLOOKUP(G97,seznampsc!A:B,2,FALSE)</f>
        <v>Třebíč</v>
      </c>
      <c r="R97" s="6" t="str">
        <f>VLOOKUP(G97,seznampsc!A:C,3,FALSE)</f>
        <v>Kraj Vysočina</v>
      </c>
      <c r="S97" s="6">
        <v>49.201987799999998</v>
      </c>
      <c r="T97" s="6">
        <v>15.901095700000001</v>
      </c>
      <c r="U97" s="6"/>
      <c r="V97" s="6"/>
      <c r="W97" s="6"/>
      <c r="X97" s="6"/>
      <c r="Y97" s="6"/>
      <c r="Z97" s="6"/>
      <c r="AA97" s="6"/>
      <c r="AB97" s="6"/>
      <c r="AC97" s="6"/>
      <c r="AD97" s="6">
        <v>400</v>
      </c>
      <c r="AE97" s="6">
        <v>400</v>
      </c>
      <c r="AF97" s="6">
        <v>400</v>
      </c>
      <c r="AG97" s="6"/>
      <c r="AH97" s="6"/>
      <c r="AI97" s="6"/>
      <c r="AJ97" s="6">
        <v>120</v>
      </c>
      <c r="AK97" s="6">
        <v>130</v>
      </c>
      <c r="AL97" s="6"/>
      <c r="AM97" s="6"/>
      <c r="AN97" s="6"/>
      <c r="AO97" s="6">
        <v>3</v>
      </c>
      <c r="AP97" s="6"/>
      <c r="AQ97" s="6">
        <v>5</v>
      </c>
      <c r="AR97" s="6"/>
      <c r="AS97" s="6" t="s">
        <v>199</v>
      </c>
      <c r="AT97" s="6"/>
      <c r="AV97" s="3">
        <v>50000</v>
      </c>
    </row>
    <row r="98" spans="1:48" ht="24" customHeight="1" x14ac:dyDescent="0.3">
      <c r="A98" s="3" t="s">
        <v>53</v>
      </c>
      <c r="B98" s="6" t="s">
        <v>65</v>
      </c>
      <c r="C98" s="6" t="s">
        <v>665</v>
      </c>
      <c r="D98" s="6" t="s">
        <v>666</v>
      </c>
      <c r="E98" s="6" t="s">
        <v>667</v>
      </c>
      <c r="F98" s="6" t="s">
        <v>668</v>
      </c>
      <c r="G98" s="6">
        <v>59101</v>
      </c>
      <c r="H98" s="6" t="s">
        <v>669</v>
      </c>
      <c r="I98" s="6" t="s">
        <v>670</v>
      </c>
      <c r="J98" s="6" t="s">
        <v>671</v>
      </c>
      <c r="K98" s="6">
        <v>605269093.56663001</v>
      </c>
      <c r="L98" s="6" t="s">
        <v>151</v>
      </c>
      <c r="M98" s="6" t="s">
        <v>152</v>
      </c>
      <c r="N98" s="3" t="s">
        <v>63</v>
      </c>
      <c r="O98" s="6" t="s">
        <v>672</v>
      </c>
      <c r="P98" s="6"/>
      <c r="Q98" s="6" t="str">
        <f>VLOOKUP(G98,seznampsc!A:B,2,FALSE)</f>
        <v>Žďár nad Sázavou</v>
      </c>
      <c r="R98" s="6" t="str">
        <f>VLOOKUP(G98,seznampsc!A:C,3,FALSE)</f>
        <v>Kraj Vysočina</v>
      </c>
      <c r="S98" s="6">
        <v>49.551914500000002</v>
      </c>
      <c r="T98" s="6">
        <v>15.952018000000001</v>
      </c>
      <c r="AD98" s="3">
        <v>670</v>
      </c>
      <c r="AE98" s="3">
        <v>670</v>
      </c>
      <c r="AF98" s="3">
        <v>700</v>
      </c>
      <c r="AJ98" s="3">
        <v>110</v>
      </c>
      <c r="AK98" s="3">
        <v>110</v>
      </c>
      <c r="AQ98" s="3">
        <v>5</v>
      </c>
      <c r="AU98" s="6"/>
      <c r="AV98" s="3">
        <v>100000</v>
      </c>
    </row>
    <row r="99" spans="1:48" ht="24" customHeight="1" x14ac:dyDescent="0.3">
      <c r="A99" s="6" t="s">
        <v>53</v>
      </c>
      <c r="B99" s="6" t="s">
        <v>65</v>
      </c>
      <c r="C99" s="6" t="s">
        <v>673</v>
      </c>
      <c r="D99" s="6" t="s">
        <v>674</v>
      </c>
      <c r="E99" s="6" t="s">
        <v>675</v>
      </c>
      <c r="F99" s="6" t="s">
        <v>676</v>
      </c>
      <c r="G99" s="6">
        <v>73601</v>
      </c>
      <c r="H99" s="6" t="s">
        <v>677</v>
      </c>
      <c r="I99" s="6" t="s">
        <v>678</v>
      </c>
      <c r="J99" s="6" t="s">
        <v>679</v>
      </c>
      <c r="K99" s="8">
        <v>777655229</v>
      </c>
      <c r="L99" s="6" t="s">
        <v>73</v>
      </c>
      <c r="M99" s="6" t="s">
        <v>62</v>
      </c>
      <c r="N99" s="6" t="s">
        <v>63</v>
      </c>
      <c r="O99" s="6" t="s">
        <v>680</v>
      </c>
      <c r="P99" s="6"/>
      <c r="Q99" s="6" t="str">
        <f>VLOOKUP(G99,seznampsc!A:B,2,FALSE)</f>
        <v>Karviná</v>
      </c>
      <c r="R99" s="6" t="str">
        <f>VLOOKUP(G99,seznampsc!A:C,3,FALSE)</f>
        <v>Moravskoslezský kraj</v>
      </c>
      <c r="S99" s="6">
        <v>49.762071900000002</v>
      </c>
      <c r="T99" s="6">
        <v>18.4245594</v>
      </c>
      <c r="U99" s="6"/>
      <c r="V99" s="6"/>
      <c r="W99" s="6"/>
      <c r="X99" s="6"/>
      <c r="Y99" s="6"/>
      <c r="Z99" s="6"/>
      <c r="AA99" s="6"/>
      <c r="AB99" s="6"/>
      <c r="AC99" s="6"/>
      <c r="AD99" s="6">
        <v>670</v>
      </c>
      <c r="AE99" s="6">
        <v>670</v>
      </c>
      <c r="AF99" s="6">
        <v>690</v>
      </c>
      <c r="AG99" s="6"/>
      <c r="AH99" s="6"/>
      <c r="AI99" s="6"/>
      <c r="AJ99" s="6">
        <v>107</v>
      </c>
      <c r="AK99" s="6">
        <v>107</v>
      </c>
      <c r="AL99" s="6"/>
      <c r="AM99" s="6"/>
      <c r="AN99" s="6"/>
      <c r="AO99" s="6"/>
      <c r="AP99" s="6"/>
      <c r="AQ99" s="6">
        <v>5</v>
      </c>
      <c r="AR99" s="6"/>
      <c r="AS99" s="6" t="s">
        <v>199</v>
      </c>
      <c r="AT99" s="6"/>
      <c r="AV99" s="3">
        <v>100000</v>
      </c>
    </row>
    <row r="100" spans="1:48" ht="24" customHeight="1" x14ac:dyDescent="0.3">
      <c r="A100" s="3" t="s">
        <v>53</v>
      </c>
      <c r="B100" s="6" t="s">
        <v>65</v>
      </c>
      <c r="C100" s="6" t="s">
        <v>681</v>
      </c>
      <c r="D100" s="6">
        <v>29306400</v>
      </c>
      <c r="E100" s="6" t="s">
        <v>682</v>
      </c>
      <c r="F100" s="6" t="s">
        <v>683</v>
      </c>
      <c r="G100" s="6">
        <v>60200</v>
      </c>
      <c r="H100" s="6" t="s">
        <v>272</v>
      </c>
      <c r="I100" s="6" t="s">
        <v>149</v>
      </c>
      <c r="J100" s="6" t="s">
        <v>684</v>
      </c>
      <c r="K100" s="8">
        <v>775525255</v>
      </c>
      <c r="L100" s="6" t="s">
        <v>151</v>
      </c>
      <c r="M100" s="6" t="s">
        <v>62</v>
      </c>
      <c r="N100" s="3" t="s">
        <v>63</v>
      </c>
      <c r="O100" s="6" t="s">
        <v>198</v>
      </c>
      <c r="P100" s="6"/>
      <c r="Q100" s="6" t="str">
        <f>VLOOKUP(G100,seznampsc!A:B,2,FALSE)</f>
        <v>Brno-město</v>
      </c>
      <c r="R100" s="6" t="str">
        <f>VLOOKUP(G100,seznampsc!A:C,3,FALSE)</f>
        <v>Jihomoravský kraj</v>
      </c>
      <c r="S100" s="6">
        <v>49.2006801</v>
      </c>
      <c r="T100" s="6">
        <v>16.626765800000001</v>
      </c>
      <c r="AD100" s="3">
        <v>650</v>
      </c>
      <c r="AE100" s="3">
        <v>700</v>
      </c>
      <c r="AF100" s="3">
        <v>800</v>
      </c>
      <c r="AJ100" s="3">
        <v>107</v>
      </c>
      <c r="AK100" s="3">
        <v>116</v>
      </c>
      <c r="AP100" s="3">
        <v>3</v>
      </c>
      <c r="AQ100" s="3">
        <v>10</v>
      </c>
      <c r="AS100" s="3" t="s">
        <v>199</v>
      </c>
      <c r="AU100" s="6"/>
      <c r="AV100" s="3">
        <v>200000</v>
      </c>
    </row>
    <row r="101" spans="1:48" ht="24" customHeight="1" x14ac:dyDescent="0.3">
      <c r="A101" s="6"/>
      <c r="B101" s="6" t="s">
        <v>65</v>
      </c>
      <c r="C101" s="6" t="s">
        <v>685</v>
      </c>
      <c r="D101" s="6" t="s">
        <v>686</v>
      </c>
      <c r="E101" s="6" t="s">
        <v>687</v>
      </c>
      <c r="F101" s="6" t="s">
        <v>688</v>
      </c>
      <c r="G101" s="6">
        <v>78813</v>
      </c>
      <c r="H101" s="6" t="s">
        <v>689</v>
      </c>
      <c r="I101" s="6" t="s">
        <v>690</v>
      </c>
      <c r="J101" s="6" t="s">
        <v>691</v>
      </c>
      <c r="K101" s="6">
        <v>606131002.58324206</v>
      </c>
      <c r="L101" s="6" t="s">
        <v>83</v>
      </c>
      <c r="M101" s="6" t="s">
        <v>692</v>
      </c>
      <c r="N101" s="6" t="s">
        <v>63</v>
      </c>
      <c r="O101" s="6" t="s">
        <v>693</v>
      </c>
      <c r="P101" s="6"/>
      <c r="Q101" s="6" t="str">
        <f>VLOOKUP(G101,seznampsc!A:B,2,FALSE)</f>
        <v>Šumperk</v>
      </c>
      <c r="R101" s="6" t="str">
        <f>VLOOKUP(G101,seznampsc!A:C,3,FALSE)</f>
        <v>Olomoucký kraj</v>
      </c>
      <c r="S101" s="6">
        <v>49.990782899999999</v>
      </c>
      <c r="T101" s="6">
        <v>17.005987699999999</v>
      </c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V101" s="10">
        <v>200000</v>
      </c>
    </row>
    <row r="102" spans="1:48" ht="24" customHeight="1" x14ac:dyDescent="0.3">
      <c r="A102" s="6"/>
      <c r="B102" s="6" t="s">
        <v>65</v>
      </c>
      <c r="C102" s="6" t="s">
        <v>694</v>
      </c>
      <c r="D102" s="6" t="s">
        <v>695</v>
      </c>
      <c r="E102" s="6" t="s">
        <v>696</v>
      </c>
      <c r="F102" s="6" t="s">
        <v>697</v>
      </c>
      <c r="G102" s="6">
        <v>79201</v>
      </c>
      <c r="H102" s="6" t="s">
        <v>698</v>
      </c>
      <c r="I102" s="6" t="s">
        <v>699</v>
      </c>
      <c r="J102" s="6" t="s">
        <v>700</v>
      </c>
      <c r="K102" s="8">
        <v>554715103</v>
      </c>
      <c r="L102" s="6" t="s">
        <v>83</v>
      </c>
      <c r="M102" s="6" t="s">
        <v>701</v>
      </c>
      <c r="N102" s="6" t="s">
        <v>158</v>
      </c>
      <c r="O102" s="6" t="s">
        <v>702</v>
      </c>
      <c r="P102" s="6"/>
      <c r="Q102" s="6" t="str">
        <f>VLOOKUP(G102,seznampsc!A:B,2,FALSE)</f>
        <v>Bruntál</v>
      </c>
      <c r="R102" s="6" t="str">
        <f>VLOOKUP(G102,seznampsc!A:C,3,FALSE)</f>
        <v>Moravskoslezský kraj</v>
      </c>
      <c r="S102" s="6">
        <v>49.994273700000001</v>
      </c>
      <c r="T102" s="6">
        <v>17.4527565</v>
      </c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V102" s="10">
        <v>200000</v>
      </c>
    </row>
    <row r="103" spans="1:48" ht="24" customHeight="1" x14ac:dyDescent="0.3">
      <c r="A103" s="6" t="s">
        <v>53</v>
      </c>
      <c r="B103" s="6" t="s">
        <v>65</v>
      </c>
      <c r="C103" s="6" t="s">
        <v>703</v>
      </c>
      <c r="D103" s="6" t="s">
        <v>704</v>
      </c>
      <c r="E103" s="6" t="s">
        <v>705</v>
      </c>
      <c r="F103" s="6" t="s">
        <v>706</v>
      </c>
      <c r="G103" s="6">
        <v>17000</v>
      </c>
      <c r="H103" s="6" t="s">
        <v>707</v>
      </c>
      <c r="I103" s="6" t="s">
        <v>708</v>
      </c>
      <c r="J103" s="6" t="s">
        <v>709</v>
      </c>
      <c r="K103" s="6">
        <v>776727336.22097194</v>
      </c>
      <c r="L103" s="6" t="s">
        <v>73</v>
      </c>
      <c r="M103" s="6" t="s">
        <v>62</v>
      </c>
      <c r="N103" s="6" t="s">
        <v>63</v>
      </c>
      <c r="O103" s="6" t="s">
        <v>710</v>
      </c>
      <c r="P103" s="6"/>
      <c r="Q103" s="6" t="str">
        <f>VLOOKUP(G103,seznampsc!A:B,2,FALSE)</f>
        <v>Hlavní město Praha</v>
      </c>
      <c r="R103" s="6" t="str">
        <f>VLOOKUP(G103,seznampsc!A:C,3,FALSE)</f>
        <v>Hlavní město Praha</v>
      </c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>
        <v>650</v>
      </c>
      <c r="AE103" s="6">
        <v>650</v>
      </c>
      <c r="AF103" s="6">
        <v>670</v>
      </c>
      <c r="AG103" s="6"/>
      <c r="AH103" s="6"/>
      <c r="AI103" s="6"/>
      <c r="AJ103" s="6">
        <v>107</v>
      </c>
      <c r="AK103" s="6">
        <v>107</v>
      </c>
      <c r="AL103" s="6"/>
      <c r="AM103" s="6"/>
      <c r="AN103" s="6"/>
      <c r="AO103" s="6"/>
      <c r="AP103" s="6">
        <v>2</v>
      </c>
      <c r="AQ103" s="6">
        <v>5</v>
      </c>
      <c r="AR103" s="6"/>
      <c r="AS103" s="6" t="s">
        <v>199</v>
      </c>
      <c r="AT103" s="6"/>
      <c r="AU103" s="6" t="s">
        <v>471</v>
      </c>
      <c r="AV103" s="6">
        <v>100000</v>
      </c>
    </row>
    <row r="104" spans="1:48" ht="24" customHeight="1" x14ac:dyDescent="0.3">
      <c r="A104" s="1"/>
      <c r="B104" s="1" t="s">
        <v>65</v>
      </c>
      <c r="C104" s="1" t="s">
        <v>711</v>
      </c>
      <c r="D104" s="1" t="s">
        <v>712</v>
      </c>
      <c r="E104" s="1" t="s">
        <v>713</v>
      </c>
      <c r="F104" s="1" t="s">
        <v>714</v>
      </c>
      <c r="G104" s="1">
        <v>70200</v>
      </c>
      <c r="H104" s="1" t="s">
        <v>715</v>
      </c>
      <c r="I104" s="1" t="s">
        <v>716</v>
      </c>
      <c r="J104" s="1" t="s">
        <v>717</v>
      </c>
      <c r="K104" s="1">
        <v>735501150</v>
      </c>
      <c r="L104" s="1" t="s">
        <v>73</v>
      </c>
      <c r="M104" s="1" t="s">
        <v>62</v>
      </c>
      <c r="N104" s="1" t="s">
        <v>63</v>
      </c>
      <c r="O104" s="1" t="s">
        <v>718</v>
      </c>
      <c r="P104" s="1"/>
      <c r="Q104" s="6" t="str">
        <f>VLOOKUP(G104,seznampsc!A:B,2,FALSE)</f>
        <v>Ostrava-město</v>
      </c>
      <c r="R104" s="6" t="str">
        <f>VLOOKUP(G104,seznampsc!A:C,3,FALSE)</f>
        <v>Moravskoslezský kraj</v>
      </c>
      <c r="S104" s="1">
        <v>49.854701499999997</v>
      </c>
      <c r="T104" s="1">
        <v>18.2629172</v>
      </c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4" t="s">
        <v>719</v>
      </c>
    </row>
    <row r="105" spans="1:48" ht="24" customHeight="1" x14ac:dyDescent="0.3">
      <c r="A105" s="3" t="s">
        <v>53</v>
      </c>
      <c r="B105" s="6" t="s">
        <v>65</v>
      </c>
      <c r="C105" s="6" t="s">
        <v>720</v>
      </c>
      <c r="D105" s="6" t="s">
        <v>721</v>
      </c>
      <c r="E105" s="6" t="s">
        <v>722</v>
      </c>
      <c r="F105" s="6" t="s">
        <v>723</v>
      </c>
      <c r="G105" s="6">
        <v>54103</v>
      </c>
      <c r="H105" s="6" t="s">
        <v>724</v>
      </c>
      <c r="I105" s="6" t="s">
        <v>725</v>
      </c>
      <c r="J105" s="6" t="s">
        <v>726</v>
      </c>
      <c r="K105" s="6">
        <v>603835237.49982595</v>
      </c>
      <c r="L105" s="6" t="s">
        <v>151</v>
      </c>
      <c r="M105" s="6" t="s">
        <v>152</v>
      </c>
      <c r="N105" s="3" t="s">
        <v>63</v>
      </c>
      <c r="O105" s="6" t="s">
        <v>727</v>
      </c>
      <c r="P105" s="6"/>
      <c r="Q105" s="6" t="str">
        <f>VLOOKUP(G105,seznampsc!A:B,2,FALSE)</f>
        <v>Trutnov</v>
      </c>
      <c r="R105" s="6" t="str">
        <f>VLOOKUP(G105,seznampsc!A:C,3,FALSE)</f>
        <v>Královéhradecký kraj</v>
      </c>
      <c r="S105" s="6">
        <v>50.573804099999997</v>
      </c>
      <c r="T105" s="6">
        <v>15.9611825</v>
      </c>
      <c r="AD105" s="3">
        <v>700</v>
      </c>
      <c r="AE105" s="3">
        <v>700</v>
      </c>
      <c r="AF105" s="3">
        <v>700</v>
      </c>
      <c r="AJ105" s="3">
        <v>107</v>
      </c>
      <c r="AK105" s="3">
        <v>107</v>
      </c>
      <c r="AO105" s="3">
        <v>3</v>
      </c>
      <c r="AQ105" s="3">
        <v>5</v>
      </c>
      <c r="AS105" s="3" t="s">
        <v>728</v>
      </c>
      <c r="AU105" s="6"/>
      <c r="AV105" s="3">
        <v>100000</v>
      </c>
    </row>
    <row r="106" spans="1:48" ht="24" customHeight="1" x14ac:dyDescent="0.3">
      <c r="A106" s="6" t="s">
        <v>53</v>
      </c>
      <c r="B106" s="6" t="s">
        <v>65</v>
      </c>
      <c r="C106" s="6" t="s">
        <v>729</v>
      </c>
      <c r="D106" s="6" t="s">
        <v>730</v>
      </c>
      <c r="E106" s="6" t="s">
        <v>731</v>
      </c>
      <c r="F106" s="6" t="s">
        <v>732</v>
      </c>
      <c r="G106" s="6">
        <v>51251</v>
      </c>
      <c r="H106" s="6" t="s">
        <v>733</v>
      </c>
      <c r="I106" s="6" t="s">
        <v>734</v>
      </c>
      <c r="J106" s="6" t="s">
        <v>735</v>
      </c>
      <c r="K106" s="6">
        <v>777001601</v>
      </c>
      <c r="L106" s="6" t="s">
        <v>73</v>
      </c>
      <c r="M106" s="6" t="s">
        <v>62</v>
      </c>
      <c r="N106" s="6" t="s">
        <v>63</v>
      </c>
      <c r="O106" s="6" t="s">
        <v>224</v>
      </c>
      <c r="P106" s="6"/>
      <c r="Q106" s="6" t="str">
        <f>VLOOKUP(G106,seznampsc!A:B,2,FALSE)</f>
        <v>Semily</v>
      </c>
      <c r="R106" s="6" t="str">
        <f>VLOOKUP(G106,seznampsc!A:C,3,FALSE)</f>
        <v>Liberecký kraj</v>
      </c>
      <c r="S106" s="6" t="s">
        <v>736</v>
      </c>
      <c r="T106" s="6" t="s">
        <v>737</v>
      </c>
      <c r="U106" s="6"/>
      <c r="V106" s="6"/>
      <c r="W106" s="6"/>
      <c r="X106" s="6"/>
      <c r="Y106" s="6"/>
      <c r="Z106" s="6"/>
      <c r="AA106" s="6"/>
      <c r="AB106" s="6"/>
      <c r="AC106" s="6"/>
      <c r="AD106" s="6">
        <v>500</v>
      </c>
      <c r="AE106" s="6">
        <v>500</v>
      </c>
      <c r="AF106" s="6">
        <v>600</v>
      </c>
      <c r="AG106" s="6"/>
      <c r="AH106" s="6"/>
      <c r="AI106" s="6"/>
      <c r="AJ106" s="6">
        <v>107</v>
      </c>
      <c r="AK106" s="6">
        <v>116</v>
      </c>
      <c r="AL106" s="6"/>
      <c r="AM106" s="6"/>
      <c r="AN106" s="6"/>
      <c r="AO106" s="6"/>
      <c r="AP106" s="6"/>
      <c r="AQ106" s="6">
        <v>5</v>
      </c>
      <c r="AR106" s="6"/>
      <c r="AS106" s="6"/>
      <c r="AT106" s="6"/>
      <c r="AU106" s="3" t="s">
        <v>738</v>
      </c>
      <c r="AV106" s="3">
        <v>50000</v>
      </c>
    </row>
    <row r="107" spans="1:48" ht="24" customHeight="1" x14ac:dyDescent="0.3">
      <c r="A107" s="1" t="s">
        <v>381</v>
      </c>
      <c r="B107" s="1" t="s">
        <v>65</v>
      </c>
      <c r="C107" s="1" t="s">
        <v>739</v>
      </c>
      <c r="D107" s="1" t="s">
        <v>740</v>
      </c>
      <c r="E107" s="1" t="s">
        <v>741</v>
      </c>
      <c r="F107" s="1" t="s">
        <v>742</v>
      </c>
      <c r="G107" s="1">
        <v>46601</v>
      </c>
      <c r="H107" s="1" t="s">
        <v>743</v>
      </c>
      <c r="I107" s="1" t="s">
        <v>744</v>
      </c>
      <c r="J107" s="1" t="s">
        <v>745</v>
      </c>
      <c r="K107" s="1" t="s">
        <v>746</v>
      </c>
      <c r="L107" s="1" t="s">
        <v>577</v>
      </c>
      <c r="M107" s="1" t="s">
        <v>389</v>
      </c>
      <c r="N107" s="1" t="s">
        <v>63</v>
      </c>
      <c r="O107" s="1" t="s">
        <v>248</v>
      </c>
      <c r="P107" s="1"/>
      <c r="Q107" s="1"/>
      <c r="R107" s="1"/>
      <c r="S107" s="1">
        <v>50.725155000000001</v>
      </c>
      <c r="T107" s="1">
        <v>15.174749</v>
      </c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 t="s">
        <v>747</v>
      </c>
      <c r="AV107" s="1"/>
    </row>
    <row r="108" spans="1:48" ht="24" customHeight="1" x14ac:dyDescent="0.3">
      <c r="A108" s="1"/>
      <c r="B108" s="1" t="s">
        <v>65</v>
      </c>
      <c r="C108" s="1" t="s">
        <v>748</v>
      </c>
      <c r="D108" s="1" t="s">
        <v>749</v>
      </c>
      <c r="E108" s="1" t="s">
        <v>750</v>
      </c>
      <c r="F108" s="1" t="s">
        <v>751</v>
      </c>
      <c r="G108" s="1">
        <v>46007</v>
      </c>
      <c r="H108" s="1" t="s">
        <v>752</v>
      </c>
      <c r="I108" s="1" t="s">
        <v>753</v>
      </c>
      <c r="J108" s="1" t="s">
        <v>754</v>
      </c>
      <c r="K108" s="1">
        <v>736759589</v>
      </c>
      <c r="L108" s="1" t="s">
        <v>73</v>
      </c>
      <c r="M108" s="1" t="s">
        <v>62</v>
      </c>
      <c r="N108" s="1" t="s">
        <v>63</v>
      </c>
      <c r="O108" s="1" t="s">
        <v>248</v>
      </c>
      <c r="P108" s="1"/>
      <c r="Q108" s="6" t="str">
        <f>VLOOKUP(G108,seznampsc!A:B,2,FALSE)</f>
        <v>Liberec</v>
      </c>
      <c r="R108" s="6" t="str">
        <f>VLOOKUP(G108,seznampsc!A:C,3,FALSE)</f>
        <v>Liberecký kraj</v>
      </c>
      <c r="S108" s="1">
        <v>50.757877999999998</v>
      </c>
      <c r="T108" s="1">
        <v>15.04232</v>
      </c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 t="s">
        <v>755</v>
      </c>
      <c r="AV108" s="1"/>
    </row>
    <row r="109" spans="1:48" ht="24" customHeight="1" x14ac:dyDescent="0.3">
      <c r="A109" s="1"/>
      <c r="B109" s="1" t="s">
        <v>65</v>
      </c>
      <c r="C109" s="1" t="s">
        <v>756</v>
      </c>
      <c r="D109" s="1" t="s">
        <v>757</v>
      </c>
      <c r="E109" s="1" t="s">
        <v>758</v>
      </c>
      <c r="F109" s="1" t="s">
        <v>759</v>
      </c>
      <c r="G109" s="1">
        <v>26101</v>
      </c>
      <c r="H109" s="1" t="s">
        <v>760</v>
      </c>
      <c r="I109" s="1" t="s">
        <v>761</v>
      </c>
      <c r="J109" s="1" t="s">
        <v>762</v>
      </c>
      <c r="K109" s="1">
        <v>602414357.37159705</v>
      </c>
      <c r="L109" s="1" t="s">
        <v>73</v>
      </c>
      <c r="M109" s="1" t="s">
        <v>62</v>
      </c>
      <c r="N109" s="1" t="s">
        <v>63</v>
      </c>
      <c r="O109" s="1" t="s">
        <v>763</v>
      </c>
      <c r="P109" s="1"/>
      <c r="Q109" s="6" t="str">
        <f>VLOOKUP(G109,seznampsc!A:B,2,FALSE)</f>
        <v>Příbram</v>
      </c>
      <c r="R109" s="6" t="str">
        <f>VLOOKUP(G109,seznampsc!A:C,3,FALSE)</f>
        <v>Středočeský kraj</v>
      </c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 t="s">
        <v>764</v>
      </c>
      <c r="AV109" s="1"/>
    </row>
    <row r="110" spans="1:48" ht="24" customHeight="1" x14ac:dyDescent="0.3">
      <c r="A110" s="1"/>
      <c r="B110" s="1" t="s">
        <v>65</v>
      </c>
      <c r="C110" s="1" t="s">
        <v>756</v>
      </c>
      <c r="D110" s="1" t="s">
        <v>757</v>
      </c>
      <c r="E110" s="1" t="s">
        <v>758</v>
      </c>
      <c r="F110" s="1" t="s">
        <v>765</v>
      </c>
      <c r="G110" s="1">
        <v>33563</v>
      </c>
      <c r="H110" s="1" t="s">
        <v>766</v>
      </c>
      <c r="I110" s="1" t="s">
        <v>761</v>
      </c>
      <c r="J110" s="1" t="s">
        <v>762</v>
      </c>
      <c r="K110" s="1">
        <v>602414357.37159705</v>
      </c>
      <c r="L110" s="1" t="s">
        <v>73</v>
      </c>
      <c r="M110" s="1" t="s">
        <v>62</v>
      </c>
      <c r="N110" s="1" t="s">
        <v>63</v>
      </c>
      <c r="O110" s="1" t="s">
        <v>763</v>
      </c>
      <c r="P110" s="1"/>
      <c r="Q110" s="6" t="str">
        <f>VLOOKUP(G110,seznampsc!A:B,2,FALSE)</f>
        <v>Plzeň-jih</v>
      </c>
      <c r="R110" s="6" t="str">
        <f>VLOOKUP(G110,seznampsc!A:C,3,FALSE)</f>
        <v>Plzeňský kraj</v>
      </c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 t="s">
        <v>764</v>
      </c>
      <c r="AV110" s="1"/>
    </row>
    <row r="111" spans="1:48" ht="24" customHeight="1" x14ac:dyDescent="0.3">
      <c r="A111" s="1"/>
      <c r="B111" s="1" t="s">
        <v>65</v>
      </c>
      <c r="C111" s="1" t="s">
        <v>767</v>
      </c>
      <c r="D111" s="1" t="s">
        <v>768</v>
      </c>
      <c r="E111" s="1" t="s">
        <v>769</v>
      </c>
      <c r="F111" s="1" t="s">
        <v>770</v>
      </c>
      <c r="G111" s="1">
        <v>69617</v>
      </c>
      <c r="H111" s="1" t="s">
        <v>771</v>
      </c>
      <c r="I111" s="1" t="s">
        <v>772</v>
      </c>
      <c r="J111" s="1" t="s">
        <v>773</v>
      </c>
      <c r="K111" s="1">
        <v>602745557.51837206</v>
      </c>
      <c r="L111" s="1" t="s">
        <v>73</v>
      </c>
      <c r="M111" s="1" t="s">
        <v>62</v>
      </c>
      <c r="N111" s="1" t="s">
        <v>63</v>
      </c>
      <c r="O111" s="1" t="s">
        <v>693</v>
      </c>
      <c r="P111" s="1"/>
      <c r="Q111" s="6" t="str">
        <f>VLOOKUP(G111,seznampsc!A:B,2,FALSE)</f>
        <v>Hodonín</v>
      </c>
      <c r="R111" s="6" t="str">
        <f>VLOOKUP(G111,seznampsc!A:C,3,FALSE)</f>
        <v>Jihomoravský kraj</v>
      </c>
      <c r="S111" s="1">
        <v>48.856000899999998</v>
      </c>
      <c r="T111" s="1">
        <v>17.036774900000001</v>
      </c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 t="s">
        <v>774</v>
      </c>
      <c r="AV111" s="1"/>
    </row>
    <row r="112" spans="1:48" ht="24" customHeight="1" x14ac:dyDescent="0.3">
      <c r="A112" s="6" t="s">
        <v>53</v>
      </c>
      <c r="B112" s="6" t="s">
        <v>65</v>
      </c>
      <c r="C112" s="6" t="s">
        <v>775</v>
      </c>
      <c r="D112" s="6" t="s">
        <v>776</v>
      </c>
      <c r="E112" s="6" t="s">
        <v>777</v>
      </c>
      <c r="F112" s="6" t="s">
        <v>778</v>
      </c>
      <c r="G112" s="6">
        <v>59401</v>
      </c>
      <c r="H112" s="6" t="s">
        <v>280</v>
      </c>
      <c r="I112" s="6" t="s">
        <v>779</v>
      </c>
      <c r="J112" s="6" t="s">
        <v>780</v>
      </c>
      <c r="K112" s="6">
        <v>736675552.56652105</v>
      </c>
      <c r="L112" s="6" t="s">
        <v>73</v>
      </c>
      <c r="M112" s="6" t="s">
        <v>62</v>
      </c>
      <c r="N112" s="6" t="s">
        <v>63</v>
      </c>
      <c r="O112" s="6" t="s">
        <v>310</v>
      </c>
      <c r="P112" s="6"/>
      <c r="Q112" s="6" t="str">
        <f>VLOOKUP(G112,seznampsc!A:B,2,FALSE)</f>
        <v>Žďár nad Sázavou</v>
      </c>
      <c r="R112" s="6" t="str">
        <f>VLOOKUP(G112,seznampsc!A:C,3,FALSE)</f>
        <v>Kraj Vysočina</v>
      </c>
      <c r="S112" s="6">
        <v>49.349169500000002</v>
      </c>
      <c r="T112" s="6">
        <v>16.002116600000001</v>
      </c>
      <c r="U112" s="6"/>
      <c r="V112" s="6"/>
      <c r="W112" s="6"/>
      <c r="X112" s="6"/>
      <c r="Y112" s="6"/>
      <c r="Z112" s="6"/>
      <c r="AA112" s="6"/>
      <c r="AB112" s="6"/>
      <c r="AC112" s="6"/>
      <c r="AD112" s="6">
        <v>480</v>
      </c>
      <c r="AE112" s="6">
        <v>580</v>
      </c>
      <c r="AF112" s="6">
        <v>580</v>
      </c>
      <c r="AG112" s="6"/>
      <c r="AH112" s="6"/>
      <c r="AI112" s="6"/>
      <c r="AJ112" s="6">
        <v>120</v>
      </c>
      <c r="AK112" s="6">
        <v>130</v>
      </c>
      <c r="AL112" s="6"/>
      <c r="AM112" s="6"/>
      <c r="AN112" s="6"/>
      <c r="AO112" s="6"/>
      <c r="AP112" s="6"/>
      <c r="AQ112" s="6">
        <v>5</v>
      </c>
      <c r="AR112" s="6"/>
      <c r="AS112" s="6" t="s">
        <v>199</v>
      </c>
      <c r="AT112" s="6"/>
      <c r="AV112" s="3">
        <v>50000</v>
      </c>
    </row>
    <row r="113" spans="1:48" ht="24" customHeight="1" x14ac:dyDescent="0.3">
      <c r="A113" s="3" t="s">
        <v>53</v>
      </c>
      <c r="B113" s="6" t="s">
        <v>65</v>
      </c>
      <c r="C113" s="6" t="s">
        <v>781</v>
      </c>
      <c r="D113" s="6">
        <v>28751931</v>
      </c>
      <c r="E113" s="6" t="s">
        <v>782</v>
      </c>
      <c r="F113" s="6" t="s">
        <v>783</v>
      </c>
      <c r="G113" s="6">
        <v>41702</v>
      </c>
      <c r="H113" s="6" t="s">
        <v>784</v>
      </c>
      <c r="I113" s="6" t="s">
        <v>785</v>
      </c>
      <c r="J113" s="6" t="s">
        <v>786</v>
      </c>
      <c r="K113" s="6">
        <v>608403703</v>
      </c>
      <c r="L113" s="6" t="s">
        <v>151</v>
      </c>
      <c r="M113" s="6" t="s">
        <v>62</v>
      </c>
      <c r="N113" s="3" t="s">
        <v>63</v>
      </c>
      <c r="O113" s="8" t="s">
        <v>787</v>
      </c>
      <c r="P113" s="6"/>
      <c r="Q113" s="6" t="str">
        <f>VLOOKUP(G113,seznampsc!A:B,2,FALSE)</f>
        <v>Teplice</v>
      </c>
      <c r="R113" s="6" t="str">
        <f>VLOOKUP(G113,seznampsc!A:C,3,FALSE)</f>
        <v>Ústecký kraj</v>
      </c>
      <c r="S113" s="6">
        <v>50.668396600000001</v>
      </c>
      <c r="T113" s="6">
        <v>13.809047899999999</v>
      </c>
      <c r="AD113" s="3">
        <v>680</v>
      </c>
      <c r="AE113" s="3">
        <v>680</v>
      </c>
      <c r="AF113" s="3">
        <v>680</v>
      </c>
      <c r="AJ113" s="3">
        <v>107</v>
      </c>
      <c r="AK113" s="3">
        <v>116</v>
      </c>
      <c r="AQ113" s="3">
        <v>10</v>
      </c>
      <c r="AS113" s="3" t="s">
        <v>199</v>
      </c>
      <c r="AU113" s="6"/>
      <c r="AV113" s="3">
        <v>200000</v>
      </c>
    </row>
    <row r="114" spans="1:48" ht="24" customHeight="1" x14ac:dyDescent="0.3">
      <c r="A114" s="6"/>
      <c r="B114" s="6" t="s">
        <v>65</v>
      </c>
      <c r="C114" s="6" t="s">
        <v>781</v>
      </c>
      <c r="D114" s="6" t="s">
        <v>788</v>
      </c>
      <c r="E114" s="6" t="s">
        <v>782</v>
      </c>
      <c r="F114" s="6" t="s">
        <v>783</v>
      </c>
      <c r="G114" s="6">
        <v>41702</v>
      </c>
      <c r="H114" s="6" t="s">
        <v>784</v>
      </c>
      <c r="I114" s="6" t="s">
        <v>789</v>
      </c>
      <c r="J114" s="6" t="s">
        <v>786</v>
      </c>
      <c r="K114" s="6">
        <v>608403777.41757095</v>
      </c>
      <c r="L114" s="6" t="s">
        <v>73</v>
      </c>
      <c r="M114" s="6" t="s">
        <v>62</v>
      </c>
      <c r="N114" s="6" t="s">
        <v>63</v>
      </c>
      <c r="O114" s="6" t="s">
        <v>790</v>
      </c>
      <c r="P114" s="6"/>
      <c r="Q114" s="6" t="str">
        <f>VLOOKUP(G114,seznampsc!A:B,2,FALSE)</f>
        <v>Teplice</v>
      </c>
      <c r="R114" s="6" t="str">
        <f>VLOOKUP(G114,seznampsc!A:C,3,FALSE)</f>
        <v>Ústecký kraj</v>
      </c>
      <c r="S114" s="6">
        <v>50.668396600000001</v>
      </c>
      <c r="T114" s="6">
        <v>13.809047899999999</v>
      </c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</row>
    <row r="115" spans="1:48" ht="24" customHeight="1" x14ac:dyDescent="0.3">
      <c r="A115" s="6" t="s">
        <v>53</v>
      </c>
      <c r="B115" s="6" t="s">
        <v>65</v>
      </c>
      <c r="C115" s="6" t="s">
        <v>791</v>
      </c>
      <c r="D115" s="6" t="s">
        <v>792</v>
      </c>
      <c r="E115" s="6" t="s">
        <v>793</v>
      </c>
      <c r="F115" s="6" t="s">
        <v>794</v>
      </c>
      <c r="G115" s="6">
        <v>29441</v>
      </c>
      <c r="H115" s="6" t="s">
        <v>795</v>
      </c>
      <c r="I115" s="6" t="s">
        <v>796</v>
      </c>
      <c r="J115" s="6" t="s">
        <v>797</v>
      </c>
      <c r="K115" s="6">
        <v>602275077.32639802</v>
      </c>
      <c r="L115" s="6" t="s">
        <v>73</v>
      </c>
      <c r="M115" s="6" t="s">
        <v>62</v>
      </c>
      <c r="N115" s="6" t="s">
        <v>63</v>
      </c>
      <c r="O115" s="6" t="s">
        <v>798</v>
      </c>
      <c r="P115" s="6"/>
      <c r="Q115" s="6" t="str">
        <f>VLOOKUP(G115,seznampsc!A:B,2,FALSE)</f>
        <v>Mladá Boleslav</v>
      </c>
      <c r="R115" s="6" t="str">
        <f>VLOOKUP(G115,seznampsc!A:C,3,FALSE)</f>
        <v>Středočeský kraj</v>
      </c>
      <c r="S115" s="6">
        <v>50.371119899999997</v>
      </c>
      <c r="T115" s="6">
        <v>14.9708551</v>
      </c>
      <c r="U115" s="6"/>
      <c r="V115" s="6"/>
      <c r="W115" s="6"/>
      <c r="X115" s="6"/>
      <c r="Y115" s="6"/>
      <c r="Z115" s="6"/>
      <c r="AA115" s="6"/>
      <c r="AB115" s="6"/>
      <c r="AC115" s="6"/>
      <c r="AD115" s="6">
        <v>450</v>
      </c>
      <c r="AE115" s="6">
        <v>450</v>
      </c>
      <c r="AF115" s="6"/>
      <c r="AG115" s="6"/>
      <c r="AH115" s="6"/>
      <c r="AI115" s="6"/>
      <c r="AJ115" s="6">
        <v>120</v>
      </c>
      <c r="AK115" s="6">
        <v>130</v>
      </c>
      <c r="AL115" s="6"/>
      <c r="AM115" s="6"/>
      <c r="AN115" s="6"/>
      <c r="AO115" s="6"/>
      <c r="AP115" s="6"/>
      <c r="AQ115" s="6">
        <v>5</v>
      </c>
      <c r="AR115" s="6"/>
      <c r="AS115" s="6" t="s">
        <v>199</v>
      </c>
      <c r="AT115" s="6"/>
      <c r="AV115" s="3">
        <v>50000</v>
      </c>
    </row>
    <row r="116" spans="1:48" ht="24" customHeight="1" x14ac:dyDescent="0.3">
      <c r="A116" s="6"/>
      <c r="B116" s="6" t="s">
        <v>65</v>
      </c>
      <c r="C116" s="6" t="s">
        <v>799</v>
      </c>
      <c r="D116" s="6">
        <v>47916567</v>
      </c>
      <c r="E116" s="6" t="s">
        <v>800</v>
      </c>
      <c r="F116" s="6" t="s">
        <v>801</v>
      </c>
      <c r="G116" s="6">
        <v>62700</v>
      </c>
      <c r="H116" s="6" t="s">
        <v>272</v>
      </c>
      <c r="I116" s="6" t="s">
        <v>802</v>
      </c>
      <c r="J116" s="6" t="s">
        <v>803</v>
      </c>
      <c r="K116" s="6">
        <v>548216503</v>
      </c>
      <c r="L116" s="6" t="s">
        <v>586</v>
      </c>
      <c r="M116" s="6" t="s">
        <v>84</v>
      </c>
      <c r="N116" s="6" t="s">
        <v>63</v>
      </c>
      <c r="O116" s="6" t="s">
        <v>804</v>
      </c>
      <c r="P116" s="6"/>
      <c r="Q116" s="6" t="str">
        <f>VLOOKUP(G116,seznampsc!A:B,2,FALSE)</f>
        <v>Brno-město</v>
      </c>
      <c r="R116" s="6" t="str">
        <f>VLOOKUP(G116,seznampsc!A:C,3,FALSE)</f>
        <v>Jihomoravský kraj</v>
      </c>
      <c r="S116" s="6">
        <v>49.18336</v>
      </c>
      <c r="T116" s="6">
        <v>16.674510000000001</v>
      </c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V116" s="10">
        <v>200000</v>
      </c>
    </row>
    <row r="117" spans="1:48" ht="24" customHeight="1" x14ac:dyDescent="0.3">
      <c r="A117" s="6" t="s">
        <v>53</v>
      </c>
      <c r="B117" s="6" t="s">
        <v>65</v>
      </c>
      <c r="C117" s="6" t="s">
        <v>805</v>
      </c>
      <c r="D117" s="6" t="s">
        <v>806</v>
      </c>
      <c r="E117" s="6" t="s">
        <v>807</v>
      </c>
      <c r="F117" s="6" t="s">
        <v>808</v>
      </c>
      <c r="G117" s="6">
        <v>37006</v>
      </c>
      <c r="H117" s="6" t="s">
        <v>460</v>
      </c>
      <c r="I117" s="6" t="s">
        <v>809</v>
      </c>
      <c r="J117" s="6" t="s">
        <v>810</v>
      </c>
      <c r="K117" s="6" t="s">
        <v>811</v>
      </c>
      <c r="L117" s="6" t="s">
        <v>73</v>
      </c>
      <c r="M117" s="6" t="s">
        <v>62</v>
      </c>
      <c r="N117" s="6" t="s">
        <v>63</v>
      </c>
      <c r="O117" s="6" t="s">
        <v>812</v>
      </c>
      <c r="P117" s="6"/>
      <c r="Q117" s="6" t="str">
        <f>VLOOKUP(G117,seznampsc!A:B,2,FALSE)</f>
        <v>České Budějovice</v>
      </c>
      <c r="R117" s="6" t="str">
        <f>VLOOKUP(G117,seznampsc!A:C,3,FALSE)</f>
        <v>Jihočeský kraj</v>
      </c>
      <c r="S117" s="6">
        <v>48.970517899999997</v>
      </c>
      <c r="T117" s="6">
        <v>14.502155699999999</v>
      </c>
      <c r="U117" s="6"/>
      <c r="V117" s="6"/>
      <c r="W117" s="6"/>
      <c r="X117" s="6"/>
      <c r="Y117" s="6"/>
      <c r="Z117" s="6"/>
      <c r="AA117" s="6"/>
      <c r="AB117" s="6"/>
      <c r="AC117" s="6"/>
      <c r="AD117" s="6">
        <v>550</v>
      </c>
      <c r="AE117" s="6">
        <v>550</v>
      </c>
      <c r="AF117" s="6">
        <v>550</v>
      </c>
      <c r="AG117" s="6"/>
      <c r="AH117" s="6"/>
      <c r="AI117" s="6"/>
      <c r="AJ117" s="6">
        <v>107</v>
      </c>
      <c r="AK117" s="6">
        <v>116</v>
      </c>
      <c r="AL117" s="6"/>
      <c r="AM117" s="6"/>
      <c r="AN117" s="6"/>
      <c r="AO117" s="6"/>
      <c r="AP117" s="6"/>
      <c r="AQ117" s="6"/>
      <c r="AR117" s="6"/>
      <c r="AS117" s="6" t="s">
        <v>199</v>
      </c>
      <c r="AT117" s="6"/>
      <c r="AV117" s="3">
        <v>50000</v>
      </c>
    </row>
    <row r="118" spans="1:48" ht="24" customHeight="1" x14ac:dyDescent="0.3">
      <c r="A118" s="6" t="s">
        <v>53</v>
      </c>
      <c r="B118" s="6" t="s">
        <v>65</v>
      </c>
      <c r="C118" s="6" t="s">
        <v>813</v>
      </c>
      <c r="D118" s="6" t="s">
        <v>814</v>
      </c>
      <c r="E118" s="6" t="s">
        <v>815</v>
      </c>
      <c r="F118" s="6" t="s">
        <v>816</v>
      </c>
      <c r="G118" s="6">
        <v>69701</v>
      </c>
      <c r="H118" s="6" t="s">
        <v>817</v>
      </c>
      <c r="I118" s="6" t="s">
        <v>818</v>
      </c>
      <c r="J118" s="6" t="s">
        <v>819</v>
      </c>
      <c r="K118" s="6">
        <v>777604450.77719104</v>
      </c>
      <c r="L118" s="6" t="s">
        <v>73</v>
      </c>
      <c r="M118" s="6" t="s">
        <v>62</v>
      </c>
      <c r="N118" s="6" t="s">
        <v>63</v>
      </c>
      <c r="O118" s="6" t="s">
        <v>820</v>
      </c>
      <c r="P118" s="6"/>
      <c r="Q118" s="6" t="str">
        <f>VLOOKUP(G118,seznampsc!A:B,2,FALSE)</f>
        <v>Hodonín</v>
      </c>
      <c r="R118" s="6" t="str">
        <f>VLOOKUP(G118,seznampsc!A:C,3,FALSE)</f>
        <v>Jihomoravský kraj</v>
      </c>
      <c r="S118" s="6">
        <v>49.004979200000001</v>
      </c>
      <c r="T118" s="6">
        <v>17.131631200000001</v>
      </c>
      <c r="U118" s="6"/>
      <c r="V118" s="6"/>
      <c r="W118" s="6"/>
      <c r="X118" s="6"/>
      <c r="Y118" s="6"/>
      <c r="Z118" s="6"/>
      <c r="AA118" s="6"/>
      <c r="AB118" s="6"/>
      <c r="AC118" s="6"/>
      <c r="AD118" s="6">
        <v>695</v>
      </c>
      <c r="AE118" s="6">
        <v>695</v>
      </c>
      <c r="AF118" s="6">
        <v>760</v>
      </c>
      <c r="AG118" s="6"/>
      <c r="AH118" s="6"/>
      <c r="AI118" s="6"/>
      <c r="AJ118" s="6">
        <v>107</v>
      </c>
      <c r="AK118" s="6">
        <v>116</v>
      </c>
      <c r="AL118" s="6"/>
      <c r="AM118" s="6"/>
      <c r="AN118" s="6"/>
      <c r="AO118" s="6"/>
      <c r="AP118" s="6"/>
      <c r="AQ118" s="6">
        <v>5</v>
      </c>
      <c r="AR118" s="6"/>
      <c r="AS118" s="6"/>
      <c r="AT118" s="6"/>
      <c r="AV118" s="3">
        <v>100000</v>
      </c>
    </row>
    <row r="119" spans="1:48" ht="24" customHeight="1" x14ac:dyDescent="0.3">
      <c r="A119" s="6"/>
      <c r="B119" s="6" t="s">
        <v>65</v>
      </c>
      <c r="C119" s="6" t="s">
        <v>821</v>
      </c>
      <c r="D119" s="9">
        <v>25878883</v>
      </c>
      <c r="E119" s="6" t="s">
        <v>822</v>
      </c>
      <c r="F119" s="6" t="s">
        <v>823</v>
      </c>
      <c r="G119" s="6">
        <v>71900</v>
      </c>
      <c r="H119" s="6" t="s">
        <v>824</v>
      </c>
      <c r="I119" s="6" t="s">
        <v>825</v>
      </c>
      <c r="J119" s="6" t="s">
        <v>826</v>
      </c>
      <c r="K119" s="8" t="s">
        <v>827</v>
      </c>
      <c r="L119" s="6" t="s">
        <v>197</v>
      </c>
      <c r="M119" s="6" t="s">
        <v>62</v>
      </c>
      <c r="N119" s="6" t="s">
        <v>158</v>
      </c>
      <c r="O119" s="8" t="s">
        <v>828</v>
      </c>
      <c r="P119" s="6"/>
      <c r="Q119" s="6" t="str">
        <f>VLOOKUP(G119,seznampsc!A:B,2,FALSE)</f>
        <v>Ostrava-město</v>
      </c>
      <c r="R119" s="6" t="str">
        <f>VLOOKUP(G119,seznampsc!A:C,3,FALSE)</f>
        <v>Moravskoslezský kraj</v>
      </c>
      <c r="S119" s="6">
        <v>49.802848099999999</v>
      </c>
      <c r="T119" s="6">
        <v>18.290530799999999</v>
      </c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3" t="s">
        <v>829</v>
      </c>
      <c r="AV119" s="10">
        <v>200000</v>
      </c>
    </row>
    <row r="120" spans="1:48" ht="24" customHeight="1" x14ac:dyDescent="0.3">
      <c r="B120" s="6" t="s">
        <v>65</v>
      </c>
      <c r="C120" s="6" t="s">
        <v>821</v>
      </c>
      <c r="D120" s="6">
        <v>25878883</v>
      </c>
      <c r="E120" s="6" t="s">
        <v>822</v>
      </c>
      <c r="F120" s="6" t="s">
        <v>823</v>
      </c>
      <c r="G120" s="6">
        <v>71900</v>
      </c>
      <c r="H120" s="6" t="s">
        <v>824</v>
      </c>
      <c r="I120" s="6" t="s">
        <v>825</v>
      </c>
      <c r="J120" s="6" t="s">
        <v>826</v>
      </c>
      <c r="K120" s="6" t="s">
        <v>827</v>
      </c>
      <c r="L120" s="6" t="s">
        <v>586</v>
      </c>
      <c r="M120" s="6" t="s">
        <v>830</v>
      </c>
      <c r="N120" s="6" t="s">
        <v>158</v>
      </c>
      <c r="O120" s="6" t="s">
        <v>828</v>
      </c>
      <c r="P120" s="6"/>
      <c r="Q120" s="6" t="str">
        <f>VLOOKUP(G120,seznampsc!A:B,2,FALSE)</f>
        <v>Ostrava-město</v>
      </c>
      <c r="R120" s="6" t="str">
        <f>VLOOKUP(G120,seznampsc!A:C,3,FALSE)</f>
        <v>Moravskoslezský kraj</v>
      </c>
      <c r="S120" s="6" t="s">
        <v>831</v>
      </c>
      <c r="T120" s="6" t="s">
        <v>832</v>
      </c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8">
        <v>200000</v>
      </c>
    </row>
    <row r="121" spans="1:48" ht="24" customHeight="1" x14ac:dyDescent="0.3">
      <c r="A121" s="6"/>
      <c r="B121" s="6" t="s">
        <v>65</v>
      </c>
      <c r="C121" s="6" t="s">
        <v>821</v>
      </c>
      <c r="D121" s="6" t="s">
        <v>833</v>
      </c>
      <c r="E121" s="6" t="s">
        <v>822</v>
      </c>
      <c r="F121" s="6" t="s">
        <v>823</v>
      </c>
      <c r="G121" s="6">
        <v>71900</v>
      </c>
      <c r="H121" s="6" t="s">
        <v>824</v>
      </c>
      <c r="I121" s="6" t="s">
        <v>834</v>
      </c>
      <c r="J121" s="6" t="s">
        <v>835</v>
      </c>
      <c r="K121" s="6">
        <v>553770085.77732599</v>
      </c>
      <c r="L121" s="6" t="s">
        <v>73</v>
      </c>
      <c r="M121" s="6" t="s">
        <v>62</v>
      </c>
      <c r="N121" s="6" t="s">
        <v>63</v>
      </c>
      <c r="O121" s="6" t="s">
        <v>74</v>
      </c>
      <c r="P121" s="6"/>
      <c r="Q121" s="6" t="str">
        <f>VLOOKUP(G121,seznampsc!A:B,2,FALSE)</f>
        <v>Ostrava-město</v>
      </c>
      <c r="R121" s="6" t="str">
        <f>VLOOKUP(G121,seznampsc!A:C,3,FALSE)</f>
        <v>Moravskoslezský kraj</v>
      </c>
      <c r="S121" s="6">
        <v>49.802848099999999</v>
      </c>
      <c r="T121" s="6">
        <v>18.290530799999999</v>
      </c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</row>
    <row r="122" spans="1:48" ht="24" customHeight="1" x14ac:dyDescent="0.3">
      <c r="A122" s="6" t="s">
        <v>53</v>
      </c>
      <c r="B122" s="6" t="s">
        <v>65</v>
      </c>
      <c r="C122" s="6" t="s">
        <v>836</v>
      </c>
      <c r="D122" s="6" t="s">
        <v>837</v>
      </c>
      <c r="E122" s="6" t="s">
        <v>838</v>
      </c>
      <c r="F122" s="6" t="s">
        <v>839</v>
      </c>
      <c r="G122" s="6">
        <v>38715</v>
      </c>
      <c r="H122" s="6" t="s">
        <v>840</v>
      </c>
      <c r="I122" s="6" t="s">
        <v>841</v>
      </c>
      <c r="J122" s="6" t="s">
        <v>842</v>
      </c>
      <c r="K122" s="6">
        <v>604273702.38339901</v>
      </c>
      <c r="L122" s="6" t="s">
        <v>73</v>
      </c>
      <c r="M122" s="6" t="s">
        <v>62</v>
      </c>
      <c r="N122" s="6" t="s">
        <v>63</v>
      </c>
      <c r="O122" s="6" t="s">
        <v>588</v>
      </c>
      <c r="P122" s="6"/>
      <c r="Q122" s="6" t="str">
        <f>VLOOKUP(G122,seznampsc!A:B,2,FALSE)</f>
        <v>Strakonice</v>
      </c>
      <c r="R122" s="6" t="str">
        <f>VLOOKUP(G122,seznampsc!A:C,3,FALSE)</f>
        <v>Jihočeský kraj</v>
      </c>
      <c r="S122" s="6">
        <v>49.324534900000003</v>
      </c>
      <c r="T122" s="6">
        <v>13.780645</v>
      </c>
      <c r="U122" s="6"/>
      <c r="V122" s="6"/>
      <c r="W122" s="6"/>
      <c r="X122" s="6"/>
      <c r="Y122" s="6"/>
      <c r="Z122" s="6"/>
      <c r="AA122" s="6"/>
      <c r="AB122" s="6"/>
      <c r="AC122" s="6"/>
      <c r="AD122" s="6">
        <v>660</v>
      </c>
      <c r="AE122" s="6">
        <v>660</v>
      </c>
      <c r="AF122" s="6">
        <v>700</v>
      </c>
      <c r="AG122" s="6"/>
      <c r="AH122" s="6"/>
      <c r="AI122" s="6"/>
      <c r="AJ122" s="6">
        <v>107</v>
      </c>
      <c r="AK122" s="6">
        <v>107</v>
      </c>
      <c r="AL122" s="6"/>
      <c r="AM122" s="6"/>
      <c r="AN122" s="6"/>
      <c r="AO122" s="6"/>
      <c r="AP122" s="6"/>
      <c r="AQ122" s="6">
        <v>5</v>
      </c>
      <c r="AR122" s="6"/>
      <c r="AS122" s="6"/>
      <c r="AT122" s="6"/>
      <c r="AU122" s="3" t="s">
        <v>843</v>
      </c>
      <c r="AV122" s="3">
        <v>100000</v>
      </c>
    </row>
    <row r="123" spans="1:48" ht="24" customHeight="1" x14ac:dyDescent="0.3">
      <c r="A123" s="6" t="s">
        <v>53</v>
      </c>
      <c r="B123" s="6" t="s">
        <v>65</v>
      </c>
      <c r="C123" s="6" t="s">
        <v>844</v>
      </c>
      <c r="D123" s="6" t="s">
        <v>845</v>
      </c>
      <c r="E123" s="6" t="s">
        <v>846</v>
      </c>
      <c r="F123" s="6" t="s">
        <v>847</v>
      </c>
      <c r="G123" s="6">
        <v>25101</v>
      </c>
      <c r="H123" s="6" t="s">
        <v>848</v>
      </c>
      <c r="I123" s="6" t="s">
        <v>849</v>
      </c>
      <c r="J123" s="6" t="s">
        <v>850</v>
      </c>
      <c r="K123" s="6">
        <v>777222432</v>
      </c>
      <c r="L123" s="6" t="s">
        <v>73</v>
      </c>
      <c r="M123" s="6" t="s">
        <v>62</v>
      </c>
      <c r="N123" s="6" t="s">
        <v>63</v>
      </c>
      <c r="O123" s="6" t="s">
        <v>851</v>
      </c>
      <c r="P123" s="6"/>
      <c r="Q123" s="6" t="str">
        <f>VLOOKUP(G123,seznampsc!A:B,2,FALSE)</f>
        <v>Praha-východ</v>
      </c>
      <c r="R123" s="6" t="str">
        <f>VLOOKUP(G123,seznampsc!A:C,3,FALSE)</f>
        <v>Středočeský kraj</v>
      </c>
      <c r="S123" s="6">
        <v>49.969098700000004</v>
      </c>
      <c r="T123" s="6">
        <v>14.5965852</v>
      </c>
      <c r="U123" s="6"/>
      <c r="V123" s="6"/>
      <c r="W123" s="6"/>
      <c r="X123" s="6"/>
      <c r="Y123" s="6"/>
      <c r="Z123" s="6"/>
      <c r="AA123" s="6"/>
      <c r="AB123" s="6"/>
      <c r="AC123" s="6"/>
      <c r="AD123" s="6">
        <v>600</v>
      </c>
      <c r="AE123" s="6">
        <v>660</v>
      </c>
      <c r="AF123" s="6">
        <v>660</v>
      </c>
      <c r="AG123" s="6"/>
      <c r="AH123" s="6"/>
      <c r="AI123" s="6"/>
      <c r="AJ123" s="6">
        <v>107</v>
      </c>
      <c r="AK123" s="6">
        <v>107</v>
      </c>
      <c r="AL123" s="6"/>
      <c r="AM123" s="6"/>
      <c r="AN123" s="6"/>
      <c r="AO123" s="6"/>
      <c r="AP123" s="6"/>
      <c r="AQ123" s="6">
        <v>5</v>
      </c>
      <c r="AR123" s="6"/>
      <c r="AS123" s="6" t="s">
        <v>852</v>
      </c>
      <c r="AT123" s="6"/>
      <c r="AV123" s="3">
        <v>100000</v>
      </c>
    </row>
    <row r="124" spans="1:48" ht="24" customHeight="1" x14ac:dyDescent="0.3">
      <c r="A124" s="1"/>
      <c r="B124" s="1" t="s">
        <v>65</v>
      </c>
      <c r="C124" s="1" t="s">
        <v>853</v>
      </c>
      <c r="D124" s="1" t="s">
        <v>854</v>
      </c>
      <c r="E124" s="1" t="s">
        <v>855</v>
      </c>
      <c r="F124" s="1" t="s">
        <v>856</v>
      </c>
      <c r="G124" s="1">
        <v>76001</v>
      </c>
      <c r="H124" s="1" t="s">
        <v>230</v>
      </c>
      <c r="I124" s="1" t="s">
        <v>857</v>
      </c>
      <c r="J124" s="1" t="s">
        <v>858</v>
      </c>
      <c r="K124" s="1">
        <v>604233073</v>
      </c>
      <c r="L124" s="1" t="s">
        <v>73</v>
      </c>
      <c r="M124" s="1" t="s">
        <v>62</v>
      </c>
      <c r="N124" s="1" t="s">
        <v>63</v>
      </c>
      <c r="O124" s="1" t="s">
        <v>859</v>
      </c>
      <c r="P124" s="1"/>
      <c r="Q124" s="6" t="str">
        <f>VLOOKUP(G124,seznampsc!A:B,2,FALSE)</f>
        <v>Zlín</v>
      </c>
      <c r="R124" s="6" t="str">
        <f>VLOOKUP(G124,seznampsc!A:C,3,FALSE)</f>
        <v>Zlínský kraj</v>
      </c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 t="s">
        <v>860</v>
      </c>
      <c r="AV124" s="1"/>
    </row>
    <row r="125" spans="1:48" ht="24" customHeight="1" x14ac:dyDescent="0.3">
      <c r="A125" s="6" t="s">
        <v>53</v>
      </c>
      <c r="B125" s="6" t="s">
        <v>65</v>
      </c>
      <c r="C125" s="6" t="s">
        <v>861</v>
      </c>
      <c r="D125" s="6" t="s">
        <v>862</v>
      </c>
      <c r="E125" s="6" t="s">
        <v>863</v>
      </c>
      <c r="F125" s="6" t="s">
        <v>864</v>
      </c>
      <c r="G125" s="6">
        <v>26701</v>
      </c>
      <c r="H125" s="6" t="s">
        <v>865</v>
      </c>
      <c r="I125" s="6" t="s">
        <v>866</v>
      </c>
      <c r="J125" s="6" t="s">
        <v>867</v>
      </c>
      <c r="K125" s="6">
        <v>734231323.601367</v>
      </c>
      <c r="L125" s="6" t="s">
        <v>73</v>
      </c>
      <c r="M125" s="6" t="s">
        <v>62</v>
      </c>
      <c r="N125" s="6" t="s">
        <v>63</v>
      </c>
      <c r="O125" s="6" t="s">
        <v>455</v>
      </c>
      <c r="P125" s="6"/>
      <c r="Q125" s="6" t="str">
        <f>VLOOKUP(G125,seznampsc!A:B,2,FALSE)</f>
        <v>Beroun</v>
      </c>
      <c r="R125" s="6" t="str">
        <f>VLOOKUP(G125,seznampsc!A:C,3,FALSE)</f>
        <v>Středočeský kraj</v>
      </c>
      <c r="S125" s="6">
        <v>49.940626000000002</v>
      </c>
      <c r="T125" s="6">
        <v>14.0290622</v>
      </c>
      <c r="U125" s="6"/>
      <c r="V125" s="6"/>
      <c r="W125" s="6"/>
      <c r="X125" s="6"/>
      <c r="Y125" s="6"/>
      <c r="Z125" s="6"/>
      <c r="AA125" s="6"/>
      <c r="AB125" s="6"/>
      <c r="AC125" s="6"/>
      <c r="AD125" s="6">
        <v>650</v>
      </c>
      <c r="AE125" s="6">
        <v>650</v>
      </c>
      <c r="AF125" s="6">
        <v>700</v>
      </c>
      <c r="AG125" s="6"/>
      <c r="AH125" s="6"/>
      <c r="AI125" s="6"/>
      <c r="AJ125" s="6">
        <v>107</v>
      </c>
      <c r="AK125" s="6">
        <v>107</v>
      </c>
      <c r="AL125" s="6"/>
      <c r="AM125" s="6"/>
      <c r="AN125" s="6"/>
      <c r="AO125" s="6"/>
      <c r="AP125" s="6"/>
      <c r="AQ125" s="6">
        <v>5</v>
      </c>
      <c r="AR125" s="6"/>
      <c r="AS125" s="6"/>
      <c r="AT125" s="6"/>
      <c r="AV125" s="3">
        <v>100000</v>
      </c>
    </row>
    <row r="126" spans="1:48" ht="24" customHeight="1" x14ac:dyDescent="0.3">
      <c r="A126" s="6" t="s">
        <v>53</v>
      </c>
      <c r="B126" s="6" t="s">
        <v>65</v>
      </c>
      <c r="C126" s="6" t="s">
        <v>868</v>
      </c>
      <c r="D126" s="6" t="s">
        <v>869</v>
      </c>
      <c r="E126" s="6" t="s">
        <v>870</v>
      </c>
      <c r="F126" s="6" t="s">
        <v>871</v>
      </c>
      <c r="G126" s="6">
        <v>73801</v>
      </c>
      <c r="H126" s="6" t="s">
        <v>477</v>
      </c>
      <c r="I126" s="6" t="s">
        <v>872</v>
      </c>
      <c r="J126" s="6" t="s">
        <v>873</v>
      </c>
      <c r="K126" s="6">
        <v>777918162</v>
      </c>
      <c r="L126" s="6" t="s">
        <v>73</v>
      </c>
      <c r="M126" s="6" t="s">
        <v>62</v>
      </c>
      <c r="N126" s="6" t="s">
        <v>63</v>
      </c>
      <c r="O126" s="6" t="s">
        <v>216</v>
      </c>
      <c r="P126" s="6"/>
      <c r="Q126" s="6" t="str">
        <f>VLOOKUP(G126,seznampsc!A:B,2,FALSE)</f>
        <v>Frýdek-Místek</v>
      </c>
      <c r="R126" s="6" t="str">
        <f>VLOOKUP(G126,seznampsc!A:C,3,FALSE)</f>
        <v>Moravskoslezský kraj</v>
      </c>
      <c r="S126" s="6">
        <v>49.670702299999903</v>
      </c>
      <c r="T126" s="6">
        <v>18.332985499999999</v>
      </c>
      <c r="U126" s="6"/>
      <c r="V126" s="6"/>
      <c r="W126" s="6"/>
      <c r="X126" s="6"/>
      <c r="Y126" s="6"/>
      <c r="Z126" s="6"/>
      <c r="AA126" s="6"/>
      <c r="AB126" s="6"/>
      <c r="AC126" s="6"/>
      <c r="AD126" s="6">
        <v>400</v>
      </c>
      <c r="AE126" s="6">
        <v>400</v>
      </c>
      <c r="AF126" s="6">
        <v>450</v>
      </c>
      <c r="AG126" s="6"/>
      <c r="AH126" s="6"/>
      <c r="AI126" s="6"/>
      <c r="AJ126" s="6">
        <v>120</v>
      </c>
      <c r="AK126" s="6">
        <v>130</v>
      </c>
      <c r="AL126" s="6"/>
      <c r="AM126" s="6"/>
      <c r="AN126" s="6"/>
      <c r="AO126" s="6"/>
      <c r="AP126" s="6"/>
      <c r="AQ126" s="6">
        <v>5</v>
      </c>
      <c r="AR126" s="6"/>
      <c r="AS126" s="6" t="s">
        <v>199</v>
      </c>
      <c r="AT126" s="6"/>
      <c r="AV126" s="3">
        <v>50000</v>
      </c>
    </row>
    <row r="127" spans="1:48" ht="24" customHeight="1" x14ac:dyDescent="0.3">
      <c r="A127" s="6" t="s">
        <v>53</v>
      </c>
      <c r="B127" s="6" t="s">
        <v>65</v>
      </c>
      <c r="C127" s="6" t="s">
        <v>874</v>
      </c>
      <c r="D127" s="6" t="s">
        <v>875</v>
      </c>
      <c r="E127" s="6" t="s">
        <v>876</v>
      </c>
      <c r="F127" s="6" t="s">
        <v>877</v>
      </c>
      <c r="G127" s="6">
        <v>35601</v>
      </c>
      <c r="H127" s="6" t="s">
        <v>878</v>
      </c>
      <c r="I127" s="6" t="s">
        <v>879</v>
      </c>
      <c r="J127" s="6" t="s">
        <v>880</v>
      </c>
      <c r="K127" s="6">
        <v>608319740</v>
      </c>
      <c r="L127" s="6" t="s">
        <v>73</v>
      </c>
      <c r="M127" s="6" t="s">
        <v>62</v>
      </c>
      <c r="N127" s="6" t="s">
        <v>63</v>
      </c>
      <c r="O127" s="6" t="s">
        <v>181</v>
      </c>
      <c r="P127" s="6"/>
      <c r="Q127" s="6" t="str">
        <f>VLOOKUP(G127,seznampsc!A:B,2,FALSE)</f>
        <v>Sokolov</v>
      </c>
      <c r="R127" s="6" t="str">
        <f>VLOOKUP(G127,seznampsc!A:C,3,FALSE)</f>
        <v>Karlovarský kraj</v>
      </c>
      <c r="S127" s="6">
        <v>50.185845200000003</v>
      </c>
      <c r="T127" s="6">
        <v>12.638913199999999</v>
      </c>
      <c r="U127" s="6"/>
      <c r="V127" s="6"/>
      <c r="W127" s="6"/>
      <c r="X127" s="6"/>
      <c r="Y127" s="6"/>
      <c r="Z127" s="6"/>
      <c r="AA127" s="6"/>
      <c r="AB127" s="6"/>
      <c r="AC127" s="6"/>
      <c r="AD127" s="6">
        <v>650</v>
      </c>
      <c r="AE127" s="6">
        <v>700</v>
      </c>
      <c r="AF127" s="6">
        <v>700</v>
      </c>
      <c r="AG127" s="6"/>
      <c r="AH127" s="6"/>
      <c r="AI127" s="6"/>
      <c r="AJ127" s="6">
        <v>107</v>
      </c>
      <c r="AK127" s="6">
        <v>116</v>
      </c>
      <c r="AL127" s="6"/>
      <c r="AM127" s="6"/>
      <c r="AN127" s="6"/>
      <c r="AO127" s="6"/>
      <c r="AP127" s="6"/>
      <c r="AQ127" s="6">
        <v>5</v>
      </c>
      <c r="AR127" s="6"/>
      <c r="AS127" s="6" t="s">
        <v>199</v>
      </c>
      <c r="AT127" s="6"/>
      <c r="AV127" s="3">
        <v>100000</v>
      </c>
    </row>
    <row r="128" spans="1:48" ht="24" customHeight="1" x14ac:dyDescent="0.3">
      <c r="A128" s="6" t="s">
        <v>53</v>
      </c>
      <c r="B128" s="6" t="s">
        <v>65</v>
      </c>
      <c r="C128" s="6" t="s">
        <v>881</v>
      </c>
      <c r="D128" s="6" t="s">
        <v>882</v>
      </c>
      <c r="E128" s="6" t="s">
        <v>883</v>
      </c>
      <c r="F128" s="6" t="s">
        <v>884</v>
      </c>
      <c r="G128" s="6">
        <v>25401</v>
      </c>
      <c r="H128" s="6" t="s">
        <v>885</v>
      </c>
      <c r="I128" s="6" t="s">
        <v>886</v>
      </c>
      <c r="J128" s="6" t="s">
        <v>887</v>
      </c>
      <c r="K128" s="6">
        <v>602296674</v>
      </c>
      <c r="L128" s="6" t="s">
        <v>73</v>
      </c>
      <c r="M128" s="6" t="s">
        <v>62</v>
      </c>
      <c r="N128" s="6" t="s">
        <v>63</v>
      </c>
      <c r="O128" s="6" t="s">
        <v>455</v>
      </c>
      <c r="P128" s="6"/>
      <c r="Q128" s="6" t="str">
        <f>VLOOKUP(G128,seznampsc!A:B,2,FALSE)</f>
        <v>Praha-západ</v>
      </c>
      <c r="R128" s="6" t="str">
        <f>VLOOKUP(G128,seznampsc!A:C,3,FALSE)</f>
        <v>Středočeský kraj</v>
      </c>
      <c r="S128" s="6">
        <v>49.9005261</v>
      </c>
      <c r="T128" s="6">
        <v>14.5123941</v>
      </c>
      <c r="U128" s="6"/>
      <c r="V128" s="6"/>
      <c r="W128" s="6"/>
      <c r="X128" s="6"/>
      <c r="Y128" s="6"/>
      <c r="Z128" s="6"/>
      <c r="AA128" s="6"/>
      <c r="AB128" s="6"/>
      <c r="AC128" s="6"/>
      <c r="AD128" s="6">
        <v>690</v>
      </c>
      <c r="AE128" s="6">
        <v>690</v>
      </c>
      <c r="AF128" s="6">
        <v>690</v>
      </c>
      <c r="AG128" s="6"/>
      <c r="AH128" s="6"/>
      <c r="AI128" s="6"/>
      <c r="AJ128" s="6">
        <v>107</v>
      </c>
      <c r="AK128" s="6">
        <v>107</v>
      </c>
      <c r="AL128" s="6"/>
      <c r="AM128" s="6"/>
      <c r="AN128" s="6"/>
      <c r="AO128" s="6"/>
      <c r="AP128" s="6"/>
      <c r="AQ128" s="6"/>
      <c r="AR128" s="6"/>
      <c r="AS128" s="6" t="s">
        <v>199</v>
      </c>
      <c r="AT128" s="6"/>
      <c r="AV128" s="3">
        <v>100000</v>
      </c>
    </row>
    <row r="129" spans="1:48" ht="24" customHeight="1" x14ac:dyDescent="0.3">
      <c r="A129" s="6" t="s">
        <v>53</v>
      </c>
      <c r="B129" s="6" t="s">
        <v>65</v>
      </c>
      <c r="C129" s="6" t="s">
        <v>888</v>
      </c>
      <c r="D129" s="6" t="s">
        <v>889</v>
      </c>
      <c r="E129" s="6" t="s">
        <v>890</v>
      </c>
      <c r="F129" s="6" t="s">
        <v>891</v>
      </c>
      <c r="G129" s="6">
        <v>74283</v>
      </c>
      <c r="H129" s="6" t="s">
        <v>892</v>
      </c>
      <c r="I129" s="6" t="s">
        <v>893</v>
      </c>
      <c r="J129" s="6" t="s">
        <v>894</v>
      </c>
      <c r="K129" s="6">
        <v>602718341</v>
      </c>
      <c r="L129" s="6" t="s">
        <v>73</v>
      </c>
      <c r="M129" s="6" t="s">
        <v>62</v>
      </c>
      <c r="N129" s="6" t="s">
        <v>63</v>
      </c>
      <c r="O129" s="6" t="s">
        <v>224</v>
      </c>
      <c r="P129" s="6"/>
      <c r="Q129" s="6" t="str">
        <f>VLOOKUP(G129,seznampsc!A:B,2,FALSE)</f>
        <v>Ostrava-město</v>
      </c>
      <c r="R129" s="6" t="str">
        <f>VLOOKUP(G129,seznampsc!A:C,3,FALSE)</f>
        <v>Moravskoslezský kraj</v>
      </c>
      <c r="S129" s="6">
        <v>49.805336599999997</v>
      </c>
      <c r="T129" s="6">
        <v>18.1259324</v>
      </c>
      <c r="U129" s="6"/>
      <c r="V129" s="6"/>
      <c r="W129" s="6"/>
      <c r="X129" s="6"/>
      <c r="Y129" s="6"/>
      <c r="Z129" s="6"/>
      <c r="AA129" s="6"/>
      <c r="AB129" s="6"/>
      <c r="AC129" s="6"/>
      <c r="AD129" s="6">
        <v>620</v>
      </c>
      <c r="AE129" s="6">
        <v>620</v>
      </c>
      <c r="AF129" s="6">
        <v>670</v>
      </c>
      <c r="AG129" s="6"/>
      <c r="AH129" s="6"/>
      <c r="AI129" s="6"/>
      <c r="AJ129" s="6">
        <v>107</v>
      </c>
      <c r="AK129" s="6">
        <v>116</v>
      </c>
      <c r="AL129" s="6"/>
      <c r="AM129" s="6"/>
      <c r="AN129" s="6"/>
      <c r="AO129" s="6"/>
      <c r="AP129" s="6"/>
      <c r="AQ129" s="6">
        <v>5</v>
      </c>
      <c r="AR129" s="6"/>
      <c r="AS129" s="6" t="s">
        <v>199</v>
      </c>
      <c r="AT129" s="6"/>
      <c r="AV129" s="3">
        <v>100000</v>
      </c>
    </row>
    <row r="130" spans="1:48" ht="24" customHeight="1" x14ac:dyDescent="0.3">
      <c r="A130" s="1" t="s">
        <v>381</v>
      </c>
      <c r="B130" s="1" t="s">
        <v>65</v>
      </c>
      <c r="C130" s="1" t="s">
        <v>895</v>
      </c>
      <c r="D130" s="1" t="s">
        <v>896</v>
      </c>
      <c r="E130" s="1" t="s">
        <v>897</v>
      </c>
      <c r="F130" s="1" t="s">
        <v>898</v>
      </c>
      <c r="G130" s="1">
        <v>39301</v>
      </c>
      <c r="H130" s="1" t="s">
        <v>899</v>
      </c>
      <c r="I130" s="1" t="s">
        <v>900</v>
      </c>
      <c r="J130" s="1" t="s">
        <v>901</v>
      </c>
      <c r="K130" s="1" t="s">
        <v>902</v>
      </c>
      <c r="L130" s="1" t="s">
        <v>577</v>
      </c>
      <c r="M130" s="1" t="s">
        <v>389</v>
      </c>
      <c r="N130" s="1" t="s">
        <v>63</v>
      </c>
      <c r="O130" s="1" t="s">
        <v>903</v>
      </c>
      <c r="P130" s="1"/>
      <c r="Q130" s="1"/>
      <c r="R130" s="1"/>
      <c r="S130" s="1">
        <v>49.426238400000003</v>
      </c>
      <c r="T130" s="1">
        <v>15.2195087</v>
      </c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ht="24" customHeight="1" x14ac:dyDescent="0.3">
      <c r="A131" s="6" t="s">
        <v>53</v>
      </c>
      <c r="B131" s="6" t="s">
        <v>65</v>
      </c>
      <c r="C131" s="6" t="s">
        <v>904</v>
      </c>
      <c r="D131" s="6" t="s">
        <v>905</v>
      </c>
      <c r="E131" s="6" t="s">
        <v>906</v>
      </c>
      <c r="F131" s="6" t="s">
        <v>907</v>
      </c>
      <c r="G131" s="6">
        <v>73911</v>
      </c>
      <c r="H131" s="6" t="s">
        <v>908</v>
      </c>
      <c r="I131" s="6" t="s">
        <v>909</v>
      </c>
      <c r="J131" s="6" t="s">
        <v>910</v>
      </c>
      <c r="K131" s="6">
        <v>608741043</v>
      </c>
      <c r="L131" s="6" t="s">
        <v>73</v>
      </c>
      <c r="M131" s="6" t="s">
        <v>62</v>
      </c>
      <c r="N131" s="6" t="s">
        <v>63</v>
      </c>
      <c r="O131" s="6" t="s">
        <v>911</v>
      </c>
      <c r="P131" s="6"/>
      <c r="Q131" s="6" t="str">
        <f>VLOOKUP(G131,seznampsc!A:B,2,FALSE)</f>
        <v>Frýdek-Místek</v>
      </c>
      <c r="R131" s="6" t="str">
        <f>VLOOKUP(G131,seznampsc!A:C,3,FALSE)</f>
        <v>Moravskoslezský kraj</v>
      </c>
      <c r="S131" s="6">
        <v>49.582833000000001</v>
      </c>
      <c r="T131" s="6">
        <v>18.360087799999999</v>
      </c>
      <c r="U131" s="6"/>
      <c r="V131" s="6"/>
      <c r="W131" s="6"/>
      <c r="X131" s="6"/>
      <c r="Y131" s="6"/>
      <c r="Z131" s="6"/>
      <c r="AA131" s="6"/>
      <c r="AB131" s="6"/>
      <c r="AC131" s="6"/>
      <c r="AD131" s="6">
        <v>570</v>
      </c>
      <c r="AE131" s="6">
        <v>570</v>
      </c>
      <c r="AF131" s="6">
        <v>680</v>
      </c>
      <c r="AG131" s="6"/>
      <c r="AH131" s="6"/>
      <c r="AI131" s="6"/>
      <c r="AJ131" s="6">
        <v>107</v>
      </c>
      <c r="AK131" s="6">
        <v>107</v>
      </c>
      <c r="AL131" s="6"/>
      <c r="AM131" s="6"/>
      <c r="AN131" s="6"/>
      <c r="AO131" s="6"/>
      <c r="AP131" s="6">
        <v>3</v>
      </c>
      <c r="AQ131" s="6">
        <v>10</v>
      </c>
      <c r="AR131" s="6"/>
      <c r="AS131" s="6">
        <v>30</v>
      </c>
      <c r="AT131" s="6"/>
      <c r="AV131" s="3">
        <v>100000</v>
      </c>
    </row>
    <row r="132" spans="1:48" ht="24" customHeight="1" x14ac:dyDescent="0.3">
      <c r="A132" s="6"/>
      <c r="B132" s="6" t="s">
        <v>65</v>
      </c>
      <c r="C132" s="6" t="s">
        <v>912</v>
      </c>
      <c r="D132" s="6" t="s">
        <v>913</v>
      </c>
      <c r="E132" s="6" t="s">
        <v>914</v>
      </c>
      <c r="F132" s="6" t="s">
        <v>915</v>
      </c>
      <c r="G132" s="6">
        <v>27204</v>
      </c>
      <c r="H132" s="6" t="s">
        <v>916</v>
      </c>
      <c r="I132" s="6" t="s">
        <v>917</v>
      </c>
      <c r="J132" s="6" t="s">
        <v>918</v>
      </c>
      <c r="K132" s="6">
        <v>312817111</v>
      </c>
      <c r="L132" s="6" t="s">
        <v>83</v>
      </c>
      <c r="M132" s="6" t="s">
        <v>919</v>
      </c>
      <c r="N132" s="6" t="s">
        <v>63</v>
      </c>
      <c r="O132" s="6" t="s">
        <v>920</v>
      </c>
      <c r="P132" s="6"/>
      <c r="Q132" s="6" t="str">
        <f>VLOOKUP(G132,seznampsc!A:B,2,FALSE)</f>
        <v>Kladno</v>
      </c>
      <c r="R132" s="6" t="str">
        <f>VLOOKUP(G132,seznampsc!A:C,3,FALSE)</f>
        <v>Středočeský kraj</v>
      </c>
      <c r="S132" s="6">
        <v>50.140504700000001</v>
      </c>
      <c r="T132" s="6">
        <v>14.064041599999999</v>
      </c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V132" s="10">
        <v>200000</v>
      </c>
    </row>
    <row r="133" spans="1:48" ht="24" customHeight="1" x14ac:dyDescent="0.3">
      <c r="A133" s="6"/>
      <c r="B133" s="6" t="s">
        <v>65</v>
      </c>
      <c r="C133" s="6" t="s">
        <v>921</v>
      </c>
      <c r="D133" s="6" t="s">
        <v>922</v>
      </c>
      <c r="E133" s="6" t="s">
        <v>923</v>
      </c>
      <c r="F133" s="6" t="s">
        <v>924</v>
      </c>
      <c r="G133" s="6">
        <v>69003</v>
      </c>
      <c r="H133" s="6" t="s">
        <v>925</v>
      </c>
      <c r="I133" s="6" t="s">
        <v>917</v>
      </c>
      <c r="J133" s="6" t="s">
        <v>926</v>
      </c>
      <c r="K133" s="6">
        <v>519326500.51932698</v>
      </c>
      <c r="L133" s="6" t="s">
        <v>83</v>
      </c>
      <c r="M133" s="6" t="s">
        <v>927</v>
      </c>
      <c r="N133" s="6" t="s">
        <v>63</v>
      </c>
      <c r="O133" s="6" t="s">
        <v>928</v>
      </c>
      <c r="P133" s="6"/>
      <c r="Q133" s="6" t="str">
        <f>VLOOKUP(G133,seznampsc!A:B,2,FALSE)</f>
        <v>Břeclav</v>
      </c>
      <c r="R133" s="6" t="str">
        <f>VLOOKUP(G133,seznampsc!A:C,3,FALSE)</f>
        <v>Jihomoravský kraj</v>
      </c>
      <c r="S133" s="6">
        <v>48.777917700000003</v>
      </c>
      <c r="T133" s="6">
        <v>16.8972251</v>
      </c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V133" s="10">
        <v>200000</v>
      </c>
    </row>
    <row r="134" spans="1:48" ht="24" customHeight="1" x14ac:dyDescent="0.3">
      <c r="A134" s="6"/>
      <c r="B134" s="6" t="s">
        <v>65</v>
      </c>
      <c r="C134" s="6" t="s">
        <v>921</v>
      </c>
      <c r="D134" s="6" t="s">
        <v>922</v>
      </c>
      <c r="E134" s="6" t="s">
        <v>923</v>
      </c>
      <c r="F134" s="6" t="s">
        <v>929</v>
      </c>
      <c r="G134" s="6">
        <v>69301</v>
      </c>
      <c r="H134" s="6" t="s">
        <v>930</v>
      </c>
      <c r="I134" s="6" t="s">
        <v>917</v>
      </c>
      <c r="J134" s="6" t="s">
        <v>931</v>
      </c>
      <c r="K134" s="6">
        <v>519402450</v>
      </c>
      <c r="L134" s="6" t="s">
        <v>83</v>
      </c>
      <c r="M134" s="6" t="s">
        <v>927</v>
      </c>
      <c r="N134" s="6" t="s">
        <v>63</v>
      </c>
      <c r="O134" s="6" t="s">
        <v>932</v>
      </c>
      <c r="P134" s="6"/>
      <c r="Q134" s="6" t="str">
        <f>VLOOKUP(G134,seznampsc!A:B,2,FALSE)</f>
        <v>Břeclav</v>
      </c>
      <c r="R134" s="6" t="str">
        <f>VLOOKUP(G134,seznampsc!A:C,3,FALSE)</f>
        <v>Jihomoravský kraj</v>
      </c>
      <c r="S134" s="6">
        <v>48.948052500000003</v>
      </c>
      <c r="T134" s="6">
        <v>16.7288028</v>
      </c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V134" s="10">
        <v>200000</v>
      </c>
    </row>
    <row r="135" spans="1:48" ht="24" customHeight="1" x14ac:dyDescent="0.3">
      <c r="A135" s="6"/>
      <c r="B135" s="6" t="s">
        <v>65</v>
      </c>
      <c r="C135" s="6" t="s">
        <v>921</v>
      </c>
      <c r="D135" s="6" t="s">
        <v>922</v>
      </c>
      <c r="E135" s="6" t="s">
        <v>923</v>
      </c>
      <c r="F135" s="6" t="s">
        <v>933</v>
      </c>
      <c r="G135" s="6">
        <v>66442</v>
      </c>
      <c r="H135" s="6" t="s">
        <v>376</v>
      </c>
      <c r="I135" s="6" t="s">
        <v>917</v>
      </c>
      <c r="J135" s="6" t="s">
        <v>934</v>
      </c>
      <c r="K135" s="6">
        <v>548210280</v>
      </c>
      <c r="L135" s="6" t="s">
        <v>83</v>
      </c>
      <c r="M135" s="6" t="s">
        <v>927</v>
      </c>
      <c r="N135" s="6" t="s">
        <v>63</v>
      </c>
      <c r="O135" s="6" t="s">
        <v>935</v>
      </c>
      <c r="P135" s="6"/>
      <c r="Q135" s="6" t="str">
        <f>VLOOKUP(G135,seznampsc!A:B,2,FALSE)</f>
        <v>Brno-město</v>
      </c>
      <c r="R135" s="6" t="str">
        <f>VLOOKUP(G135,seznampsc!A:C,3,FALSE)</f>
        <v>Jihomoravský kraj</v>
      </c>
      <c r="S135" s="6">
        <v>49.133092499999997</v>
      </c>
      <c r="T135" s="6">
        <v>16.6292045</v>
      </c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V135" s="10">
        <v>200000</v>
      </c>
    </row>
    <row r="136" spans="1:48" ht="24" customHeight="1" x14ac:dyDescent="0.3">
      <c r="A136" s="1"/>
      <c r="B136" s="1" t="s">
        <v>936</v>
      </c>
      <c r="C136" s="1" t="s">
        <v>937</v>
      </c>
      <c r="D136" s="1" t="s">
        <v>938</v>
      </c>
      <c r="E136" s="1" t="s">
        <v>939</v>
      </c>
      <c r="F136" s="1" t="s">
        <v>940</v>
      </c>
      <c r="G136" s="1">
        <v>70200</v>
      </c>
      <c r="H136" s="1" t="s">
        <v>941</v>
      </c>
      <c r="I136" s="1" t="s">
        <v>939</v>
      </c>
      <c r="J136" s="1" t="s">
        <v>942</v>
      </c>
      <c r="K136" s="1">
        <v>595693048</v>
      </c>
      <c r="L136" s="1" t="s">
        <v>73</v>
      </c>
      <c r="M136" s="1" t="s">
        <v>62</v>
      </c>
      <c r="N136" s="1" t="s">
        <v>63</v>
      </c>
      <c r="O136" s="1" t="s">
        <v>248</v>
      </c>
      <c r="P136" s="1"/>
      <c r="Q136" s="6" t="str">
        <f>VLOOKUP(G136,seznampsc!A:B,2,FALSE)</f>
        <v>Ostrava-město</v>
      </c>
      <c r="R136" s="6" t="str">
        <f>VLOOKUP(G136,seznampsc!A:C,3,FALSE)</f>
        <v>Moravskoslezský kraj</v>
      </c>
      <c r="S136" s="1">
        <v>49.836272600000001</v>
      </c>
      <c r="T136" s="1">
        <v>18.270631900000001</v>
      </c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 t="s">
        <v>943</v>
      </c>
      <c r="AV136" s="1"/>
    </row>
    <row r="137" spans="1:48" ht="24" customHeight="1" x14ac:dyDescent="0.3">
      <c r="A137" s="6" t="s">
        <v>53</v>
      </c>
      <c r="B137" s="6" t="s">
        <v>65</v>
      </c>
      <c r="C137" s="6" t="s">
        <v>944</v>
      </c>
      <c r="D137" s="6" t="s">
        <v>945</v>
      </c>
      <c r="E137" s="6" t="s">
        <v>946</v>
      </c>
      <c r="F137" s="6" t="s">
        <v>947</v>
      </c>
      <c r="G137" s="6">
        <v>69619</v>
      </c>
      <c r="H137" s="6" t="s">
        <v>948</v>
      </c>
      <c r="I137" s="6" t="s">
        <v>949</v>
      </c>
      <c r="J137" s="6" t="s">
        <v>950</v>
      </c>
      <c r="K137" s="6">
        <v>736484818</v>
      </c>
      <c r="L137" s="6" t="s">
        <v>73</v>
      </c>
      <c r="M137" s="6" t="s">
        <v>62</v>
      </c>
      <c r="N137" s="6" t="s">
        <v>63</v>
      </c>
      <c r="O137" s="6" t="s">
        <v>693</v>
      </c>
      <c r="P137" s="6"/>
      <c r="Q137" s="6" t="str">
        <f>VLOOKUP(G137,seznampsc!A:B,2,FALSE)</f>
        <v>Hodonín</v>
      </c>
      <c r="R137" s="6" t="str">
        <f>VLOOKUP(G137,seznampsc!A:C,3,FALSE)</f>
        <v>Jihomoravský kraj</v>
      </c>
      <c r="S137" s="6" t="s">
        <v>951</v>
      </c>
      <c r="T137" s="6" t="s">
        <v>952</v>
      </c>
      <c r="U137" s="6"/>
      <c r="V137" s="6"/>
      <c r="W137" s="6"/>
      <c r="X137" s="6"/>
      <c r="Y137" s="6"/>
      <c r="Z137" s="6"/>
      <c r="AA137" s="6"/>
      <c r="AB137" s="6"/>
      <c r="AC137" s="6"/>
      <c r="AD137" s="6">
        <v>690</v>
      </c>
      <c r="AE137" s="6">
        <v>690</v>
      </c>
      <c r="AF137" s="6">
        <v>700</v>
      </c>
      <c r="AG137" s="6"/>
      <c r="AH137" s="6"/>
      <c r="AI137" s="6"/>
      <c r="AJ137" s="6">
        <v>107</v>
      </c>
      <c r="AK137" s="6">
        <v>107</v>
      </c>
      <c r="AL137" s="6"/>
      <c r="AM137" s="6"/>
      <c r="AN137" s="6"/>
      <c r="AO137" s="6"/>
      <c r="AP137" s="6"/>
      <c r="AQ137" s="6">
        <v>5</v>
      </c>
      <c r="AR137" s="6"/>
      <c r="AS137" s="6"/>
      <c r="AT137" s="6"/>
      <c r="AV137" s="3">
        <v>100000</v>
      </c>
    </row>
    <row r="138" spans="1:48" ht="24" customHeight="1" x14ac:dyDescent="0.3">
      <c r="A138" s="6" t="s">
        <v>53</v>
      </c>
      <c r="B138" s="6" t="s">
        <v>65</v>
      </c>
      <c r="C138" s="6" t="s">
        <v>953</v>
      </c>
      <c r="D138" s="6" t="s">
        <v>954</v>
      </c>
      <c r="E138" s="6" t="s">
        <v>955</v>
      </c>
      <c r="F138" s="6" t="s">
        <v>956</v>
      </c>
      <c r="G138" s="6">
        <v>73601</v>
      </c>
      <c r="H138" s="6" t="s">
        <v>957</v>
      </c>
      <c r="I138" s="6" t="s">
        <v>958</v>
      </c>
      <c r="J138" s="6" t="s">
        <v>959</v>
      </c>
      <c r="K138" s="6">
        <v>721721821.77576005</v>
      </c>
      <c r="L138" s="6" t="s">
        <v>73</v>
      </c>
      <c r="M138" s="6" t="s">
        <v>62</v>
      </c>
      <c r="N138" s="6" t="s">
        <v>63</v>
      </c>
      <c r="O138" s="6" t="s">
        <v>960</v>
      </c>
      <c r="P138" s="6"/>
      <c r="Q138" s="6" t="str">
        <f>VLOOKUP(G138,seznampsc!A:B,2,FALSE)</f>
        <v>Karviná</v>
      </c>
      <c r="R138" s="6" t="str">
        <f>VLOOKUP(G138,seznampsc!A:C,3,FALSE)</f>
        <v>Moravskoslezský kraj</v>
      </c>
      <c r="S138" s="6">
        <v>49.779359100000001</v>
      </c>
      <c r="T138" s="6">
        <v>18.449790400000001</v>
      </c>
      <c r="U138" s="6"/>
      <c r="V138" s="6"/>
      <c r="W138" s="6"/>
      <c r="X138" s="6"/>
      <c r="Y138" s="6"/>
      <c r="Z138" s="6"/>
      <c r="AA138" s="6"/>
      <c r="AB138" s="6"/>
      <c r="AC138" s="6"/>
      <c r="AD138" s="6">
        <v>600</v>
      </c>
      <c r="AE138" s="6">
        <v>600</v>
      </c>
      <c r="AF138" s="6">
        <v>700</v>
      </c>
      <c r="AG138" s="6"/>
      <c r="AH138" s="6"/>
      <c r="AI138" s="6"/>
      <c r="AJ138" s="6">
        <v>100</v>
      </c>
      <c r="AK138" s="6">
        <v>100</v>
      </c>
      <c r="AL138" s="6"/>
      <c r="AM138" s="6"/>
      <c r="AN138" s="6"/>
      <c r="AO138" s="6"/>
      <c r="AP138" s="6">
        <v>4</v>
      </c>
      <c r="AQ138" s="6">
        <v>10</v>
      </c>
      <c r="AR138" s="6"/>
      <c r="AS138" s="6" t="s">
        <v>199</v>
      </c>
      <c r="AT138" s="6"/>
      <c r="AV138" s="3">
        <v>100000</v>
      </c>
    </row>
    <row r="139" spans="1:48" ht="24" customHeight="1" x14ac:dyDescent="0.3">
      <c r="A139" s="6" t="s">
        <v>53</v>
      </c>
      <c r="B139" s="6" t="s">
        <v>65</v>
      </c>
      <c r="C139" s="6" t="s">
        <v>961</v>
      </c>
      <c r="D139" s="6" t="s">
        <v>962</v>
      </c>
      <c r="E139" s="6" t="s">
        <v>963</v>
      </c>
      <c r="F139" s="6" t="s">
        <v>964</v>
      </c>
      <c r="G139" s="6">
        <v>73561</v>
      </c>
      <c r="H139" s="6" t="s">
        <v>965</v>
      </c>
      <c r="I139" s="6"/>
      <c r="J139" s="6" t="s">
        <v>966</v>
      </c>
      <c r="K139" s="6">
        <v>777673631.77767301</v>
      </c>
      <c r="L139" s="6" t="s">
        <v>73</v>
      </c>
      <c r="M139" s="6" t="s">
        <v>62</v>
      </c>
      <c r="N139" s="6" t="s">
        <v>63</v>
      </c>
      <c r="O139" s="6" t="s">
        <v>967</v>
      </c>
      <c r="P139" s="6"/>
      <c r="Q139" s="6" t="str">
        <f>VLOOKUP(G139,seznampsc!A:B,2,FALSE)</f>
        <v>Karviná</v>
      </c>
      <c r="R139" s="6" t="str">
        <f>VLOOKUP(G139,seznampsc!A:C,3,FALSE)</f>
        <v>Moravskoslezský kraj</v>
      </c>
      <c r="S139" s="6">
        <v>49.765347200000001</v>
      </c>
      <c r="T139" s="6">
        <v>18.608565200000001</v>
      </c>
      <c r="U139" s="6"/>
      <c r="V139" s="6"/>
      <c r="W139" s="6"/>
      <c r="X139" s="6"/>
      <c r="Y139" s="6"/>
      <c r="Z139" s="6"/>
      <c r="AA139" s="6"/>
      <c r="AB139" s="6"/>
      <c r="AC139" s="6"/>
      <c r="AD139" s="6">
        <v>650</v>
      </c>
      <c r="AE139" s="6">
        <v>650</v>
      </c>
      <c r="AF139" s="6">
        <v>700</v>
      </c>
      <c r="AG139" s="6"/>
      <c r="AH139" s="6"/>
      <c r="AI139" s="6"/>
      <c r="AJ139" s="6">
        <v>107</v>
      </c>
      <c r="AK139" s="6">
        <v>116</v>
      </c>
      <c r="AL139" s="6"/>
      <c r="AM139" s="6"/>
      <c r="AN139" s="6"/>
      <c r="AO139" s="6"/>
      <c r="AP139" s="6"/>
      <c r="AQ139" s="6">
        <v>5</v>
      </c>
      <c r="AR139" s="6"/>
      <c r="AS139" s="6" t="s">
        <v>199</v>
      </c>
      <c r="AT139" s="6"/>
      <c r="AV139" s="3">
        <v>100000</v>
      </c>
    </row>
    <row r="140" spans="1:48" ht="24" customHeight="1" x14ac:dyDescent="0.3">
      <c r="A140" s="6" t="s">
        <v>53</v>
      </c>
      <c r="B140" s="6" t="s">
        <v>65</v>
      </c>
      <c r="C140" s="6" t="s">
        <v>968</v>
      </c>
      <c r="D140" s="6" t="s">
        <v>969</v>
      </c>
      <c r="E140" s="6" t="s">
        <v>970</v>
      </c>
      <c r="F140" s="6" t="s">
        <v>971</v>
      </c>
      <c r="G140" s="6">
        <v>40747</v>
      </c>
      <c r="H140" s="6" t="s">
        <v>972</v>
      </c>
      <c r="I140" s="6"/>
      <c r="J140" s="6" t="s">
        <v>973</v>
      </c>
      <c r="K140" s="6" t="s">
        <v>974</v>
      </c>
      <c r="L140" s="6" t="s">
        <v>73</v>
      </c>
      <c r="M140" s="6" t="s">
        <v>62</v>
      </c>
      <c r="N140" s="6" t="s">
        <v>63</v>
      </c>
      <c r="O140" s="6"/>
      <c r="P140" s="6"/>
      <c r="Q140" s="6" t="str">
        <f>VLOOKUP(G140,seznampsc!A:B,2,FALSE)</f>
        <v>Děčín</v>
      </c>
      <c r="R140" s="6" t="str">
        <f>VLOOKUP(G140,seznampsc!A:C,3,FALSE)</f>
        <v>Ústecký kraj</v>
      </c>
      <c r="S140" s="6">
        <v>50.912158699999999</v>
      </c>
      <c r="T140" s="6">
        <v>14.6320035</v>
      </c>
      <c r="U140" s="6"/>
      <c r="V140" s="6"/>
      <c r="W140" s="6"/>
      <c r="X140" s="6"/>
      <c r="Y140" s="6"/>
      <c r="Z140" s="6"/>
      <c r="AA140" s="6"/>
      <c r="AB140" s="6"/>
      <c r="AC140" s="6"/>
      <c r="AD140" s="6">
        <v>650</v>
      </c>
      <c r="AE140" s="6">
        <v>650</v>
      </c>
      <c r="AF140" s="6">
        <v>650</v>
      </c>
      <c r="AG140" s="6"/>
      <c r="AH140" s="6"/>
      <c r="AI140" s="6"/>
      <c r="AJ140" s="6">
        <v>107</v>
      </c>
      <c r="AK140" s="6">
        <v>107</v>
      </c>
      <c r="AL140" s="6"/>
      <c r="AM140" s="6"/>
      <c r="AN140" s="6"/>
      <c r="AO140" s="6"/>
      <c r="AP140" s="6"/>
      <c r="AQ140" s="6">
        <v>5</v>
      </c>
      <c r="AR140" s="6"/>
      <c r="AS140" s="6" t="s">
        <v>199</v>
      </c>
      <c r="AT140" s="6"/>
      <c r="AV140" s="3">
        <v>100000</v>
      </c>
    </row>
    <row r="141" spans="1:48" ht="24" customHeight="1" x14ac:dyDescent="0.3">
      <c r="A141" s="3" t="s">
        <v>53</v>
      </c>
      <c r="B141" s="6" t="s">
        <v>65</v>
      </c>
      <c r="C141" s="6" t="s">
        <v>975</v>
      </c>
      <c r="D141" s="6">
        <v>27144020</v>
      </c>
      <c r="E141" s="6" t="s">
        <v>976</v>
      </c>
      <c r="F141" s="6" t="s">
        <v>977</v>
      </c>
      <c r="G141" s="6">
        <v>19800</v>
      </c>
      <c r="H141" s="6" t="s">
        <v>978</v>
      </c>
      <c r="I141" s="6" t="s">
        <v>979</v>
      </c>
      <c r="J141" s="6" t="s">
        <v>980</v>
      </c>
      <c r="K141" s="6">
        <v>777504620</v>
      </c>
      <c r="L141" s="6" t="s">
        <v>151</v>
      </c>
      <c r="M141" s="6" t="s">
        <v>152</v>
      </c>
      <c r="N141" s="3" t="s">
        <v>63</v>
      </c>
      <c r="O141" s="6" t="s">
        <v>981</v>
      </c>
      <c r="P141" s="6"/>
      <c r="Q141" s="6" t="str">
        <f>VLOOKUP(G141,seznampsc!A:B,2,FALSE)</f>
        <v>Hlavní město Praha</v>
      </c>
      <c r="R141" s="6" t="str">
        <f>VLOOKUP(G141,seznampsc!A:C,3,FALSE)</f>
        <v>Hlavní město Praha</v>
      </c>
      <c r="S141" s="6">
        <v>50.1048872</v>
      </c>
      <c r="T141" s="6">
        <v>14.5338092</v>
      </c>
      <c r="AD141" s="3">
        <v>765</v>
      </c>
      <c r="AE141" s="3">
        <v>765</v>
      </c>
      <c r="AF141" s="3">
        <v>765</v>
      </c>
      <c r="AJ141" s="3">
        <v>107</v>
      </c>
      <c r="AK141" s="3">
        <v>116</v>
      </c>
      <c r="AP141" s="3">
        <v>3</v>
      </c>
      <c r="AQ141" s="3">
        <v>10</v>
      </c>
      <c r="AS141" s="3" t="s">
        <v>199</v>
      </c>
      <c r="AU141" s="3" t="s">
        <v>982</v>
      </c>
      <c r="AV141" s="3">
        <v>200000</v>
      </c>
    </row>
    <row r="142" spans="1:48" ht="24" customHeight="1" x14ac:dyDescent="0.3">
      <c r="A142" s="3" t="s">
        <v>53</v>
      </c>
      <c r="B142" s="6" t="s">
        <v>65</v>
      </c>
      <c r="C142" s="6" t="s">
        <v>975</v>
      </c>
      <c r="D142" s="6">
        <v>27144020</v>
      </c>
      <c r="E142" s="6" t="s">
        <v>976</v>
      </c>
      <c r="F142" s="6" t="s">
        <v>983</v>
      </c>
      <c r="G142" s="6">
        <v>15500</v>
      </c>
      <c r="H142" s="6" t="s">
        <v>984</v>
      </c>
      <c r="I142" s="6" t="s">
        <v>985</v>
      </c>
      <c r="J142" s="6" t="s">
        <v>986</v>
      </c>
      <c r="K142" s="6">
        <v>773003620</v>
      </c>
      <c r="L142" s="6" t="s">
        <v>151</v>
      </c>
      <c r="M142" s="6" t="s">
        <v>152</v>
      </c>
      <c r="N142" s="3" t="s">
        <v>63</v>
      </c>
      <c r="O142" s="6" t="s">
        <v>981</v>
      </c>
      <c r="P142" s="6"/>
      <c r="Q142" s="6" t="str">
        <f>VLOOKUP(G142,seznampsc!A:B,2,FALSE)</f>
        <v>Hlavní město Praha</v>
      </c>
      <c r="R142" s="6" t="str">
        <f>VLOOKUP(G142,seznampsc!A:C,3,FALSE)</f>
        <v>Hlavní město Praha</v>
      </c>
      <c r="S142" s="6">
        <v>50.070530299999902</v>
      </c>
      <c r="T142" s="6">
        <v>14.385413700000001</v>
      </c>
      <c r="AD142" s="3">
        <v>765</v>
      </c>
      <c r="AE142" s="3">
        <v>765</v>
      </c>
      <c r="AF142" s="3">
        <v>765</v>
      </c>
      <c r="AJ142" s="3">
        <v>107</v>
      </c>
      <c r="AK142" s="3">
        <v>116</v>
      </c>
      <c r="AP142" s="3">
        <v>3</v>
      </c>
      <c r="AQ142" s="3">
        <v>10</v>
      </c>
      <c r="AS142" s="3" t="s">
        <v>199</v>
      </c>
      <c r="AU142" s="3" t="s">
        <v>987</v>
      </c>
      <c r="AV142" s="3">
        <v>200000</v>
      </c>
    </row>
    <row r="143" spans="1:48" ht="24" customHeight="1" x14ac:dyDescent="0.3">
      <c r="A143" s="6" t="s">
        <v>53</v>
      </c>
      <c r="B143" s="6" t="s">
        <v>65</v>
      </c>
      <c r="C143" s="6" t="s">
        <v>988</v>
      </c>
      <c r="D143" s="6">
        <v>24733733</v>
      </c>
      <c r="E143" s="6" t="s">
        <v>989</v>
      </c>
      <c r="F143" s="6" t="s">
        <v>990</v>
      </c>
      <c r="G143" s="6">
        <v>19800</v>
      </c>
      <c r="H143" s="6" t="s">
        <v>978</v>
      </c>
      <c r="I143" s="6" t="s">
        <v>991</v>
      </c>
      <c r="J143" s="6" t="s">
        <v>992</v>
      </c>
      <c r="K143" s="6">
        <v>602800606</v>
      </c>
      <c r="L143" s="6" t="s">
        <v>586</v>
      </c>
      <c r="M143" s="6" t="s">
        <v>993</v>
      </c>
      <c r="N143" s="6" t="s">
        <v>63</v>
      </c>
      <c r="O143" s="6" t="s">
        <v>994</v>
      </c>
      <c r="P143" s="6"/>
      <c r="Q143" s="6" t="str">
        <f>VLOOKUP(G143,seznampsc!A:B,2,FALSE)</f>
        <v>Hlavní město Praha</v>
      </c>
      <c r="R143" s="6" t="str">
        <f>VLOOKUP(G143,seznampsc!A:C,3,FALSE)</f>
        <v>Hlavní město Praha</v>
      </c>
      <c r="S143" s="6">
        <v>50.112417299999997</v>
      </c>
      <c r="T143" s="6">
        <v>14.550981699999999</v>
      </c>
      <c r="U143" s="6"/>
      <c r="V143" s="6"/>
      <c r="W143" s="6"/>
      <c r="X143" s="6"/>
      <c r="Y143" s="6"/>
      <c r="Z143" s="6"/>
      <c r="AA143" s="6"/>
      <c r="AB143" s="6"/>
      <c r="AC143" s="6"/>
      <c r="AD143" s="6">
        <v>800</v>
      </c>
      <c r="AE143" s="6">
        <v>800</v>
      </c>
      <c r="AF143" s="6">
        <v>800</v>
      </c>
      <c r="AG143" s="6"/>
      <c r="AH143" s="6"/>
      <c r="AI143" s="6"/>
      <c r="AJ143" s="6">
        <v>107</v>
      </c>
      <c r="AK143" s="6">
        <v>116</v>
      </c>
      <c r="AL143" s="6"/>
      <c r="AM143" s="6"/>
      <c r="AN143" s="6"/>
      <c r="AO143" s="6"/>
      <c r="AP143" s="6"/>
      <c r="AQ143" s="6"/>
      <c r="AR143" s="6"/>
      <c r="AS143" s="6"/>
      <c r="AT143" s="6"/>
      <c r="AV143" s="10">
        <v>100000</v>
      </c>
    </row>
    <row r="144" spans="1:48" ht="24" customHeight="1" x14ac:dyDescent="0.3">
      <c r="A144" s="6"/>
      <c r="B144" s="6" t="s">
        <v>65</v>
      </c>
      <c r="C144" s="6" t="s">
        <v>995</v>
      </c>
      <c r="D144" s="6" t="s">
        <v>996</v>
      </c>
      <c r="E144" s="6" t="s">
        <v>997</v>
      </c>
      <c r="F144" s="6" t="s">
        <v>998</v>
      </c>
      <c r="G144" s="6">
        <v>18200</v>
      </c>
      <c r="H144" s="6" t="s">
        <v>999</v>
      </c>
      <c r="I144" s="6"/>
      <c r="J144" s="6" t="s">
        <v>1000</v>
      </c>
      <c r="K144" s="6">
        <v>800010104</v>
      </c>
      <c r="L144" s="6" t="s">
        <v>155</v>
      </c>
      <c r="M144" s="6" t="s">
        <v>62</v>
      </c>
      <c r="N144" s="6" t="s">
        <v>63</v>
      </c>
      <c r="O144" s="8" t="s">
        <v>198</v>
      </c>
      <c r="P144" s="6"/>
      <c r="Q144" s="6" t="str">
        <f>VLOOKUP(G144,seznampsc!A:B,2,FALSE)</f>
        <v>Hlavní město Praha</v>
      </c>
      <c r="R144" s="6" t="str">
        <f>VLOOKUP(G144,seznampsc!A:C,3,FALSE)</f>
        <v>Hlavní město Praha</v>
      </c>
      <c r="S144" s="6">
        <v>50.167052200000001</v>
      </c>
      <c r="T144" s="6">
        <v>14.4837265</v>
      </c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</row>
    <row r="145" spans="1:48" ht="24" customHeight="1" x14ac:dyDescent="0.3">
      <c r="A145" s="6"/>
      <c r="B145" s="6" t="s">
        <v>65</v>
      </c>
      <c r="C145" s="6" t="s">
        <v>995</v>
      </c>
      <c r="D145" s="6">
        <v>24178764</v>
      </c>
      <c r="E145" s="6" t="s">
        <v>997</v>
      </c>
      <c r="F145" s="6" t="s">
        <v>998</v>
      </c>
      <c r="G145" s="6">
        <v>18200</v>
      </c>
      <c r="H145" s="6" t="s">
        <v>999</v>
      </c>
      <c r="I145" s="6"/>
      <c r="J145" s="6" t="s">
        <v>1000</v>
      </c>
      <c r="K145" s="6">
        <v>800010102</v>
      </c>
      <c r="L145" s="6" t="s">
        <v>155</v>
      </c>
      <c r="M145" s="6" t="s">
        <v>62</v>
      </c>
      <c r="N145" s="6" t="s">
        <v>63</v>
      </c>
      <c r="O145" s="6" t="s">
        <v>198</v>
      </c>
      <c r="P145" s="6"/>
      <c r="Q145" s="6" t="str">
        <f>VLOOKUP(G145,seznampsc!A:B,2,FALSE)</f>
        <v>Hlavní město Praha</v>
      </c>
      <c r="R145" s="6" t="str">
        <f>VLOOKUP(G145,seznampsc!A:C,3,FALSE)</f>
        <v>Hlavní město Praha</v>
      </c>
      <c r="S145" s="6">
        <v>50.167052200000001</v>
      </c>
      <c r="T145" s="6">
        <v>14.4837265</v>
      </c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</row>
    <row r="146" spans="1:48" ht="24" customHeight="1" x14ac:dyDescent="0.3">
      <c r="A146" s="6"/>
      <c r="B146" s="6" t="s">
        <v>65</v>
      </c>
      <c r="C146" s="6" t="s">
        <v>995</v>
      </c>
      <c r="D146" s="6">
        <v>24178764</v>
      </c>
      <c r="E146" s="6" t="s">
        <v>997</v>
      </c>
      <c r="F146" s="6" t="s">
        <v>1001</v>
      </c>
      <c r="G146" s="6">
        <v>37005</v>
      </c>
      <c r="H146" s="6" t="s">
        <v>460</v>
      </c>
      <c r="I146" s="6"/>
      <c r="J146" s="6" t="s">
        <v>1000</v>
      </c>
      <c r="K146" s="6">
        <v>800010102</v>
      </c>
      <c r="L146" s="6" t="s">
        <v>155</v>
      </c>
      <c r="M146" s="6" t="s">
        <v>62</v>
      </c>
      <c r="N146" s="6" t="s">
        <v>63</v>
      </c>
      <c r="O146" s="6" t="s">
        <v>198</v>
      </c>
      <c r="P146" s="6"/>
      <c r="Q146" s="6" t="str">
        <f>VLOOKUP(G146,seznampsc!A:B,2,FALSE)</f>
        <v>České Budějovice</v>
      </c>
      <c r="R146" s="6" t="str">
        <f>VLOOKUP(G146,seznampsc!A:C,3,FALSE)</f>
        <v>Jihočeský kraj</v>
      </c>
      <c r="S146" s="6" t="s">
        <v>1002</v>
      </c>
      <c r="T146" s="6" t="s">
        <v>1003</v>
      </c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 t="s">
        <v>1004</v>
      </c>
    </row>
    <row r="147" spans="1:48" ht="24" customHeight="1" x14ac:dyDescent="0.3">
      <c r="A147" s="6"/>
      <c r="B147" s="6" t="s">
        <v>65</v>
      </c>
      <c r="C147" s="6" t="s">
        <v>995</v>
      </c>
      <c r="D147" s="6">
        <v>24178764</v>
      </c>
      <c r="E147" s="6" t="s">
        <v>997</v>
      </c>
      <c r="F147" s="6" t="s">
        <v>335</v>
      </c>
      <c r="G147" s="6">
        <v>62800</v>
      </c>
      <c r="H147" s="6" t="s">
        <v>272</v>
      </c>
      <c r="I147" s="6"/>
      <c r="J147" s="6" t="s">
        <v>1000</v>
      </c>
      <c r="K147" s="6">
        <v>800010102</v>
      </c>
      <c r="L147" s="6" t="s">
        <v>155</v>
      </c>
      <c r="M147" s="6" t="s">
        <v>62</v>
      </c>
      <c r="N147" s="6" t="s">
        <v>63</v>
      </c>
      <c r="O147" s="6" t="s">
        <v>198</v>
      </c>
      <c r="P147" s="6"/>
      <c r="Q147" s="6" t="str">
        <f>VLOOKUP(G147,seznampsc!A:B,2,FALSE)</f>
        <v>Brno-město</v>
      </c>
      <c r="R147" s="6" t="str">
        <f>VLOOKUP(G147,seznampsc!A:C,3,FALSE)</f>
        <v>Jihomoravský kraj</v>
      </c>
      <c r="S147" s="6">
        <v>50.167052200000001</v>
      </c>
      <c r="T147" s="6">
        <v>14.4837265</v>
      </c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 t="s">
        <v>1004</v>
      </c>
    </row>
    <row r="148" spans="1:48" ht="24" customHeight="1" x14ac:dyDescent="0.3">
      <c r="A148" s="6"/>
      <c r="B148" s="6" t="s">
        <v>65</v>
      </c>
      <c r="C148" s="6" t="s">
        <v>1005</v>
      </c>
      <c r="D148" s="6">
        <v>24278764</v>
      </c>
      <c r="E148" s="6" t="s">
        <v>997</v>
      </c>
      <c r="F148" s="6" t="s">
        <v>1006</v>
      </c>
      <c r="G148" s="6">
        <v>61900</v>
      </c>
      <c r="H148" s="6" t="s">
        <v>1007</v>
      </c>
      <c r="I148" s="6" t="s">
        <v>1008</v>
      </c>
      <c r="J148" s="6" t="s">
        <v>1000</v>
      </c>
      <c r="K148" s="6">
        <v>800010103</v>
      </c>
      <c r="L148" s="6" t="s">
        <v>155</v>
      </c>
      <c r="M148" s="6" t="s">
        <v>62</v>
      </c>
      <c r="N148" s="6" t="s">
        <v>63</v>
      </c>
      <c r="O148" s="6" t="s">
        <v>1009</v>
      </c>
      <c r="P148" s="6"/>
      <c r="Q148" s="6" t="str">
        <f>VLOOKUP(G148,seznampsc!A:B,2,FALSE)</f>
        <v>Brno-město</v>
      </c>
      <c r="R148" s="6" t="str">
        <f>VLOOKUP(G148,seznampsc!A:C,3,FALSE)</f>
        <v>Jihomoravský kraj</v>
      </c>
      <c r="S148" s="6" t="s">
        <v>1010</v>
      </c>
      <c r="T148" s="6" t="s">
        <v>1011</v>
      </c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 t="s">
        <v>1012</v>
      </c>
    </row>
    <row r="149" spans="1:48" ht="24" customHeight="1" x14ac:dyDescent="0.3">
      <c r="A149" s="1"/>
      <c r="B149" s="1" t="s">
        <v>65</v>
      </c>
      <c r="C149" s="1" t="s">
        <v>1013</v>
      </c>
      <c r="D149" s="1" t="s">
        <v>1014</v>
      </c>
      <c r="E149" s="1" t="s">
        <v>1015</v>
      </c>
      <c r="F149" s="1" t="s">
        <v>1016</v>
      </c>
      <c r="G149" s="1">
        <v>27201</v>
      </c>
      <c r="H149" s="1" t="s">
        <v>916</v>
      </c>
      <c r="I149" s="1" t="s">
        <v>1017</v>
      </c>
      <c r="J149" s="1" t="s">
        <v>1018</v>
      </c>
      <c r="K149" s="1">
        <v>602166171</v>
      </c>
      <c r="L149" s="1" t="s">
        <v>73</v>
      </c>
      <c r="M149" s="1" t="s">
        <v>62</v>
      </c>
      <c r="N149" s="1" t="s">
        <v>63</v>
      </c>
      <c r="O149" s="1" t="s">
        <v>1019</v>
      </c>
      <c r="P149" s="1"/>
      <c r="Q149" s="6" t="str">
        <f>VLOOKUP(G149,seznampsc!A:B,2,FALSE)</f>
        <v>Kladno</v>
      </c>
      <c r="R149" s="6" t="str">
        <f>VLOOKUP(G149,seznampsc!A:C,3,FALSE)</f>
        <v>Středočeský kraj</v>
      </c>
      <c r="S149" s="1">
        <v>50.125418499999903</v>
      </c>
      <c r="T149" s="1">
        <v>14.126165</v>
      </c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 t="s">
        <v>1020</v>
      </c>
      <c r="AV149" s="1"/>
    </row>
    <row r="150" spans="1:48" ht="24" customHeight="1" x14ac:dyDescent="0.3">
      <c r="A150" s="6" t="s">
        <v>53</v>
      </c>
      <c r="B150" s="6" t="s">
        <v>65</v>
      </c>
      <c r="C150" s="6" t="s">
        <v>1021</v>
      </c>
      <c r="D150" s="6" t="s">
        <v>1022</v>
      </c>
      <c r="E150" s="6" t="s">
        <v>1023</v>
      </c>
      <c r="F150" s="6" t="s">
        <v>1024</v>
      </c>
      <c r="G150" s="6">
        <v>28002</v>
      </c>
      <c r="H150" s="6" t="s">
        <v>1025</v>
      </c>
      <c r="I150" s="6" t="s">
        <v>1026</v>
      </c>
      <c r="J150" s="7" t="s">
        <v>1027</v>
      </c>
      <c r="K150" s="8">
        <v>774191949</v>
      </c>
      <c r="L150" s="17" t="s">
        <v>73</v>
      </c>
      <c r="M150" s="6" t="s">
        <v>62</v>
      </c>
      <c r="N150" s="6" t="s">
        <v>63</v>
      </c>
      <c r="O150" s="8" t="s">
        <v>198</v>
      </c>
      <c r="P150" s="6"/>
      <c r="Q150" s="6" t="str">
        <f>VLOOKUP(G150,seznampsc!A:B,2,FALSE)</f>
        <v>Kolín</v>
      </c>
      <c r="R150" s="6" t="str">
        <f>VLOOKUP(G150,seznampsc!A:C,3,FALSE)</f>
        <v>Středočeský kraj</v>
      </c>
      <c r="S150" s="6">
        <v>50.037024500000001</v>
      </c>
      <c r="T150" s="6">
        <v>15.2129134</v>
      </c>
      <c r="U150" s="6"/>
      <c r="V150" s="6"/>
      <c r="W150" s="6"/>
      <c r="X150" s="6"/>
      <c r="Y150" s="6"/>
      <c r="Z150" s="6"/>
      <c r="AA150" s="6"/>
      <c r="AB150" s="6"/>
      <c r="AC150" s="6"/>
      <c r="AD150" s="6">
        <v>450</v>
      </c>
      <c r="AE150" s="6">
        <v>600</v>
      </c>
      <c r="AF150" s="6">
        <v>600</v>
      </c>
      <c r="AG150" s="6"/>
      <c r="AH150" s="6"/>
      <c r="AI150" s="6"/>
      <c r="AJ150" s="6">
        <v>107</v>
      </c>
      <c r="AK150" s="6">
        <v>116</v>
      </c>
      <c r="AL150" s="6"/>
      <c r="AM150" s="6"/>
      <c r="AN150" s="6"/>
      <c r="AO150" s="6"/>
      <c r="AP150" s="6">
        <v>5</v>
      </c>
      <c r="AQ150" s="6">
        <v>5</v>
      </c>
      <c r="AR150" s="6"/>
      <c r="AS150" s="6" t="s">
        <v>1028</v>
      </c>
      <c r="AT150" s="6"/>
      <c r="AV150" s="3">
        <v>50000</v>
      </c>
    </row>
    <row r="151" spans="1:48" ht="24" customHeight="1" x14ac:dyDescent="0.3">
      <c r="A151" s="1"/>
      <c r="B151" s="1" t="s">
        <v>65</v>
      </c>
      <c r="C151" s="1" t="s">
        <v>1029</v>
      </c>
      <c r="D151" s="1" t="s">
        <v>1030</v>
      </c>
      <c r="E151" s="1" t="s">
        <v>1031</v>
      </c>
      <c r="F151" s="1" t="s">
        <v>1032</v>
      </c>
      <c r="G151" s="1">
        <v>27201</v>
      </c>
      <c r="H151" s="1" t="s">
        <v>916</v>
      </c>
      <c r="I151" s="1" t="s">
        <v>1033</v>
      </c>
      <c r="J151" s="1" t="s">
        <v>1034</v>
      </c>
      <c r="K151" s="1">
        <v>777922017</v>
      </c>
      <c r="L151" s="1" t="s">
        <v>586</v>
      </c>
      <c r="M151" s="1" t="s">
        <v>120</v>
      </c>
      <c r="N151" s="1" t="s">
        <v>63</v>
      </c>
      <c r="O151" s="1" t="s">
        <v>1035</v>
      </c>
      <c r="P151" s="6"/>
      <c r="Q151" s="6" t="str">
        <f>VLOOKUP(G151,seznampsc!A:B,2,FALSE)</f>
        <v>Kladno</v>
      </c>
      <c r="R151" s="6" t="str">
        <f>VLOOKUP(G151,seznampsc!A:C,3,FALSE)</f>
        <v>Středočeský kraj</v>
      </c>
      <c r="S151" s="1">
        <v>50.126182</v>
      </c>
      <c r="T151" s="1">
        <v>14.1216977</v>
      </c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 t="s">
        <v>1036</v>
      </c>
      <c r="AV151" s="2">
        <v>200000</v>
      </c>
    </row>
    <row r="152" spans="1:48" ht="24" customHeight="1" x14ac:dyDescent="0.3">
      <c r="A152" s="1"/>
      <c r="B152" s="1" t="s">
        <v>65</v>
      </c>
      <c r="C152" s="1" t="s">
        <v>1037</v>
      </c>
      <c r="D152" s="1" t="s">
        <v>1038</v>
      </c>
      <c r="E152" s="1" t="s">
        <v>1039</v>
      </c>
      <c r="F152" s="1" t="s">
        <v>1040</v>
      </c>
      <c r="G152" s="1">
        <v>47001</v>
      </c>
      <c r="H152" s="1" t="s">
        <v>221</v>
      </c>
      <c r="I152" s="1" t="s">
        <v>1041</v>
      </c>
      <c r="J152" s="1" t="s">
        <v>1042</v>
      </c>
      <c r="K152" s="1">
        <v>777766595.48785305</v>
      </c>
      <c r="L152" s="1" t="s">
        <v>586</v>
      </c>
      <c r="M152" s="1" t="s">
        <v>134</v>
      </c>
      <c r="N152" s="1" t="s">
        <v>63</v>
      </c>
      <c r="O152" s="1"/>
      <c r="P152" s="6"/>
      <c r="Q152" s="6" t="str">
        <f>VLOOKUP(G152,seznampsc!A:B,2,FALSE)</f>
        <v>Česká Lípa</v>
      </c>
      <c r="R152" s="6" t="str">
        <f>VLOOKUP(G152,seznampsc!A:C,3,FALSE)</f>
        <v>Liberecký kraj</v>
      </c>
      <c r="S152" s="1">
        <v>50.677960300000002</v>
      </c>
      <c r="T152" s="1">
        <v>14.5405008</v>
      </c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4" t="s">
        <v>1043</v>
      </c>
      <c r="AV152" s="10"/>
    </row>
    <row r="153" spans="1:48" ht="24" customHeight="1" x14ac:dyDescent="0.3">
      <c r="A153" s="6"/>
      <c r="B153" s="6" t="s">
        <v>65</v>
      </c>
      <c r="C153" s="6" t="s">
        <v>1044</v>
      </c>
      <c r="D153" s="6" t="s">
        <v>1045</v>
      </c>
      <c r="E153" s="6" t="s">
        <v>1046</v>
      </c>
      <c r="F153" s="6" t="s">
        <v>1047</v>
      </c>
      <c r="G153" s="6">
        <v>53009</v>
      </c>
      <c r="H153" s="6" t="s">
        <v>1048</v>
      </c>
      <c r="I153" s="6" t="s">
        <v>1049</v>
      </c>
      <c r="J153" s="7" t="s">
        <v>1050</v>
      </c>
      <c r="K153" s="8">
        <v>733149985</v>
      </c>
      <c r="L153" s="6" t="s">
        <v>586</v>
      </c>
      <c r="M153" s="6" t="s">
        <v>1051</v>
      </c>
      <c r="N153" s="6" t="s">
        <v>63</v>
      </c>
      <c r="O153" s="6" t="s">
        <v>1052</v>
      </c>
      <c r="P153" s="6"/>
      <c r="Q153" s="6" t="str">
        <f>VLOOKUP(G153,seznampsc!A:B,2,FALSE)</f>
        <v>Pardubice</v>
      </c>
      <c r="R153" s="6" t="str">
        <f>VLOOKUP(G153,seznampsc!A:C,3,FALSE)</f>
        <v>Pardubický kraj</v>
      </c>
      <c r="S153" s="6">
        <v>50.046664999999997</v>
      </c>
      <c r="T153" s="6">
        <v>15.80833</v>
      </c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V153" s="10">
        <v>200000</v>
      </c>
    </row>
    <row r="154" spans="1:48" ht="24" customHeight="1" x14ac:dyDescent="0.3">
      <c r="A154" s="6"/>
      <c r="B154" s="6" t="s">
        <v>65</v>
      </c>
      <c r="C154" s="6" t="s">
        <v>1044</v>
      </c>
      <c r="D154" s="6" t="s">
        <v>1045</v>
      </c>
      <c r="E154" s="6" t="s">
        <v>1046</v>
      </c>
      <c r="F154" s="6" t="s">
        <v>1053</v>
      </c>
      <c r="G154" s="6">
        <v>53012</v>
      </c>
      <c r="H154" s="6" t="s">
        <v>1054</v>
      </c>
      <c r="I154" s="6" t="s">
        <v>1055</v>
      </c>
      <c r="J154" s="7" t="s">
        <v>1056</v>
      </c>
      <c r="K154" s="8">
        <v>773772481</v>
      </c>
      <c r="L154" s="6" t="s">
        <v>586</v>
      </c>
      <c r="M154" s="6" t="s">
        <v>1057</v>
      </c>
      <c r="N154" s="6" t="s">
        <v>63</v>
      </c>
      <c r="O154" s="6" t="s">
        <v>1052</v>
      </c>
      <c r="P154" s="6"/>
      <c r="Q154" s="6" t="str">
        <f>VLOOKUP(G154,seznampsc!A:B,2,FALSE)</f>
        <v>Pardubice</v>
      </c>
      <c r="R154" s="6" t="str">
        <f>VLOOKUP(G154,seznampsc!A:C,3,FALSE)</f>
        <v>Pardubický kraj</v>
      </c>
      <c r="S154" s="6">
        <v>50.046664999999997</v>
      </c>
      <c r="T154" s="6">
        <v>15.80833</v>
      </c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V154" s="10">
        <v>200000</v>
      </c>
    </row>
    <row r="155" spans="1:48" ht="24" customHeight="1" x14ac:dyDescent="0.3">
      <c r="A155" s="6"/>
      <c r="B155" s="6" t="s">
        <v>65</v>
      </c>
      <c r="C155" s="6" t="s">
        <v>1044</v>
      </c>
      <c r="D155" s="6" t="s">
        <v>1045</v>
      </c>
      <c r="E155" s="6" t="s">
        <v>1046</v>
      </c>
      <c r="F155" s="6" t="s">
        <v>1053</v>
      </c>
      <c r="G155" s="6">
        <v>53012</v>
      </c>
      <c r="H155" s="6" t="s">
        <v>1054</v>
      </c>
      <c r="I155" s="6" t="s">
        <v>1058</v>
      </c>
      <c r="J155" s="6" t="s">
        <v>1059</v>
      </c>
      <c r="K155" s="6">
        <v>778716191</v>
      </c>
      <c r="L155" s="6" t="s">
        <v>1060</v>
      </c>
      <c r="M155" s="6" t="s">
        <v>1061</v>
      </c>
      <c r="N155" s="6" t="s">
        <v>63</v>
      </c>
      <c r="O155" s="6" t="s">
        <v>1052</v>
      </c>
      <c r="P155" s="6"/>
      <c r="Q155" s="6" t="str">
        <f>VLOOKUP(G155,seznampsc!A:B,2,FALSE)</f>
        <v>Pardubice</v>
      </c>
      <c r="R155" s="6" t="str">
        <f>VLOOKUP(G155,seznampsc!A:C,3,FALSE)</f>
        <v>Pardubický kraj</v>
      </c>
      <c r="S155" s="3">
        <v>50.046664999999997</v>
      </c>
      <c r="T155" s="3">
        <v>15.80833</v>
      </c>
      <c r="AV155" s="10">
        <v>200000</v>
      </c>
    </row>
    <row r="156" spans="1:48" ht="24" customHeight="1" x14ac:dyDescent="0.3">
      <c r="A156" s="6"/>
      <c r="B156" s="6" t="s">
        <v>65</v>
      </c>
      <c r="C156" s="6" t="s">
        <v>1044</v>
      </c>
      <c r="D156" s="6" t="s">
        <v>1045</v>
      </c>
      <c r="E156" s="6" t="s">
        <v>1046</v>
      </c>
      <c r="F156" s="6" t="s">
        <v>1062</v>
      </c>
      <c r="G156" s="6">
        <v>50003</v>
      </c>
      <c r="H156" s="6" t="s">
        <v>330</v>
      </c>
      <c r="I156" s="6" t="s">
        <v>1063</v>
      </c>
      <c r="J156" s="7" t="s">
        <v>1064</v>
      </c>
      <c r="K156" s="6">
        <v>778411012</v>
      </c>
      <c r="L156" s="6" t="s">
        <v>586</v>
      </c>
      <c r="M156" s="6" t="s">
        <v>1065</v>
      </c>
      <c r="N156" s="6" t="s">
        <v>63</v>
      </c>
      <c r="O156" s="6" t="s">
        <v>1066</v>
      </c>
      <c r="P156" s="6"/>
      <c r="Q156" s="6" t="str">
        <f>VLOOKUP(G156,seznampsc!A:B,2,FALSE)</f>
        <v>Hradec Králové</v>
      </c>
      <c r="R156" s="6" t="str">
        <f>VLOOKUP(G156,seznampsc!A:C,3,FALSE)</f>
        <v>Královéhradecký kraj</v>
      </c>
      <c r="S156" s="6">
        <v>50.219065800000003</v>
      </c>
      <c r="T156" s="6">
        <v>15.890727099999999</v>
      </c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V156" s="10">
        <v>200000</v>
      </c>
    </row>
    <row r="157" spans="1:48" ht="24" customHeight="1" x14ac:dyDescent="0.3">
      <c r="A157" s="6"/>
      <c r="B157" s="6" t="s">
        <v>65</v>
      </c>
      <c r="C157" s="6" t="s">
        <v>1044</v>
      </c>
      <c r="D157" s="6" t="s">
        <v>1045</v>
      </c>
      <c r="E157" s="6" t="s">
        <v>1046</v>
      </c>
      <c r="F157" s="6" t="s">
        <v>1067</v>
      </c>
      <c r="G157" s="6">
        <v>50006</v>
      </c>
      <c r="H157" s="6" t="s">
        <v>1068</v>
      </c>
      <c r="I157" s="6" t="s">
        <v>1069</v>
      </c>
      <c r="J157" s="6" t="s">
        <v>1070</v>
      </c>
      <c r="K157" s="6" t="s">
        <v>1071</v>
      </c>
      <c r="L157" s="6" t="s">
        <v>586</v>
      </c>
      <c r="M157" s="6" t="s">
        <v>84</v>
      </c>
      <c r="N157" s="6" t="s">
        <v>63</v>
      </c>
      <c r="O157" s="6" t="s">
        <v>1072</v>
      </c>
      <c r="P157" s="6"/>
      <c r="Q157" s="6" t="str">
        <f>VLOOKUP(G157,seznampsc!A:B,2,FALSE)</f>
        <v>Hradec Králové</v>
      </c>
      <c r="R157" s="6" t="str">
        <f>VLOOKUP(G157,seznampsc!A:C,3,FALSE)</f>
        <v>Královéhradecký kraj</v>
      </c>
      <c r="S157" s="6">
        <v>50.189246300000001</v>
      </c>
      <c r="T157" s="6">
        <v>15.849603</v>
      </c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V157" s="10">
        <v>200000</v>
      </c>
    </row>
    <row r="158" spans="1:48" ht="24" customHeight="1" x14ac:dyDescent="0.3">
      <c r="A158" s="6" t="s">
        <v>53</v>
      </c>
      <c r="B158" s="6" t="s">
        <v>65</v>
      </c>
      <c r="C158" s="6" t="s">
        <v>1073</v>
      </c>
      <c r="D158" s="6" t="s">
        <v>1074</v>
      </c>
      <c r="E158" s="6" t="s">
        <v>1075</v>
      </c>
      <c r="F158" s="6" t="s">
        <v>801</v>
      </c>
      <c r="G158" s="6">
        <v>62700</v>
      </c>
      <c r="H158" s="6" t="s">
        <v>272</v>
      </c>
      <c r="I158" s="6" t="s">
        <v>1076</v>
      </c>
      <c r="J158" s="7" t="s">
        <v>1077</v>
      </c>
      <c r="K158" s="8">
        <v>548216945</v>
      </c>
      <c r="L158" s="17" t="s">
        <v>73</v>
      </c>
      <c r="M158" s="6" t="s">
        <v>1078</v>
      </c>
      <c r="N158" s="6" t="s">
        <v>63</v>
      </c>
      <c r="O158" s="8" t="s">
        <v>198</v>
      </c>
      <c r="P158" s="6"/>
      <c r="Q158" s="6" t="str">
        <f>VLOOKUP(G158,seznampsc!A:B,2,FALSE)</f>
        <v>Brno-město</v>
      </c>
      <c r="R158" s="6" t="str">
        <f>VLOOKUP(G158,seznampsc!A:C,3,FALSE)</f>
        <v>Jihomoravský kraj</v>
      </c>
      <c r="S158" s="6">
        <v>49.18336</v>
      </c>
      <c r="T158" s="6">
        <v>16.674510000000001</v>
      </c>
      <c r="U158" s="6"/>
      <c r="V158" s="6"/>
      <c r="W158" s="6"/>
      <c r="X158" s="6"/>
      <c r="Y158" s="6"/>
      <c r="Z158" s="6"/>
      <c r="AA158" s="6"/>
      <c r="AB158" s="6"/>
      <c r="AC158" s="6"/>
      <c r="AD158" s="6">
        <v>1250</v>
      </c>
      <c r="AE158" s="6">
        <v>1355</v>
      </c>
      <c r="AF158" s="6">
        <v>1390</v>
      </c>
      <c r="AG158" s="6"/>
      <c r="AH158" s="6"/>
      <c r="AI158" s="6"/>
      <c r="AJ158" s="6">
        <v>107</v>
      </c>
      <c r="AK158" s="6">
        <v>107</v>
      </c>
      <c r="AL158" s="6"/>
      <c r="AM158" s="6"/>
      <c r="AN158" s="6"/>
      <c r="AO158" s="6"/>
      <c r="AP158" s="6">
        <v>3</v>
      </c>
      <c r="AQ158" s="6">
        <v>10</v>
      </c>
      <c r="AR158" s="6"/>
      <c r="AS158" s="6"/>
      <c r="AT158" s="6"/>
      <c r="AV158" s="3">
        <v>200000</v>
      </c>
    </row>
    <row r="159" spans="1:48" ht="24" customHeight="1" x14ac:dyDescent="0.3">
      <c r="A159" s="3" t="s">
        <v>381</v>
      </c>
      <c r="B159" s="1" t="s">
        <v>54</v>
      </c>
      <c r="C159" s="1" t="s">
        <v>55</v>
      </c>
      <c r="D159" s="1" t="s">
        <v>1079</v>
      </c>
      <c r="E159" s="1" t="s">
        <v>1080</v>
      </c>
      <c r="F159" s="1" t="s">
        <v>1081</v>
      </c>
      <c r="G159" s="1" t="s">
        <v>1082</v>
      </c>
      <c r="H159" s="1" t="s">
        <v>385</v>
      </c>
      <c r="I159" s="1" t="s">
        <v>1083</v>
      </c>
      <c r="J159" s="1" t="s">
        <v>1084</v>
      </c>
      <c r="K159" s="1">
        <v>606070600</v>
      </c>
      <c r="L159" s="3" t="s">
        <v>1085</v>
      </c>
      <c r="M159" s="6" t="s">
        <v>389</v>
      </c>
      <c r="N159" s="6" t="s">
        <v>63</v>
      </c>
      <c r="O159" s="1" t="s">
        <v>1086</v>
      </c>
      <c r="P159" s="1"/>
      <c r="Q159" s="1"/>
      <c r="R159" s="1"/>
      <c r="S159" s="1">
        <v>49.741780899999902</v>
      </c>
      <c r="T159" s="1">
        <v>13.3651491</v>
      </c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3" t="s">
        <v>1087</v>
      </c>
    </row>
    <row r="160" spans="1:48" ht="24" customHeight="1" x14ac:dyDescent="0.3">
      <c r="A160" s="3" t="s">
        <v>381</v>
      </c>
      <c r="B160" s="1" t="s">
        <v>54</v>
      </c>
      <c r="C160" s="1" t="s">
        <v>55</v>
      </c>
      <c r="D160" s="1" t="s">
        <v>1088</v>
      </c>
      <c r="E160" s="1" t="s">
        <v>1089</v>
      </c>
      <c r="F160" s="1" t="s">
        <v>1090</v>
      </c>
      <c r="G160" s="1" t="s">
        <v>1091</v>
      </c>
      <c r="H160" s="1" t="s">
        <v>1092</v>
      </c>
      <c r="I160" s="1" t="s">
        <v>1093</v>
      </c>
      <c r="J160" s="1" t="s">
        <v>1094</v>
      </c>
      <c r="K160" s="1">
        <v>739412426</v>
      </c>
      <c r="L160" s="3" t="s">
        <v>1085</v>
      </c>
      <c r="M160" s="6" t="s">
        <v>389</v>
      </c>
      <c r="N160" s="6" t="s">
        <v>63</v>
      </c>
      <c r="O160" s="1" t="s">
        <v>1086</v>
      </c>
      <c r="P160" s="1"/>
      <c r="Q160" s="1"/>
      <c r="R160" s="1"/>
      <c r="S160" s="1">
        <v>49.339506100000001</v>
      </c>
      <c r="T160" s="1">
        <v>16.419295699999999</v>
      </c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3" t="s">
        <v>1095</v>
      </c>
    </row>
    <row r="161" spans="1:47" ht="24" customHeight="1" x14ac:dyDescent="0.3">
      <c r="A161" s="3" t="s">
        <v>381</v>
      </c>
      <c r="B161" s="1" t="s">
        <v>54</v>
      </c>
      <c r="C161" s="1" t="s">
        <v>55</v>
      </c>
      <c r="D161" s="1">
        <v>28135903</v>
      </c>
      <c r="E161" s="1" t="s">
        <v>897</v>
      </c>
      <c r="F161" s="1" t="s">
        <v>898</v>
      </c>
      <c r="G161" s="1">
        <v>39301</v>
      </c>
      <c r="H161" s="1" t="s">
        <v>899</v>
      </c>
      <c r="I161" s="1" t="s">
        <v>1096</v>
      </c>
      <c r="J161" s="1" t="s">
        <v>1097</v>
      </c>
      <c r="K161" s="1">
        <v>777829106</v>
      </c>
      <c r="L161" s="3" t="s">
        <v>1085</v>
      </c>
      <c r="M161" s="6" t="s">
        <v>389</v>
      </c>
      <c r="N161" s="6" t="s">
        <v>63</v>
      </c>
      <c r="O161" s="1" t="s">
        <v>1098</v>
      </c>
      <c r="P161" s="1"/>
      <c r="Q161" s="1"/>
      <c r="R161" s="1"/>
      <c r="S161" s="1">
        <v>49.426229999999997</v>
      </c>
      <c r="T161" s="1">
        <v>15.2195</v>
      </c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 t="s">
        <v>1099</v>
      </c>
    </row>
    <row r="162" spans="1:47" ht="24" customHeight="1" x14ac:dyDescent="0.3">
      <c r="A162" s="3" t="s">
        <v>381</v>
      </c>
      <c r="B162" s="1" t="s">
        <v>54</v>
      </c>
      <c r="C162" s="1" t="s">
        <v>55</v>
      </c>
      <c r="D162" s="1" t="s">
        <v>1100</v>
      </c>
      <c r="E162" s="1" t="s">
        <v>1101</v>
      </c>
      <c r="F162" s="1" t="s">
        <v>1102</v>
      </c>
      <c r="G162" s="1" t="s">
        <v>1103</v>
      </c>
      <c r="H162" s="1" t="s">
        <v>1104</v>
      </c>
      <c r="I162" s="1" t="s">
        <v>1105</v>
      </c>
      <c r="J162" s="1" t="s">
        <v>1106</v>
      </c>
      <c r="K162" s="1" t="s">
        <v>1107</v>
      </c>
      <c r="L162" s="3" t="s">
        <v>1085</v>
      </c>
      <c r="M162" s="6" t="s">
        <v>389</v>
      </c>
      <c r="N162" s="6" t="s">
        <v>63</v>
      </c>
      <c r="O162" s="1" t="s">
        <v>1108</v>
      </c>
      <c r="P162" s="1"/>
      <c r="Q162" s="1"/>
      <c r="R162" s="1"/>
      <c r="S162" s="1">
        <v>49.987540000000003</v>
      </c>
      <c r="T162" s="1">
        <v>14.39629</v>
      </c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4" t="s">
        <v>1109</v>
      </c>
    </row>
    <row r="163" spans="1:47" ht="24" customHeight="1" x14ac:dyDescent="0.3">
      <c r="A163" s="3" t="s">
        <v>381</v>
      </c>
      <c r="B163" s="1" t="s">
        <v>54</v>
      </c>
      <c r="C163" s="1" t="s">
        <v>55</v>
      </c>
      <c r="D163" s="1">
        <v>28610652</v>
      </c>
      <c r="E163" s="1" t="s">
        <v>1110</v>
      </c>
      <c r="F163" s="1" t="s">
        <v>1111</v>
      </c>
      <c r="G163" s="1" t="s">
        <v>1112</v>
      </c>
      <c r="H163" s="1" t="s">
        <v>1113</v>
      </c>
      <c r="I163" s="1" t="s">
        <v>1114</v>
      </c>
      <c r="J163" s="1" t="s">
        <v>1115</v>
      </c>
      <c r="K163" s="1">
        <v>724253073</v>
      </c>
      <c r="L163" s="3" t="s">
        <v>1085</v>
      </c>
      <c r="M163" s="6" t="s">
        <v>389</v>
      </c>
      <c r="N163" s="6" t="s">
        <v>63</v>
      </c>
      <c r="O163" s="1" t="s">
        <v>1116</v>
      </c>
      <c r="P163" s="1"/>
      <c r="Q163" s="1"/>
      <c r="R163" s="1"/>
      <c r="S163" s="1">
        <v>49.629199999999997</v>
      </c>
      <c r="T163" s="1">
        <v>17.2684</v>
      </c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3" t="s">
        <v>1117</v>
      </c>
    </row>
    <row r="164" spans="1:47" ht="24" customHeight="1" x14ac:dyDescent="0.3">
      <c r="A164" s="3" t="s">
        <v>381</v>
      </c>
      <c r="B164" s="1" t="s">
        <v>54</v>
      </c>
      <c r="C164" s="1" t="s">
        <v>55</v>
      </c>
      <c r="D164" s="1" t="s">
        <v>1118</v>
      </c>
      <c r="E164" s="1" t="s">
        <v>1119</v>
      </c>
      <c r="F164" s="1" t="s">
        <v>1120</v>
      </c>
      <c r="G164" s="1" t="s">
        <v>1121</v>
      </c>
      <c r="H164" s="1" t="s">
        <v>1122</v>
      </c>
      <c r="I164" s="1" t="s">
        <v>1123</v>
      </c>
      <c r="J164" s="1" t="s">
        <v>1124</v>
      </c>
      <c r="K164" s="1">
        <v>608861672</v>
      </c>
      <c r="L164" s="3" t="s">
        <v>1085</v>
      </c>
      <c r="M164" s="6" t="s">
        <v>389</v>
      </c>
      <c r="N164" s="6" t="s">
        <v>63</v>
      </c>
      <c r="O164" s="1" t="s">
        <v>1086</v>
      </c>
      <c r="P164" s="1"/>
      <c r="Q164" s="1"/>
      <c r="R164" s="1"/>
      <c r="S164" s="1">
        <v>49.916800500000001</v>
      </c>
      <c r="T164" s="1">
        <v>17.964670399999999</v>
      </c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3" t="s">
        <v>1117</v>
      </c>
    </row>
    <row r="165" spans="1:47" ht="24" customHeight="1" x14ac:dyDescent="0.3">
      <c r="A165" s="3" t="s">
        <v>381</v>
      </c>
      <c r="B165" s="1" t="s">
        <v>54</v>
      </c>
      <c r="C165" s="1" t="s">
        <v>55</v>
      </c>
      <c r="D165" s="1" t="s">
        <v>1125</v>
      </c>
      <c r="E165" s="1" t="s">
        <v>1126</v>
      </c>
      <c r="F165" s="1" t="s">
        <v>1127</v>
      </c>
      <c r="G165" s="1" t="s">
        <v>1128</v>
      </c>
      <c r="H165" s="1" t="s">
        <v>1129</v>
      </c>
      <c r="I165" s="1"/>
      <c r="J165" s="1" t="s">
        <v>1130</v>
      </c>
      <c r="K165" s="1">
        <v>608024994</v>
      </c>
      <c r="L165" s="3" t="s">
        <v>1085</v>
      </c>
      <c r="M165" s="6" t="s">
        <v>389</v>
      </c>
      <c r="N165" s="6" t="s">
        <v>63</v>
      </c>
      <c r="O165" s="1" t="s">
        <v>1086</v>
      </c>
      <c r="P165" s="1"/>
      <c r="Q165" s="1"/>
      <c r="R165" s="1"/>
      <c r="S165" s="1">
        <v>49.020036999999903</v>
      </c>
      <c r="T165" s="1">
        <v>14.4976062</v>
      </c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3" t="s">
        <v>1117</v>
      </c>
    </row>
    <row r="166" spans="1:47" ht="24" customHeight="1" x14ac:dyDescent="0.3">
      <c r="A166" s="3" t="s">
        <v>381</v>
      </c>
      <c r="B166" s="1" t="s">
        <v>54</v>
      </c>
      <c r="C166" s="1" t="s">
        <v>55</v>
      </c>
      <c r="D166" s="1" t="s">
        <v>1131</v>
      </c>
      <c r="E166" s="1" t="s">
        <v>1132</v>
      </c>
      <c r="F166" s="1" t="s">
        <v>1133</v>
      </c>
      <c r="G166" s="1" t="s">
        <v>1134</v>
      </c>
      <c r="H166" s="1" t="s">
        <v>1135</v>
      </c>
      <c r="I166" s="1" t="s">
        <v>1136</v>
      </c>
      <c r="J166" s="1" t="s">
        <v>1137</v>
      </c>
      <c r="K166" s="1" t="s">
        <v>1138</v>
      </c>
      <c r="L166" s="3" t="s">
        <v>1085</v>
      </c>
      <c r="M166" s="6" t="s">
        <v>389</v>
      </c>
      <c r="N166" s="6" t="s">
        <v>63</v>
      </c>
      <c r="O166" s="1" t="s">
        <v>1139</v>
      </c>
      <c r="P166" s="1"/>
      <c r="Q166" s="1"/>
      <c r="R166" s="1"/>
      <c r="S166" s="1">
        <v>48.998339999999999</v>
      </c>
      <c r="T166" s="1">
        <v>14.65526</v>
      </c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3" t="s">
        <v>1140</v>
      </c>
    </row>
    <row r="167" spans="1:47" ht="24" customHeight="1" x14ac:dyDescent="0.3">
      <c r="A167" s="3" t="s">
        <v>381</v>
      </c>
      <c r="B167" s="1" t="s">
        <v>54</v>
      </c>
      <c r="C167" s="1" t="s">
        <v>55</v>
      </c>
      <c r="D167" s="1" t="s">
        <v>1141</v>
      </c>
      <c r="E167" s="1" t="s">
        <v>1142</v>
      </c>
      <c r="F167" s="1" t="s">
        <v>1143</v>
      </c>
      <c r="G167" s="1" t="s">
        <v>1144</v>
      </c>
      <c r="H167" s="1" t="s">
        <v>608</v>
      </c>
      <c r="I167" s="1" t="s">
        <v>1145</v>
      </c>
      <c r="J167" s="1" t="s">
        <v>1146</v>
      </c>
      <c r="K167" s="1">
        <v>608977369</v>
      </c>
      <c r="L167" s="3" t="s">
        <v>1085</v>
      </c>
      <c r="M167" s="6" t="s">
        <v>389</v>
      </c>
      <c r="N167" s="6" t="s">
        <v>63</v>
      </c>
      <c r="O167" s="1" t="s">
        <v>1086</v>
      </c>
      <c r="P167" s="1"/>
      <c r="Q167" s="1"/>
      <c r="R167" s="1"/>
      <c r="S167" s="1">
        <v>50.960388599999902</v>
      </c>
      <c r="T167" s="1">
        <v>14.540271600000001</v>
      </c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3" t="s">
        <v>1147</v>
      </c>
    </row>
    <row r="168" spans="1:47" ht="24" customHeight="1" x14ac:dyDescent="0.3">
      <c r="A168" s="3" t="s">
        <v>381</v>
      </c>
      <c r="B168" s="1" t="s">
        <v>54</v>
      </c>
      <c r="C168" s="1" t="s">
        <v>55</v>
      </c>
      <c r="D168" s="1" t="s">
        <v>1148</v>
      </c>
      <c r="E168" s="1" t="s">
        <v>1149</v>
      </c>
      <c r="F168" s="1" t="s">
        <v>1150</v>
      </c>
      <c r="G168" s="1" t="s">
        <v>1151</v>
      </c>
      <c r="H168" s="1" t="s">
        <v>1152</v>
      </c>
      <c r="I168" s="1" t="s">
        <v>1149</v>
      </c>
      <c r="J168" s="1" t="s">
        <v>1153</v>
      </c>
      <c r="K168" s="1">
        <v>739155184</v>
      </c>
      <c r="L168" s="3" t="s">
        <v>1085</v>
      </c>
      <c r="M168" s="6" t="s">
        <v>389</v>
      </c>
      <c r="N168" s="6" t="s">
        <v>63</v>
      </c>
      <c r="O168" s="1" t="s">
        <v>1086</v>
      </c>
      <c r="P168" s="1"/>
      <c r="Q168" s="1"/>
      <c r="R168" s="1"/>
      <c r="S168" s="1">
        <v>48.995959999999997</v>
      </c>
      <c r="T168" s="1">
        <v>15.357559999999999</v>
      </c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3" t="s">
        <v>1117</v>
      </c>
    </row>
    <row r="169" spans="1:47" ht="24" customHeight="1" x14ac:dyDescent="0.3">
      <c r="A169" s="3" t="s">
        <v>381</v>
      </c>
      <c r="B169" s="1" t="s">
        <v>54</v>
      </c>
      <c r="C169" s="1" t="s">
        <v>55</v>
      </c>
      <c r="D169" s="1" t="s">
        <v>1154</v>
      </c>
      <c r="E169" s="1" t="s">
        <v>1155</v>
      </c>
      <c r="F169" s="1" t="s">
        <v>1156</v>
      </c>
      <c r="G169" s="1" t="s">
        <v>1157</v>
      </c>
      <c r="H169" s="1" t="s">
        <v>1158</v>
      </c>
      <c r="I169" s="1" t="s">
        <v>1155</v>
      </c>
      <c r="J169" s="1" t="s">
        <v>1159</v>
      </c>
      <c r="K169" s="1">
        <v>776731856</v>
      </c>
      <c r="L169" s="3" t="s">
        <v>1085</v>
      </c>
      <c r="M169" s="6" t="s">
        <v>389</v>
      </c>
      <c r="N169" s="6" t="s">
        <v>63</v>
      </c>
      <c r="O169" s="1" t="s">
        <v>1086</v>
      </c>
      <c r="P169" s="1"/>
      <c r="Q169" s="1"/>
      <c r="R169" s="1"/>
      <c r="S169" s="1">
        <v>49.937800000000003</v>
      </c>
      <c r="T169" s="1">
        <v>15.150866799999999</v>
      </c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3" t="s">
        <v>1160</v>
      </c>
    </row>
    <row r="170" spans="1:47" ht="24" customHeight="1" x14ac:dyDescent="0.3">
      <c r="A170" s="3" t="s">
        <v>381</v>
      </c>
      <c r="B170" s="1" t="s">
        <v>54</v>
      </c>
      <c r="C170" s="1" t="s">
        <v>55</v>
      </c>
      <c r="D170" s="1">
        <v>68747608</v>
      </c>
      <c r="E170" s="1" t="s">
        <v>1161</v>
      </c>
      <c r="F170" s="1" t="s">
        <v>1162</v>
      </c>
      <c r="G170" s="1" t="s">
        <v>1163</v>
      </c>
      <c r="H170" s="1" t="s">
        <v>1164</v>
      </c>
      <c r="I170" s="1" t="s">
        <v>1161</v>
      </c>
      <c r="J170" s="1" t="s">
        <v>1165</v>
      </c>
      <c r="K170" s="1">
        <v>731178241</v>
      </c>
      <c r="L170" s="3" t="s">
        <v>1085</v>
      </c>
      <c r="M170" s="6" t="s">
        <v>389</v>
      </c>
      <c r="N170" s="6" t="s">
        <v>63</v>
      </c>
      <c r="O170" s="1" t="s">
        <v>1166</v>
      </c>
      <c r="P170" s="1"/>
      <c r="Q170" s="1"/>
      <c r="R170" s="1"/>
      <c r="S170" s="1">
        <v>49.212620000000001</v>
      </c>
      <c r="T170" s="1">
        <v>15.447380000000001</v>
      </c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 t="s">
        <v>1167</v>
      </c>
    </row>
    <row r="171" spans="1:47" ht="24" customHeight="1" x14ac:dyDescent="0.3">
      <c r="A171" s="3" t="s">
        <v>381</v>
      </c>
      <c r="B171" s="1" t="s">
        <v>54</v>
      </c>
      <c r="C171" s="1" t="s">
        <v>55</v>
      </c>
      <c r="D171" s="1">
        <v>63323265</v>
      </c>
      <c r="E171" s="1" t="s">
        <v>1168</v>
      </c>
      <c r="F171" s="1" t="s">
        <v>1169</v>
      </c>
      <c r="G171" s="1" t="s">
        <v>1170</v>
      </c>
      <c r="H171" s="1" t="s">
        <v>1171</v>
      </c>
      <c r="I171" s="1" t="s">
        <v>1172</v>
      </c>
      <c r="J171" s="1" t="s">
        <v>1173</v>
      </c>
      <c r="K171" s="1" t="s">
        <v>1174</v>
      </c>
      <c r="L171" s="3" t="s">
        <v>1085</v>
      </c>
      <c r="M171" s="6" t="s">
        <v>389</v>
      </c>
      <c r="N171" s="6" t="s">
        <v>63</v>
      </c>
      <c r="O171" s="1" t="s">
        <v>1086</v>
      </c>
      <c r="P171" s="1"/>
      <c r="Q171" s="1"/>
      <c r="R171" s="1"/>
      <c r="S171" s="1">
        <v>49.878791300000003</v>
      </c>
      <c r="T171" s="1">
        <v>49.878791300000003</v>
      </c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4" t="s">
        <v>1175</v>
      </c>
    </row>
    <row r="172" spans="1:47" ht="24" customHeight="1" x14ac:dyDescent="0.3">
      <c r="A172" s="3" t="s">
        <v>381</v>
      </c>
      <c r="B172" s="1" t="s">
        <v>54</v>
      </c>
      <c r="C172" s="1" t="s">
        <v>55</v>
      </c>
      <c r="D172" s="1" t="s">
        <v>1176</v>
      </c>
      <c r="E172" s="1" t="s">
        <v>1177</v>
      </c>
      <c r="F172" s="1" t="s">
        <v>1178</v>
      </c>
      <c r="G172" s="1" t="s">
        <v>1179</v>
      </c>
      <c r="H172" s="1" t="s">
        <v>1180</v>
      </c>
      <c r="I172" s="1"/>
      <c r="J172" s="1" t="s">
        <v>1181</v>
      </c>
      <c r="K172" s="1">
        <v>770677777</v>
      </c>
      <c r="L172" s="3" t="s">
        <v>1085</v>
      </c>
      <c r="M172" s="6" t="s">
        <v>389</v>
      </c>
      <c r="N172" s="6" t="s">
        <v>63</v>
      </c>
      <c r="O172" s="1" t="s">
        <v>1086</v>
      </c>
      <c r="P172" s="1"/>
      <c r="Q172" s="1"/>
      <c r="R172" s="1"/>
      <c r="S172" s="1">
        <v>49.307815400000003</v>
      </c>
      <c r="T172" s="1">
        <v>14.094430600000001</v>
      </c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3" t="s">
        <v>1117</v>
      </c>
    </row>
    <row r="173" spans="1:47" ht="24" customHeight="1" x14ac:dyDescent="0.3">
      <c r="A173" s="3" t="s">
        <v>381</v>
      </c>
      <c r="B173" s="1" t="s">
        <v>54</v>
      </c>
      <c r="C173" s="1" t="s">
        <v>55</v>
      </c>
      <c r="D173" s="1" t="s">
        <v>1182</v>
      </c>
      <c r="E173" s="1" t="s">
        <v>1183</v>
      </c>
      <c r="F173" s="1" t="s">
        <v>1184</v>
      </c>
      <c r="G173" s="1" t="s">
        <v>1185</v>
      </c>
      <c r="H173" s="1" t="s">
        <v>1186</v>
      </c>
      <c r="I173" s="1" t="s">
        <v>1183</v>
      </c>
      <c r="J173" s="1" t="s">
        <v>1187</v>
      </c>
      <c r="K173" s="1">
        <v>603317457</v>
      </c>
      <c r="L173" s="3" t="s">
        <v>1085</v>
      </c>
      <c r="M173" s="6" t="s">
        <v>389</v>
      </c>
      <c r="N173" s="6" t="s">
        <v>63</v>
      </c>
      <c r="O173" s="1" t="s">
        <v>1086</v>
      </c>
      <c r="P173" s="1"/>
      <c r="Q173" s="1"/>
      <c r="R173" s="1"/>
      <c r="S173" s="1">
        <v>49.639699999999998</v>
      </c>
      <c r="T173" s="1">
        <v>17.936</v>
      </c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3" t="s">
        <v>1188</v>
      </c>
    </row>
    <row r="174" spans="1:47" ht="24" customHeight="1" x14ac:dyDescent="0.3">
      <c r="A174" s="3" t="s">
        <v>381</v>
      </c>
      <c r="B174" s="1" t="s">
        <v>54</v>
      </c>
      <c r="C174" s="1" t="s">
        <v>55</v>
      </c>
      <c r="D174" s="1" t="s">
        <v>1189</v>
      </c>
      <c r="E174" s="1" t="s">
        <v>1190</v>
      </c>
      <c r="F174" s="1" t="s">
        <v>1191</v>
      </c>
      <c r="G174" s="1" t="s">
        <v>1192</v>
      </c>
      <c r="H174" s="1" t="s">
        <v>106</v>
      </c>
      <c r="I174" s="1" t="s">
        <v>1193</v>
      </c>
      <c r="J174" s="1" t="s">
        <v>1194</v>
      </c>
      <c r="K174" s="1">
        <v>727863811</v>
      </c>
      <c r="L174" s="3" t="s">
        <v>1085</v>
      </c>
      <c r="M174" s="6" t="s">
        <v>389</v>
      </c>
      <c r="N174" s="6" t="s">
        <v>63</v>
      </c>
      <c r="O174" s="1" t="s">
        <v>1086</v>
      </c>
      <c r="P174" s="1"/>
      <c r="Q174" s="1"/>
      <c r="R174" s="1"/>
      <c r="S174" s="1">
        <v>49.408098699999996</v>
      </c>
      <c r="T174" s="1">
        <v>14.691011899999999</v>
      </c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3" t="s">
        <v>1195</v>
      </c>
    </row>
    <row r="175" spans="1:47" ht="24" customHeight="1" x14ac:dyDescent="0.3">
      <c r="A175" s="3" t="s">
        <v>381</v>
      </c>
      <c r="B175" s="1" t="s">
        <v>54</v>
      </c>
      <c r="C175" s="1" t="s">
        <v>55</v>
      </c>
      <c r="D175" s="1">
        <v>24845094</v>
      </c>
      <c r="E175" s="1" t="s">
        <v>1196</v>
      </c>
      <c r="F175" s="1" t="s">
        <v>1197</v>
      </c>
      <c r="G175" s="1" t="s">
        <v>1198</v>
      </c>
      <c r="H175" s="1" t="s">
        <v>1199</v>
      </c>
      <c r="I175" s="1" t="s">
        <v>1200</v>
      </c>
      <c r="J175" s="1" t="s">
        <v>1201</v>
      </c>
      <c r="K175" s="1">
        <v>723857850</v>
      </c>
      <c r="L175" s="3" t="s">
        <v>1085</v>
      </c>
      <c r="M175" s="6" t="s">
        <v>389</v>
      </c>
      <c r="N175" s="6" t="s">
        <v>63</v>
      </c>
      <c r="O175" s="1" t="s">
        <v>1086</v>
      </c>
      <c r="P175" s="1"/>
      <c r="Q175" s="1"/>
      <c r="R175" s="1"/>
      <c r="S175" s="1">
        <v>50.616998000000002</v>
      </c>
      <c r="T175" s="1">
        <v>15.1115069</v>
      </c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 t="s">
        <v>1202</v>
      </c>
    </row>
    <row r="176" spans="1:47" ht="24" customHeight="1" x14ac:dyDescent="0.3">
      <c r="A176" s="3" t="s">
        <v>381</v>
      </c>
      <c r="B176" s="1" t="s">
        <v>54</v>
      </c>
      <c r="C176" s="1" t="s">
        <v>55</v>
      </c>
      <c r="D176" s="1" t="s">
        <v>1203</v>
      </c>
      <c r="E176" s="1" t="s">
        <v>1204</v>
      </c>
      <c r="F176" s="1" t="s">
        <v>1205</v>
      </c>
      <c r="G176" s="1" t="s">
        <v>1206</v>
      </c>
      <c r="H176" s="1" t="s">
        <v>1207</v>
      </c>
      <c r="I176" s="1" t="s">
        <v>1204</v>
      </c>
      <c r="J176" s="1" t="s">
        <v>1208</v>
      </c>
      <c r="K176" s="1">
        <v>775085005</v>
      </c>
      <c r="L176" s="3" t="s">
        <v>1085</v>
      </c>
      <c r="M176" s="6" t="s">
        <v>389</v>
      </c>
      <c r="N176" s="6" t="s">
        <v>63</v>
      </c>
      <c r="O176" s="1" t="s">
        <v>1086</v>
      </c>
      <c r="P176" s="1"/>
      <c r="Q176" s="1"/>
      <c r="R176" s="1"/>
      <c r="S176" s="1">
        <v>48.865658199999999</v>
      </c>
      <c r="T176" s="1">
        <v>17.136823799999998</v>
      </c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3" t="s">
        <v>1117</v>
      </c>
    </row>
    <row r="177" spans="1:48" ht="24" customHeight="1" x14ac:dyDescent="0.3">
      <c r="A177" s="3" t="s">
        <v>381</v>
      </c>
      <c r="B177" s="1" t="s">
        <v>54</v>
      </c>
      <c r="C177" s="1" t="s">
        <v>55</v>
      </c>
      <c r="D177" s="1" t="s">
        <v>1209</v>
      </c>
      <c r="E177" s="1" t="s">
        <v>1210</v>
      </c>
      <c r="F177" s="1" t="s">
        <v>1211</v>
      </c>
      <c r="G177" s="1" t="s">
        <v>1212</v>
      </c>
      <c r="H177" s="1" t="s">
        <v>1213</v>
      </c>
      <c r="I177" s="1"/>
      <c r="J177" s="1" t="s">
        <v>1214</v>
      </c>
      <c r="K177" s="1">
        <v>605246130</v>
      </c>
      <c r="L177" s="3" t="s">
        <v>1085</v>
      </c>
      <c r="M177" s="6" t="s">
        <v>389</v>
      </c>
      <c r="N177" s="6" t="s">
        <v>63</v>
      </c>
      <c r="O177" s="1" t="s">
        <v>1086</v>
      </c>
      <c r="P177" s="1"/>
      <c r="Q177" s="1"/>
      <c r="R177" s="1"/>
      <c r="S177" s="1">
        <v>50.076930099999998</v>
      </c>
      <c r="T177" s="1">
        <v>14.486423</v>
      </c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3" t="s">
        <v>1215</v>
      </c>
    </row>
    <row r="178" spans="1:48" ht="24" customHeight="1" x14ac:dyDescent="0.3">
      <c r="A178" s="3" t="s">
        <v>381</v>
      </c>
      <c r="B178" s="1" t="s">
        <v>54</v>
      </c>
      <c r="C178" s="1" t="s">
        <v>55</v>
      </c>
      <c r="D178" s="1" t="s">
        <v>1216</v>
      </c>
      <c r="E178" s="1" t="s">
        <v>1217</v>
      </c>
      <c r="F178" s="1" t="s">
        <v>1218</v>
      </c>
      <c r="G178" s="1" t="s">
        <v>1219</v>
      </c>
      <c r="H178" s="1" t="s">
        <v>1220</v>
      </c>
      <c r="I178" s="1" t="s">
        <v>1217</v>
      </c>
      <c r="J178" s="1" t="s">
        <v>1221</v>
      </c>
      <c r="K178" s="1">
        <v>774779933</v>
      </c>
      <c r="L178" s="3" t="s">
        <v>1085</v>
      </c>
      <c r="M178" s="6" t="s">
        <v>389</v>
      </c>
      <c r="N178" s="6" t="s">
        <v>63</v>
      </c>
      <c r="O178" s="1" t="s">
        <v>1086</v>
      </c>
      <c r="P178" s="1"/>
      <c r="Q178" s="1"/>
      <c r="R178" s="1"/>
      <c r="S178" s="1">
        <v>50.758071999999999</v>
      </c>
      <c r="T178" s="1">
        <v>15.0551282</v>
      </c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3" t="s">
        <v>1117</v>
      </c>
    </row>
    <row r="179" spans="1:48" ht="24" customHeight="1" x14ac:dyDescent="0.3">
      <c r="A179" s="3" t="s">
        <v>381</v>
      </c>
      <c r="B179" s="1" t="s">
        <v>54</v>
      </c>
      <c r="C179" s="1" t="s">
        <v>55</v>
      </c>
      <c r="D179" s="1" t="s">
        <v>1222</v>
      </c>
      <c r="E179" s="1" t="s">
        <v>1223</v>
      </c>
      <c r="F179" s="1" t="s">
        <v>1224</v>
      </c>
      <c r="G179" s="1" t="s">
        <v>1225</v>
      </c>
      <c r="H179" s="1" t="s">
        <v>1226</v>
      </c>
      <c r="I179" s="1"/>
      <c r="J179" s="1" t="s">
        <v>1227</v>
      </c>
      <c r="K179" s="1">
        <v>737245236</v>
      </c>
      <c r="L179" s="3" t="s">
        <v>1085</v>
      </c>
      <c r="M179" s="6" t="s">
        <v>389</v>
      </c>
      <c r="N179" s="6" t="s">
        <v>63</v>
      </c>
      <c r="O179" s="1" t="s">
        <v>1086</v>
      </c>
      <c r="P179" s="1"/>
      <c r="Q179" s="1"/>
      <c r="R179" s="1"/>
      <c r="S179" s="1">
        <v>49.504483699999902</v>
      </c>
      <c r="T179" s="1">
        <v>16.594356000000001</v>
      </c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3" t="s">
        <v>1228</v>
      </c>
    </row>
    <row r="180" spans="1:48" ht="24" customHeight="1" x14ac:dyDescent="0.3">
      <c r="B180" s="6" t="s">
        <v>65</v>
      </c>
      <c r="C180" s="6" t="s">
        <v>1229</v>
      </c>
      <c r="D180" s="6">
        <v>25597167</v>
      </c>
      <c r="E180" s="6" t="s">
        <v>1230</v>
      </c>
      <c r="F180" s="6" t="s">
        <v>1231</v>
      </c>
      <c r="G180" s="6">
        <v>66442</v>
      </c>
      <c r="H180" s="6" t="s">
        <v>376</v>
      </c>
      <c r="I180" s="6" t="s">
        <v>149</v>
      </c>
      <c r="J180" s="6" t="s">
        <v>1232</v>
      </c>
      <c r="K180" s="8">
        <v>733577296</v>
      </c>
      <c r="L180" s="6" t="s">
        <v>151</v>
      </c>
      <c r="M180" s="6" t="s">
        <v>152</v>
      </c>
      <c r="N180" s="3" t="s">
        <v>63</v>
      </c>
      <c r="P180" s="6"/>
      <c r="Q180" s="6" t="str">
        <f>VLOOKUP(G180,seznampsc!A:B,2,FALSE)</f>
        <v>Brno-město</v>
      </c>
      <c r="R180" s="6" t="str">
        <f>VLOOKUP(G180,seznampsc!A:C,3,FALSE)</f>
        <v>Jihomoravský kraj</v>
      </c>
      <c r="AU180" s="6"/>
    </row>
    <row r="181" spans="1:48" ht="24" customHeight="1" x14ac:dyDescent="0.3">
      <c r="A181" s="6"/>
      <c r="B181" s="6" t="s">
        <v>65</v>
      </c>
      <c r="C181" s="6" t="s">
        <v>1229</v>
      </c>
      <c r="D181" s="9">
        <v>25597167</v>
      </c>
      <c r="E181" s="6" t="s">
        <v>1230</v>
      </c>
      <c r="F181" s="6" t="s">
        <v>1231</v>
      </c>
      <c r="G181" s="6">
        <v>66442</v>
      </c>
      <c r="H181" s="6" t="s">
        <v>376</v>
      </c>
      <c r="I181" s="6" t="s">
        <v>1233</v>
      </c>
      <c r="J181" s="6" t="s">
        <v>1232</v>
      </c>
      <c r="K181" s="6">
        <v>771127788</v>
      </c>
      <c r="L181" s="6" t="s">
        <v>197</v>
      </c>
      <c r="M181" s="6" t="s">
        <v>62</v>
      </c>
      <c r="N181" s="6" t="s">
        <v>63</v>
      </c>
      <c r="O181" s="8" t="s">
        <v>1234</v>
      </c>
      <c r="P181" s="6"/>
      <c r="Q181" s="6" t="str">
        <f>VLOOKUP(G181,seznampsc!A:B,2,FALSE)</f>
        <v>Brno-město</v>
      </c>
      <c r="R181" s="6" t="str">
        <f>VLOOKUP(G181,seznampsc!A:C,3,FALSE)</f>
        <v>Jihomoravský kraj</v>
      </c>
      <c r="S181" s="6">
        <v>49.123350000000002</v>
      </c>
      <c r="T181" s="6">
        <v>16.606719999999999</v>
      </c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V181" s="10">
        <v>200000</v>
      </c>
    </row>
    <row r="182" spans="1:48" ht="24" customHeight="1" x14ac:dyDescent="0.3">
      <c r="A182" s="6"/>
      <c r="B182" s="6" t="s">
        <v>65</v>
      </c>
      <c r="C182" s="6" t="s">
        <v>1235</v>
      </c>
      <c r="D182" s="9">
        <v>26031868</v>
      </c>
      <c r="E182" s="6" t="s">
        <v>1236</v>
      </c>
      <c r="F182" s="6" t="s">
        <v>1001</v>
      </c>
      <c r="G182" s="6">
        <v>37005</v>
      </c>
      <c r="H182" s="6" t="s">
        <v>460</v>
      </c>
      <c r="I182" s="6" t="s">
        <v>1237</v>
      </c>
      <c r="J182" s="6" t="s">
        <v>1238</v>
      </c>
      <c r="K182" s="6" t="s">
        <v>1239</v>
      </c>
      <c r="L182" s="6" t="s">
        <v>197</v>
      </c>
      <c r="M182" s="6" t="s">
        <v>1240</v>
      </c>
      <c r="N182" s="6" t="s">
        <v>63</v>
      </c>
      <c r="O182" s="6" t="s">
        <v>1052</v>
      </c>
      <c r="P182" s="6"/>
      <c r="Q182" s="6" t="str">
        <f>VLOOKUP(G182,seznampsc!A:B,2,FALSE)</f>
        <v>České Budějovice</v>
      </c>
      <c r="R182" s="6" t="str">
        <f>VLOOKUP(G182,seznampsc!A:C,3,FALSE)</f>
        <v>Jihočeský kraj</v>
      </c>
      <c r="S182" s="6">
        <v>48.979030000000002</v>
      </c>
      <c r="T182" s="6">
        <v>14.441229999999999</v>
      </c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V182" s="10">
        <v>200000</v>
      </c>
    </row>
    <row r="183" spans="1:48" ht="24" customHeight="1" x14ac:dyDescent="0.3">
      <c r="A183" s="3" t="s">
        <v>53</v>
      </c>
      <c r="B183" s="3" t="s">
        <v>54</v>
      </c>
      <c r="C183" s="3" t="s">
        <v>55</v>
      </c>
      <c r="D183" s="3" t="s">
        <v>1241</v>
      </c>
      <c r="E183" s="3" t="s">
        <v>1242</v>
      </c>
      <c r="F183" s="3" t="s">
        <v>1243</v>
      </c>
      <c r="G183" s="3">
        <v>38241</v>
      </c>
      <c r="H183" s="3" t="s">
        <v>1244</v>
      </c>
      <c r="I183" s="3" t="s">
        <v>1242</v>
      </c>
      <c r="J183" s="3" t="s">
        <v>1245</v>
      </c>
      <c r="K183" s="3">
        <v>724947393</v>
      </c>
      <c r="L183" s="3" t="s">
        <v>61</v>
      </c>
      <c r="M183" s="6" t="s">
        <v>62</v>
      </c>
      <c r="N183" s="6" t="s">
        <v>63</v>
      </c>
      <c r="O183" s="3" t="s">
        <v>64</v>
      </c>
      <c r="Q183" s="6" t="str">
        <f>VLOOKUP(G183,seznampsc!A:B,2,FALSE)</f>
        <v>Český Krumlov</v>
      </c>
      <c r="R183" s="6" t="str">
        <f>VLOOKUP(G183,seznampsc!A:C,3,FALSE)</f>
        <v>Jihočeský kraj</v>
      </c>
      <c r="S183" s="6">
        <v>48.737249400000003</v>
      </c>
      <c r="T183" s="6">
        <v>14.482769100000001</v>
      </c>
      <c r="U183" s="6"/>
      <c r="V183" s="6"/>
      <c r="W183" s="6"/>
      <c r="X183" s="6"/>
      <c r="Y183" s="6"/>
      <c r="Z183" s="6"/>
      <c r="AA183" s="6"/>
      <c r="AB183" s="6"/>
      <c r="AC183" s="6"/>
      <c r="AD183" s="6">
        <v>680</v>
      </c>
      <c r="AE183" s="6">
        <v>680</v>
      </c>
      <c r="AF183" s="6">
        <v>680</v>
      </c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>
        <v>10</v>
      </c>
      <c r="AR183" s="6"/>
      <c r="AS183" s="6"/>
      <c r="AT183" s="6"/>
      <c r="AV183" s="3">
        <v>100000</v>
      </c>
    </row>
    <row r="184" spans="1:48" ht="24" customHeight="1" x14ac:dyDescent="0.3">
      <c r="A184" s="3" t="s">
        <v>53</v>
      </c>
      <c r="B184" s="3" t="s">
        <v>54</v>
      </c>
      <c r="C184" s="3" t="s">
        <v>55</v>
      </c>
      <c r="D184" s="3" t="s">
        <v>1246</v>
      </c>
      <c r="E184" s="3" t="s">
        <v>1247</v>
      </c>
      <c r="F184" s="3" t="s">
        <v>1248</v>
      </c>
      <c r="G184" s="3">
        <v>38208</v>
      </c>
      <c r="H184" s="3" t="s">
        <v>1249</v>
      </c>
      <c r="I184" s="3" t="s">
        <v>1247</v>
      </c>
      <c r="J184" s="3" t="s">
        <v>1250</v>
      </c>
      <c r="K184" s="3">
        <v>602186929</v>
      </c>
      <c r="L184" s="3" t="s">
        <v>61</v>
      </c>
      <c r="M184" s="6" t="s">
        <v>62</v>
      </c>
      <c r="N184" s="6" t="s">
        <v>63</v>
      </c>
      <c r="O184" s="3" t="s">
        <v>64</v>
      </c>
      <c r="Q184" s="6" t="str">
        <f>VLOOKUP(G184,seznampsc!A:B,2,FALSE)</f>
        <v>Český Krumlov</v>
      </c>
      <c r="R184" s="6" t="str">
        <f>VLOOKUP(G184,seznampsc!A:C,3,FALSE)</f>
        <v>Jihočeský kraj</v>
      </c>
      <c r="S184" s="6">
        <v>48.898190900000003</v>
      </c>
      <c r="T184" s="6">
        <v>14.2555639</v>
      </c>
      <c r="U184" s="6"/>
      <c r="V184" s="6"/>
      <c r="W184" s="6"/>
      <c r="X184" s="6"/>
      <c r="Y184" s="6"/>
      <c r="Z184" s="6"/>
      <c r="AA184" s="6"/>
      <c r="AB184" s="6"/>
      <c r="AC184" s="6"/>
      <c r="AD184" s="6">
        <v>680</v>
      </c>
      <c r="AE184" s="6">
        <v>680</v>
      </c>
      <c r="AF184" s="6">
        <v>680</v>
      </c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>
        <v>10</v>
      </c>
      <c r="AR184" s="6"/>
      <c r="AS184" s="6"/>
      <c r="AT184" s="6"/>
      <c r="AV184" s="3">
        <v>100000</v>
      </c>
    </row>
    <row r="185" spans="1:48" ht="24" customHeight="1" x14ac:dyDescent="0.3">
      <c r="A185" s="6"/>
      <c r="B185" s="6" t="s">
        <v>65</v>
      </c>
      <c r="C185" s="6" t="s">
        <v>1235</v>
      </c>
      <c r="D185" s="9">
        <v>26031868</v>
      </c>
      <c r="E185" s="6" t="s">
        <v>1236</v>
      </c>
      <c r="F185" s="6" t="s">
        <v>1251</v>
      </c>
      <c r="G185" s="6">
        <v>38101</v>
      </c>
      <c r="H185" s="6" t="s">
        <v>1252</v>
      </c>
      <c r="I185" s="6" t="s">
        <v>1253</v>
      </c>
      <c r="J185" s="7" t="s">
        <v>1254</v>
      </c>
      <c r="K185" s="6">
        <v>778977668</v>
      </c>
      <c r="L185" s="6" t="s">
        <v>197</v>
      </c>
      <c r="M185" s="6" t="s">
        <v>1240</v>
      </c>
      <c r="N185" s="6" t="s">
        <v>63</v>
      </c>
      <c r="O185" s="6" t="s">
        <v>1052</v>
      </c>
      <c r="P185" s="6"/>
      <c r="Q185" s="6" t="str">
        <f>VLOOKUP(G185,seznampsc!A:B,2,FALSE)</f>
        <v>Český Krumlov</v>
      </c>
      <c r="R185" s="6" t="str">
        <f>VLOOKUP(G185,seznampsc!A:C,3,FALSE)</f>
        <v>Jihočeský kraj</v>
      </c>
      <c r="S185" s="6">
        <v>48.826430000000002</v>
      </c>
      <c r="T185" s="6">
        <v>14.33648</v>
      </c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V185" s="10">
        <v>200000</v>
      </c>
    </row>
    <row r="186" spans="1:48" ht="24" customHeight="1" x14ac:dyDescent="0.3">
      <c r="A186" s="6"/>
      <c r="B186" s="6" t="s">
        <v>65</v>
      </c>
      <c r="C186" s="6" t="s">
        <v>1255</v>
      </c>
      <c r="D186" s="6" t="s">
        <v>1256</v>
      </c>
      <c r="E186" s="6" t="s">
        <v>1257</v>
      </c>
      <c r="F186" s="6" t="s">
        <v>1258</v>
      </c>
      <c r="G186" s="6">
        <v>73994</v>
      </c>
      <c r="H186" s="6" t="s">
        <v>473</v>
      </c>
      <c r="I186" s="6" t="s">
        <v>1259</v>
      </c>
      <c r="J186" s="6" t="s">
        <v>1260</v>
      </c>
      <c r="K186" s="6">
        <v>737701412</v>
      </c>
      <c r="L186" s="6" t="s">
        <v>586</v>
      </c>
      <c r="M186" s="6" t="s">
        <v>1261</v>
      </c>
      <c r="N186" s="6" t="s">
        <v>63</v>
      </c>
      <c r="O186" s="6" t="s">
        <v>804</v>
      </c>
      <c r="P186" s="6"/>
      <c r="Q186" s="6" t="str">
        <f>VLOOKUP(G186,seznampsc!A:B,2,FALSE)</f>
        <v>Frýdek-Místek</v>
      </c>
      <c r="R186" s="6" t="str">
        <f>VLOOKUP(G186,seznampsc!A:C,3,FALSE)</f>
        <v>Moravskoslezský kraj</v>
      </c>
      <c r="S186" s="6" t="s">
        <v>1262</v>
      </c>
      <c r="T186" s="6" t="s">
        <v>1263</v>
      </c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3" t="s">
        <v>1264</v>
      </c>
      <c r="AV186" s="10">
        <v>200000</v>
      </c>
    </row>
    <row r="187" spans="1:48" ht="24" customHeight="1" x14ac:dyDescent="0.3">
      <c r="A187" s="6"/>
      <c r="B187" s="6" t="s">
        <v>65</v>
      </c>
      <c r="C187" s="6" t="s">
        <v>1255</v>
      </c>
      <c r="D187" s="6" t="s">
        <v>1256</v>
      </c>
      <c r="E187" s="6" t="s">
        <v>1257</v>
      </c>
      <c r="F187" s="6" t="s">
        <v>1265</v>
      </c>
      <c r="G187" s="6">
        <v>73942</v>
      </c>
      <c r="H187" s="6" t="s">
        <v>477</v>
      </c>
      <c r="I187" s="6" t="s">
        <v>1266</v>
      </c>
      <c r="J187" s="6" t="s">
        <v>1267</v>
      </c>
      <c r="K187" s="6">
        <v>606636418</v>
      </c>
      <c r="L187" s="6" t="s">
        <v>586</v>
      </c>
      <c r="M187" s="6" t="s">
        <v>1261</v>
      </c>
      <c r="N187" s="6" t="s">
        <v>63</v>
      </c>
      <c r="O187" s="6" t="s">
        <v>804</v>
      </c>
      <c r="P187" s="6"/>
      <c r="Q187" s="6" t="str">
        <f>VLOOKUP(G187,seznampsc!A:B,2,FALSE)</f>
        <v>Frýdek-Místek</v>
      </c>
      <c r="R187" s="6" t="str">
        <f>VLOOKUP(G187,seznampsc!A:C,3,FALSE)</f>
        <v>Moravskoslezský kraj</v>
      </c>
      <c r="S187" s="6">
        <v>49.664760000000001</v>
      </c>
      <c r="T187" s="9">
        <v>18.3</v>
      </c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V187" s="10">
        <v>200000</v>
      </c>
    </row>
    <row r="188" spans="1:48" ht="24" customHeight="1" x14ac:dyDescent="0.3">
      <c r="A188" s="3" t="s">
        <v>53</v>
      </c>
      <c r="B188" s="3" t="s">
        <v>54</v>
      </c>
      <c r="C188" s="3" t="s">
        <v>55</v>
      </c>
      <c r="D188" s="3" t="s">
        <v>1268</v>
      </c>
      <c r="E188" s="3" t="s">
        <v>1269</v>
      </c>
      <c r="F188" s="3" t="s">
        <v>1270</v>
      </c>
      <c r="G188" s="3">
        <v>53803</v>
      </c>
      <c r="H188" s="3" t="s">
        <v>1271</v>
      </c>
      <c r="I188" s="3" t="s">
        <v>1272</v>
      </c>
      <c r="J188" s="3" t="s">
        <v>1273</v>
      </c>
      <c r="K188" s="3" t="s">
        <v>1274</v>
      </c>
      <c r="L188" s="3" t="s">
        <v>61</v>
      </c>
      <c r="M188" s="6" t="s">
        <v>62</v>
      </c>
      <c r="N188" s="6" t="s">
        <v>63</v>
      </c>
      <c r="O188" s="3" t="s">
        <v>64</v>
      </c>
      <c r="Q188" s="6" t="str">
        <f>VLOOKUP(G188,seznampsc!A:B,2,FALSE)</f>
        <v>Chrudim</v>
      </c>
      <c r="R188" s="6" t="str">
        <f>VLOOKUP(G188,seznampsc!A:C,3,FALSE)</f>
        <v>Pardubický kraj</v>
      </c>
      <c r="S188" s="6">
        <v>49.964449999999999</v>
      </c>
      <c r="T188" s="6">
        <v>15.681940000000001</v>
      </c>
      <c r="U188" s="6"/>
      <c r="V188" s="6"/>
      <c r="W188" s="6"/>
      <c r="X188" s="6"/>
      <c r="Y188" s="6"/>
      <c r="Z188" s="6"/>
      <c r="AA188" s="6"/>
      <c r="AB188" s="6"/>
      <c r="AC188" s="6"/>
      <c r="AD188" s="6">
        <v>680</v>
      </c>
      <c r="AE188" s="6">
        <v>680</v>
      </c>
      <c r="AF188" s="6">
        <v>680</v>
      </c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>
        <v>10</v>
      </c>
      <c r="AR188" s="6"/>
      <c r="AS188" s="6"/>
      <c r="AT188" s="6"/>
      <c r="AV188" s="3">
        <v>100000</v>
      </c>
    </row>
    <row r="189" spans="1:48" ht="24" customHeight="1" x14ac:dyDescent="0.3">
      <c r="A189" s="3" t="s">
        <v>53</v>
      </c>
      <c r="B189" s="3" t="s">
        <v>54</v>
      </c>
      <c r="C189" s="3" t="s">
        <v>55</v>
      </c>
      <c r="D189" s="3" t="s">
        <v>1209</v>
      </c>
      <c r="E189" s="3" t="s">
        <v>1275</v>
      </c>
      <c r="F189" s="3" t="s">
        <v>1276</v>
      </c>
      <c r="G189" s="3">
        <v>19000</v>
      </c>
      <c r="H189" s="3" t="s">
        <v>978</v>
      </c>
      <c r="I189" s="3" t="s">
        <v>1277</v>
      </c>
      <c r="J189" s="3" t="s">
        <v>1214</v>
      </c>
      <c r="K189" s="3">
        <v>605246137</v>
      </c>
      <c r="L189" s="3" t="s">
        <v>61</v>
      </c>
      <c r="M189" s="6" t="s">
        <v>62</v>
      </c>
      <c r="N189" s="6" t="s">
        <v>63</v>
      </c>
      <c r="O189" s="3" t="s">
        <v>64</v>
      </c>
      <c r="Q189" s="6" t="str">
        <f>VLOOKUP(G189,seznampsc!A:B,2,FALSE)</f>
        <v>Hlavní město Praha</v>
      </c>
      <c r="R189" s="6" t="str">
        <f>VLOOKUP(G189,seznampsc!A:C,3,FALSE)</f>
        <v>Hlavní město Praha</v>
      </c>
      <c r="S189" s="6">
        <v>50.1176873</v>
      </c>
      <c r="T189" s="6">
        <v>14.4926698</v>
      </c>
      <c r="U189" s="6"/>
      <c r="V189" s="6"/>
      <c r="W189" s="6"/>
      <c r="X189" s="6"/>
      <c r="Y189" s="6"/>
      <c r="Z189" s="6"/>
      <c r="AA189" s="6"/>
      <c r="AB189" s="6"/>
      <c r="AC189" s="6"/>
      <c r="AD189" s="6">
        <v>680</v>
      </c>
      <c r="AE189" s="6">
        <v>680</v>
      </c>
      <c r="AF189" s="6">
        <v>680</v>
      </c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>
        <v>10</v>
      </c>
      <c r="AR189" s="6"/>
      <c r="AS189" s="6"/>
      <c r="AT189" s="6"/>
      <c r="AV189" s="3">
        <v>100000</v>
      </c>
    </row>
    <row r="190" spans="1:48" ht="24" customHeight="1" x14ac:dyDescent="0.3">
      <c r="B190" s="6" t="s">
        <v>65</v>
      </c>
      <c r="C190" s="6" t="s">
        <v>1278</v>
      </c>
      <c r="D190" s="6">
        <v>64939464</v>
      </c>
      <c r="E190" s="6" t="s">
        <v>1279</v>
      </c>
      <c r="F190" s="6" t="s">
        <v>1280</v>
      </c>
      <c r="G190" s="6">
        <v>14300</v>
      </c>
      <c r="H190" s="6" t="s">
        <v>1281</v>
      </c>
      <c r="I190" s="6" t="s">
        <v>339</v>
      </c>
      <c r="J190" s="6" t="s">
        <v>1282</v>
      </c>
      <c r="K190" s="6" t="s">
        <v>1283</v>
      </c>
      <c r="L190" s="6" t="s">
        <v>151</v>
      </c>
      <c r="M190" s="6" t="s">
        <v>1284</v>
      </c>
      <c r="N190" s="3" t="s">
        <v>63</v>
      </c>
      <c r="P190" s="6"/>
      <c r="Q190" s="6" t="str">
        <f>VLOOKUP(G190,seznampsc!A:B,2,FALSE)</f>
        <v>Hlavní město Praha</v>
      </c>
      <c r="R190" s="6" t="str">
        <f>VLOOKUP(G190,seznampsc!A:C,3,FALSE)</f>
        <v>Hlavní město Praha</v>
      </c>
      <c r="AU190" s="6"/>
    </row>
    <row r="191" spans="1:48" ht="24" customHeight="1" x14ac:dyDescent="0.3">
      <c r="A191" s="6"/>
      <c r="B191" s="6" t="s">
        <v>65</v>
      </c>
      <c r="C191" s="6" t="s">
        <v>1278</v>
      </c>
      <c r="D191" s="6">
        <v>64939464</v>
      </c>
      <c r="E191" s="6" t="s">
        <v>1279</v>
      </c>
      <c r="F191" s="6" t="s">
        <v>1280</v>
      </c>
      <c r="G191" s="6">
        <v>14300</v>
      </c>
      <c r="H191" s="6" t="s">
        <v>1281</v>
      </c>
      <c r="I191" s="6" t="s">
        <v>339</v>
      </c>
      <c r="J191" s="7" t="s">
        <v>1285</v>
      </c>
      <c r="K191" s="6" t="s">
        <v>1286</v>
      </c>
      <c r="L191" s="6" t="s">
        <v>340</v>
      </c>
      <c r="M191" s="6" t="s">
        <v>1284</v>
      </c>
      <c r="N191" s="6" t="s">
        <v>63</v>
      </c>
      <c r="O191" s="6" t="s">
        <v>198</v>
      </c>
      <c r="P191" s="6"/>
      <c r="Q191" s="6" t="str">
        <f>VLOOKUP(G191,seznampsc!A:B,2,FALSE)</f>
        <v>Hlavní město Praha</v>
      </c>
      <c r="R191" s="6" t="str">
        <f>VLOOKUP(G191,seznampsc!A:C,3,FALSE)</f>
        <v>Hlavní město Praha</v>
      </c>
      <c r="S191" s="6">
        <v>49.995460000000001</v>
      </c>
      <c r="T191" s="6">
        <v>14.406639999999999</v>
      </c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 t="s">
        <v>1287</v>
      </c>
      <c r="AV191" s="8" t="s">
        <v>342</v>
      </c>
    </row>
    <row r="192" spans="1:48" ht="24" customHeight="1" x14ac:dyDescent="0.3">
      <c r="B192" s="6" t="s">
        <v>65</v>
      </c>
      <c r="C192" s="6" t="s">
        <v>1288</v>
      </c>
      <c r="D192" s="6">
        <v>25208047</v>
      </c>
      <c r="E192" s="6" t="s">
        <v>1289</v>
      </c>
      <c r="F192" s="6" t="s">
        <v>1290</v>
      </c>
      <c r="G192" s="6">
        <v>15500</v>
      </c>
      <c r="H192" s="6" t="s">
        <v>984</v>
      </c>
      <c r="I192" s="6" t="s">
        <v>1291</v>
      </c>
      <c r="J192" s="7" t="s">
        <v>1292</v>
      </c>
      <c r="K192" s="6">
        <v>602731331.607041</v>
      </c>
      <c r="L192" s="6" t="s">
        <v>586</v>
      </c>
      <c r="M192" s="6" t="s">
        <v>1293</v>
      </c>
      <c r="N192" s="6" t="s">
        <v>63</v>
      </c>
      <c r="O192" s="6" t="s">
        <v>1066</v>
      </c>
      <c r="P192" s="6"/>
      <c r="Q192" s="6" t="str">
        <f>VLOOKUP(G192,seznampsc!A:B,2,FALSE)</f>
        <v>Hlavní město Praha</v>
      </c>
      <c r="R192" s="6" t="str">
        <f>VLOOKUP(G192,seznampsc!A:C,3,FALSE)</f>
        <v>Hlavní město Praha</v>
      </c>
      <c r="S192" s="6" t="s">
        <v>1294</v>
      </c>
      <c r="T192" s="6" t="s">
        <v>1295</v>
      </c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8">
        <v>200000</v>
      </c>
    </row>
    <row r="193" spans="1:48" ht="24" customHeight="1" x14ac:dyDescent="0.3">
      <c r="B193" s="6" t="s">
        <v>65</v>
      </c>
      <c r="C193" s="6" t="s">
        <v>1296</v>
      </c>
      <c r="D193" s="6">
        <v>26149958</v>
      </c>
      <c r="E193" s="6" t="s">
        <v>1297</v>
      </c>
      <c r="F193" s="6" t="s">
        <v>1298</v>
      </c>
      <c r="G193" s="6">
        <v>10200</v>
      </c>
      <c r="H193" s="6" t="s">
        <v>1299</v>
      </c>
      <c r="I193" s="6" t="s">
        <v>1300</v>
      </c>
      <c r="J193" s="6" t="s">
        <v>1301</v>
      </c>
      <c r="K193" s="6">
        <v>724643500</v>
      </c>
      <c r="L193" s="6" t="s">
        <v>586</v>
      </c>
      <c r="M193" s="6" t="s">
        <v>84</v>
      </c>
      <c r="N193" s="6" t="s">
        <v>63</v>
      </c>
      <c r="O193" s="6" t="s">
        <v>828</v>
      </c>
      <c r="P193" s="6"/>
      <c r="Q193" s="6" t="str">
        <f>VLOOKUP(G193,seznampsc!A:B,2,FALSE)</f>
        <v>Hlavní město Praha</v>
      </c>
      <c r="R193" s="6" t="str">
        <f>VLOOKUP(G193,seznampsc!A:C,3,FALSE)</f>
        <v>Hlavní město Praha</v>
      </c>
      <c r="S193" s="6" t="s">
        <v>1302</v>
      </c>
      <c r="T193" s="6" t="s">
        <v>1303</v>
      </c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8">
        <v>200000</v>
      </c>
    </row>
    <row r="194" spans="1:48" ht="24" customHeight="1" x14ac:dyDescent="0.3">
      <c r="B194" s="6" t="s">
        <v>65</v>
      </c>
      <c r="C194" s="6" t="s">
        <v>1296</v>
      </c>
      <c r="D194" s="6">
        <v>26149958</v>
      </c>
      <c r="E194" s="6" t="s">
        <v>1297</v>
      </c>
      <c r="F194" s="6" t="s">
        <v>1304</v>
      </c>
      <c r="G194" s="6">
        <v>10200</v>
      </c>
      <c r="H194" s="6" t="s">
        <v>1305</v>
      </c>
      <c r="I194" s="6" t="s">
        <v>1306</v>
      </c>
      <c r="J194" s="6" t="s">
        <v>1307</v>
      </c>
      <c r="K194" s="6">
        <v>724088574</v>
      </c>
      <c r="L194" s="6" t="s">
        <v>586</v>
      </c>
      <c r="M194" s="6" t="s">
        <v>1308</v>
      </c>
      <c r="N194" s="6" t="s">
        <v>63</v>
      </c>
      <c r="O194" s="6" t="s">
        <v>828</v>
      </c>
      <c r="P194" s="6"/>
      <c r="Q194" s="6" t="str">
        <f>VLOOKUP(G194,seznampsc!A:B,2,FALSE)</f>
        <v>Hlavní město Praha</v>
      </c>
      <c r="R194" s="6" t="str">
        <f>VLOOKUP(G194,seznampsc!A:C,3,FALSE)</f>
        <v>Hlavní město Praha</v>
      </c>
      <c r="S194" s="6" t="s">
        <v>1309</v>
      </c>
      <c r="T194" s="6" t="s">
        <v>1310</v>
      </c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8">
        <v>200000</v>
      </c>
    </row>
    <row r="195" spans="1:48" ht="24" customHeight="1" x14ac:dyDescent="0.3">
      <c r="B195" s="6" t="s">
        <v>65</v>
      </c>
      <c r="C195" s="6" t="s">
        <v>1296</v>
      </c>
      <c r="D195" s="6">
        <v>26149958</v>
      </c>
      <c r="E195" s="6" t="s">
        <v>1297</v>
      </c>
      <c r="F195" s="6" t="s">
        <v>1311</v>
      </c>
      <c r="G195" s="6">
        <v>14300</v>
      </c>
      <c r="H195" s="6" t="s">
        <v>1312</v>
      </c>
      <c r="I195" s="6" t="s">
        <v>1313</v>
      </c>
      <c r="J195" s="6" t="s">
        <v>1314</v>
      </c>
      <c r="K195" s="6">
        <v>777062103</v>
      </c>
      <c r="L195" s="6" t="s">
        <v>586</v>
      </c>
      <c r="M195" s="6" t="s">
        <v>1315</v>
      </c>
      <c r="N195" s="6" t="s">
        <v>63</v>
      </c>
      <c r="O195" s="6" t="s">
        <v>828</v>
      </c>
      <c r="P195" s="6"/>
      <c r="Q195" s="6" t="str">
        <f>VLOOKUP(G195,seznampsc!A:B,2,FALSE)</f>
        <v>Hlavní město Praha</v>
      </c>
      <c r="R195" s="6" t="str">
        <f>VLOOKUP(G195,seznampsc!A:C,3,FALSE)</f>
        <v>Hlavní město Praha</v>
      </c>
      <c r="S195" s="6" t="s">
        <v>1316</v>
      </c>
      <c r="T195" s="6" t="s">
        <v>1317</v>
      </c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8">
        <v>200000</v>
      </c>
    </row>
    <row r="196" spans="1:48" ht="24" customHeight="1" x14ac:dyDescent="0.3">
      <c r="B196" s="6" t="s">
        <v>65</v>
      </c>
      <c r="C196" s="6" t="s">
        <v>1296</v>
      </c>
      <c r="D196" s="6">
        <v>26149958</v>
      </c>
      <c r="E196" s="6" t="s">
        <v>1297</v>
      </c>
      <c r="F196" s="6" t="s">
        <v>1318</v>
      </c>
      <c r="G196" s="6">
        <v>10800</v>
      </c>
      <c r="H196" s="6" t="s">
        <v>1319</v>
      </c>
      <c r="I196" s="6" t="s">
        <v>1320</v>
      </c>
      <c r="J196" s="6" t="s">
        <v>1321</v>
      </c>
      <c r="K196" s="6">
        <v>724867434</v>
      </c>
      <c r="L196" s="6" t="s">
        <v>586</v>
      </c>
      <c r="M196" s="6" t="s">
        <v>1322</v>
      </c>
      <c r="N196" s="6" t="s">
        <v>63</v>
      </c>
      <c r="O196" s="6" t="s">
        <v>828</v>
      </c>
      <c r="P196" s="6"/>
      <c r="Q196" s="6" t="str">
        <f>VLOOKUP(G196,seznampsc!A:B,2,FALSE)</f>
        <v>Hlavní město Praha</v>
      </c>
      <c r="R196" s="6" t="str">
        <f>VLOOKUP(G196,seznampsc!A:C,3,FALSE)</f>
        <v>Hlavní město Praha</v>
      </c>
      <c r="S196" s="6" t="s">
        <v>1323</v>
      </c>
      <c r="T196" s="6" t="s">
        <v>1324</v>
      </c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8">
        <v>200000</v>
      </c>
    </row>
    <row r="197" spans="1:48" ht="24" customHeight="1" x14ac:dyDescent="0.3">
      <c r="A197" s="3" t="s">
        <v>53</v>
      </c>
      <c r="B197" s="3" t="s">
        <v>54</v>
      </c>
      <c r="C197" s="3" t="s">
        <v>55</v>
      </c>
      <c r="D197" s="3" t="s">
        <v>1325</v>
      </c>
      <c r="E197" s="3" t="s">
        <v>1326</v>
      </c>
      <c r="F197" s="3" t="s">
        <v>1327</v>
      </c>
      <c r="G197" s="3">
        <v>33701</v>
      </c>
      <c r="H197" s="3" t="s">
        <v>583</v>
      </c>
      <c r="I197" s="3" t="s">
        <v>1328</v>
      </c>
      <c r="J197" s="3" t="s">
        <v>1329</v>
      </c>
      <c r="K197" s="3">
        <v>736634949</v>
      </c>
      <c r="L197" s="3" t="s">
        <v>61</v>
      </c>
      <c r="M197" s="6" t="s">
        <v>62</v>
      </c>
      <c r="N197" s="6" t="s">
        <v>63</v>
      </c>
      <c r="O197" s="3" t="s">
        <v>64</v>
      </c>
      <c r="Q197" s="6" t="str">
        <f>VLOOKUP(G197,seznampsc!A:B,2,FALSE)</f>
        <v>Rokycany</v>
      </c>
      <c r="R197" s="6" t="str">
        <f>VLOOKUP(G197,seznampsc!A:C,3,FALSE)</f>
        <v>Plzeňský kraj</v>
      </c>
      <c r="S197" s="6">
        <v>49.733868100000002</v>
      </c>
      <c r="T197" s="6">
        <v>13.585174500000001</v>
      </c>
      <c r="U197" s="6"/>
      <c r="V197" s="6"/>
      <c r="W197" s="6"/>
      <c r="X197" s="6"/>
      <c r="Y197" s="6"/>
      <c r="Z197" s="6"/>
      <c r="AA197" s="6"/>
      <c r="AB197" s="6"/>
      <c r="AC197" s="6"/>
      <c r="AD197" s="6">
        <v>680</v>
      </c>
      <c r="AE197" s="6">
        <v>680</v>
      </c>
      <c r="AF197" s="6">
        <v>680</v>
      </c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>
        <v>10</v>
      </c>
      <c r="AR197" s="6"/>
      <c r="AS197" s="6"/>
      <c r="AT197" s="6"/>
      <c r="AV197" s="3">
        <v>100000</v>
      </c>
    </row>
    <row r="198" spans="1:48" ht="24" customHeight="1" x14ac:dyDescent="0.3">
      <c r="B198" s="6" t="s">
        <v>65</v>
      </c>
      <c r="C198" s="6" t="s">
        <v>1296</v>
      </c>
      <c r="D198" s="6">
        <v>26149958</v>
      </c>
      <c r="E198" s="6" t="s">
        <v>1297</v>
      </c>
      <c r="F198" s="6" t="s">
        <v>1318</v>
      </c>
      <c r="G198" s="6">
        <v>10800</v>
      </c>
      <c r="H198" s="6" t="s">
        <v>1319</v>
      </c>
      <c r="I198" s="6" t="s">
        <v>1330</v>
      </c>
      <c r="J198" s="6" t="s">
        <v>1331</v>
      </c>
      <c r="K198" s="6">
        <v>602687489</v>
      </c>
      <c r="L198" s="6" t="s">
        <v>586</v>
      </c>
      <c r="M198" s="6" t="s">
        <v>1332</v>
      </c>
      <c r="N198" s="6" t="s">
        <v>63</v>
      </c>
      <c r="O198" s="6" t="s">
        <v>828</v>
      </c>
      <c r="P198" s="6"/>
      <c r="Q198" s="6" t="str">
        <f>VLOOKUP(G198,seznampsc!A:B,2,FALSE)</f>
        <v>Hlavní město Praha</v>
      </c>
      <c r="R198" s="6" t="str">
        <f>VLOOKUP(G198,seznampsc!A:C,3,FALSE)</f>
        <v>Hlavní město Praha</v>
      </c>
      <c r="S198" s="6" t="s">
        <v>1323</v>
      </c>
      <c r="T198" s="6" t="s">
        <v>1324</v>
      </c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8">
        <v>200000</v>
      </c>
    </row>
    <row r="199" spans="1:48" ht="24" customHeight="1" x14ac:dyDescent="0.3">
      <c r="B199" s="6" t="s">
        <v>65</v>
      </c>
      <c r="C199" s="6" t="s">
        <v>1296</v>
      </c>
      <c r="D199" s="6">
        <v>26149958</v>
      </c>
      <c r="E199" s="6" t="s">
        <v>1297</v>
      </c>
      <c r="F199" s="6" t="s">
        <v>1333</v>
      </c>
      <c r="G199" s="6">
        <v>10800</v>
      </c>
      <c r="H199" s="6" t="s">
        <v>1334</v>
      </c>
      <c r="I199" s="6" t="s">
        <v>1335</v>
      </c>
      <c r="J199" s="6" t="s">
        <v>1336</v>
      </c>
      <c r="K199" s="6">
        <v>724155298</v>
      </c>
      <c r="L199" s="6" t="s">
        <v>586</v>
      </c>
      <c r="M199" s="6" t="s">
        <v>1337</v>
      </c>
      <c r="N199" s="6" t="s">
        <v>63</v>
      </c>
      <c r="O199" s="6" t="s">
        <v>828</v>
      </c>
      <c r="P199" s="6"/>
      <c r="Q199" s="6" t="str">
        <f>VLOOKUP(G199,seznampsc!A:B,2,FALSE)</f>
        <v>Hlavní město Praha</v>
      </c>
      <c r="R199" s="6" t="str">
        <f>VLOOKUP(G199,seznampsc!A:C,3,FALSE)</f>
        <v>Hlavní město Praha</v>
      </c>
      <c r="S199" s="6" t="s">
        <v>1338</v>
      </c>
      <c r="T199" s="6" t="s">
        <v>1339</v>
      </c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8">
        <v>200000</v>
      </c>
    </row>
    <row r="200" spans="1:48" ht="24" customHeight="1" x14ac:dyDescent="0.3">
      <c r="B200" s="6" t="s">
        <v>65</v>
      </c>
      <c r="C200" s="6" t="s">
        <v>1296</v>
      </c>
      <c r="D200" s="6">
        <v>26149958</v>
      </c>
      <c r="E200" s="6" t="s">
        <v>1297</v>
      </c>
      <c r="F200" s="6" t="s">
        <v>1333</v>
      </c>
      <c r="G200" s="6">
        <v>10800</v>
      </c>
      <c r="H200" s="6" t="s">
        <v>1334</v>
      </c>
      <c r="I200" s="6" t="s">
        <v>1340</v>
      </c>
      <c r="J200" s="6" t="s">
        <v>1341</v>
      </c>
      <c r="K200" s="6">
        <v>602356425</v>
      </c>
      <c r="L200" s="6" t="s">
        <v>586</v>
      </c>
      <c r="M200" s="6" t="s">
        <v>1342</v>
      </c>
      <c r="N200" s="6" t="s">
        <v>63</v>
      </c>
      <c r="O200" s="6" t="s">
        <v>828</v>
      </c>
      <c r="P200" s="6"/>
      <c r="Q200" s="6" t="str">
        <f>VLOOKUP(G200,seznampsc!A:B,2,FALSE)</f>
        <v>Hlavní město Praha</v>
      </c>
      <c r="R200" s="6" t="str">
        <f>VLOOKUP(G200,seznampsc!A:C,3,FALSE)</f>
        <v>Hlavní město Praha</v>
      </c>
      <c r="S200" s="6" t="s">
        <v>1338</v>
      </c>
      <c r="T200" s="6" t="s">
        <v>1339</v>
      </c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8">
        <v>200000</v>
      </c>
    </row>
    <row r="201" spans="1:48" ht="24" customHeight="1" x14ac:dyDescent="0.3">
      <c r="A201" s="6"/>
      <c r="B201" s="6" t="s">
        <v>65</v>
      </c>
      <c r="C201" s="6" t="s">
        <v>1343</v>
      </c>
      <c r="D201" s="6" t="s">
        <v>1344</v>
      </c>
      <c r="E201" s="6" t="s">
        <v>1345</v>
      </c>
      <c r="F201" s="6" t="s">
        <v>1346</v>
      </c>
      <c r="G201" s="6">
        <v>69501</v>
      </c>
      <c r="H201" s="6" t="s">
        <v>1207</v>
      </c>
      <c r="I201" s="6" t="s">
        <v>1347</v>
      </c>
      <c r="J201" s="7" t="s">
        <v>1348</v>
      </c>
      <c r="K201" s="6">
        <v>777200497</v>
      </c>
      <c r="L201" s="6" t="s">
        <v>586</v>
      </c>
      <c r="M201" s="6" t="s">
        <v>1349</v>
      </c>
      <c r="N201" s="6" t="s">
        <v>63</v>
      </c>
      <c r="O201" s="6" t="s">
        <v>1350</v>
      </c>
      <c r="P201" s="6"/>
      <c r="Q201" s="6" t="str">
        <f>VLOOKUP(G201,seznampsc!A:B,2,FALSE)</f>
        <v>Hodonín</v>
      </c>
      <c r="R201" s="6" t="str">
        <f>VLOOKUP(G201,seznampsc!A:C,3,FALSE)</f>
        <v>Jihomoravský kraj</v>
      </c>
      <c r="S201" s="6">
        <v>48.867359999999998</v>
      </c>
      <c r="T201" s="6">
        <v>17.11459</v>
      </c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V201" s="10">
        <v>200000</v>
      </c>
    </row>
    <row r="202" spans="1:48" ht="24" customHeight="1" x14ac:dyDescent="0.3">
      <c r="B202" s="6" t="s">
        <v>65</v>
      </c>
      <c r="C202" s="6" t="s">
        <v>1351</v>
      </c>
      <c r="D202" s="6">
        <v>25331248</v>
      </c>
      <c r="E202" s="6" t="s">
        <v>1352</v>
      </c>
      <c r="F202" s="6" t="s">
        <v>1353</v>
      </c>
      <c r="G202" s="6">
        <v>69501</v>
      </c>
      <c r="H202" s="6" t="s">
        <v>1207</v>
      </c>
      <c r="I202" s="6" t="s">
        <v>1354</v>
      </c>
      <c r="J202" s="6" t="s">
        <v>1355</v>
      </c>
      <c r="K202" s="8">
        <v>518394930</v>
      </c>
      <c r="L202" s="6" t="s">
        <v>586</v>
      </c>
      <c r="M202" s="6" t="s">
        <v>1356</v>
      </c>
      <c r="N202" s="6" t="s">
        <v>63</v>
      </c>
      <c r="O202" s="6" t="s">
        <v>1357</v>
      </c>
      <c r="P202" s="6"/>
      <c r="Q202" s="6" t="str">
        <f>VLOOKUP(G202,seznampsc!A:B,2,FALSE)</f>
        <v>Hodonín</v>
      </c>
      <c r="R202" s="6" t="str">
        <f>VLOOKUP(G202,seznampsc!A:C,3,FALSE)</f>
        <v>Jihomoravský kraj</v>
      </c>
      <c r="S202" s="6" t="s">
        <v>1358</v>
      </c>
      <c r="T202" s="6" t="s">
        <v>1359</v>
      </c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8"/>
    </row>
    <row r="203" spans="1:48" ht="24" customHeight="1" x14ac:dyDescent="0.3">
      <c r="B203" s="6" t="s">
        <v>65</v>
      </c>
      <c r="C203" s="6" t="s">
        <v>1351</v>
      </c>
      <c r="D203" s="6">
        <v>25331248</v>
      </c>
      <c r="E203" s="6" t="s">
        <v>1352</v>
      </c>
      <c r="F203" s="6" t="s">
        <v>1360</v>
      </c>
      <c r="G203" s="6">
        <v>69701</v>
      </c>
      <c r="H203" s="6" t="s">
        <v>817</v>
      </c>
      <c r="I203" s="6" t="s">
        <v>1361</v>
      </c>
      <c r="J203" s="7" t="s">
        <v>1362</v>
      </c>
      <c r="K203" s="8">
        <v>518730530</v>
      </c>
      <c r="L203" s="6" t="s">
        <v>586</v>
      </c>
      <c r="M203" s="6" t="s">
        <v>1356</v>
      </c>
      <c r="N203" s="6" t="s">
        <v>63</v>
      </c>
      <c r="O203" s="6" t="s">
        <v>1357</v>
      </c>
      <c r="P203" s="6"/>
      <c r="Q203" s="6" t="str">
        <f>VLOOKUP(G203,seznampsc!A:B,2,FALSE)</f>
        <v>Hodonín</v>
      </c>
      <c r="R203" s="6" t="str">
        <f>VLOOKUP(G203,seznampsc!A:C,3,FALSE)</f>
        <v>Jihomoravský kraj</v>
      </c>
      <c r="S203" s="6" t="s">
        <v>1363</v>
      </c>
      <c r="T203" s="6" t="s">
        <v>1364</v>
      </c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8"/>
    </row>
    <row r="204" spans="1:48" ht="24" customHeight="1" x14ac:dyDescent="0.3">
      <c r="A204" s="3" t="s">
        <v>53</v>
      </c>
      <c r="B204" s="3" t="s">
        <v>54</v>
      </c>
      <c r="C204" s="3" t="s">
        <v>55</v>
      </c>
      <c r="D204" s="3" t="s">
        <v>1365</v>
      </c>
      <c r="E204" s="3" t="s">
        <v>1366</v>
      </c>
      <c r="F204" s="3" t="s">
        <v>1367</v>
      </c>
      <c r="G204" s="3">
        <v>50401</v>
      </c>
      <c r="H204" s="3" t="s">
        <v>1368</v>
      </c>
      <c r="I204" s="3" t="s">
        <v>1366</v>
      </c>
      <c r="J204" s="3" t="s">
        <v>1369</v>
      </c>
      <c r="K204" s="3">
        <v>777242964</v>
      </c>
      <c r="L204" s="3" t="s">
        <v>61</v>
      </c>
      <c r="M204" s="6" t="s">
        <v>62</v>
      </c>
      <c r="N204" s="6" t="s">
        <v>63</v>
      </c>
      <c r="O204" s="3" t="s">
        <v>64</v>
      </c>
      <c r="Q204" s="6" t="str">
        <f>VLOOKUP(G204,seznampsc!A:B,2,FALSE)</f>
        <v>Hradec Králové</v>
      </c>
      <c r="R204" s="6" t="str">
        <f>VLOOKUP(G204,seznampsc!A:C,3,FALSE)</f>
        <v>Královéhradecký kraj</v>
      </c>
      <c r="S204" s="6">
        <v>50.230255799999902</v>
      </c>
      <c r="T204" s="6">
        <v>15.4924549</v>
      </c>
      <c r="U204" s="6"/>
      <c r="V204" s="6"/>
      <c r="W204" s="6"/>
      <c r="X204" s="6"/>
      <c r="Y204" s="6"/>
      <c r="Z204" s="6"/>
      <c r="AA204" s="6"/>
      <c r="AB204" s="6"/>
      <c r="AC204" s="6"/>
      <c r="AD204" s="6">
        <v>680</v>
      </c>
      <c r="AE204" s="6">
        <v>680</v>
      </c>
      <c r="AF204" s="6">
        <v>680</v>
      </c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>
        <v>10</v>
      </c>
      <c r="AR204" s="6"/>
      <c r="AS204" s="6"/>
      <c r="AT204" s="6"/>
      <c r="AV204" s="3">
        <v>100000</v>
      </c>
    </row>
    <row r="205" spans="1:48" ht="24" customHeight="1" x14ac:dyDescent="0.3">
      <c r="A205" s="3" t="s">
        <v>53</v>
      </c>
      <c r="B205" s="3" t="s">
        <v>54</v>
      </c>
      <c r="C205" s="3" t="s">
        <v>55</v>
      </c>
      <c r="D205" s="3">
        <v>62562037</v>
      </c>
      <c r="E205" s="3" t="s">
        <v>1370</v>
      </c>
      <c r="F205" s="3" t="s">
        <v>1371</v>
      </c>
      <c r="G205" s="3">
        <v>10000</v>
      </c>
      <c r="H205" s="3" t="s">
        <v>1372</v>
      </c>
      <c r="I205" s="3" t="s">
        <v>1370</v>
      </c>
      <c r="J205" s="3" t="s">
        <v>1373</v>
      </c>
      <c r="K205" s="3">
        <v>603442957</v>
      </c>
      <c r="L205" s="3" t="s">
        <v>61</v>
      </c>
      <c r="M205" s="6" t="s">
        <v>62</v>
      </c>
      <c r="N205" s="6" t="s">
        <v>63</v>
      </c>
      <c r="O205" s="3" t="s">
        <v>64</v>
      </c>
      <c r="Q205" s="6" t="str">
        <f>VLOOKUP(G205,seznampsc!A:B,2,FALSE)</f>
        <v>Hlavní město Praha</v>
      </c>
      <c r="R205" s="6" t="str">
        <f>VLOOKUP(G205,seznampsc!A:C,3,FALSE)</f>
        <v>Hlavní město Praha</v>
      </c>
      <c r="S205" s="6">
        <v>50.046408700000001</v>
      </c>
      <c r="T205" s="6">
        <v>14.3331737</v>
      </c>
      <c r="U205" s="6"/>
      <c r="V205" s="6"/>
      <c r="W205" s="6"/>
      <c r="X205" s="6"/>
      <c r="Y205" s="6"/>
      <c r="Z205" s="6"/>
      <c r="AA205" s="6"/>
      <c r="AB205" s="6"/>
      <c r="AC205" s="6"/>
      <c r="AD205" s="6">
        <v>680</v>
      </c>
      <c r="AE205" s="6">
        <v>680</v>
      </c>
      <c r="AF205" s="6">
        <v>680</v>
      </c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>
        <v>10</v>
      </c>
      <c r="AR205" s="6"/>
      <c r="AS205" s="6"/>
      <c r="AT205" s="6"/>
      <c r="AV205" s="3">
        <v>100000</v>
      </c>
    </row>
    <row r="206" spans="1:48" ht="24" customHeight="1" x14ac:dyDescent="0.3">
      <c r="A206" s="3" t="s">
        <v>53</v>
      </c>
      <c r="B206" s="3" t="s">
        <v>54</v>
      </c>
      <c r="C206" s="3" t="s">
        <v>55</v>
      </c>
      <c r="D206" s="3" t="s">
        <v>1374</v>
      </c>
      <c r="E206" s="3" t="s">
        <v>1375</v>
      </c>
      <c r="F206" s="3" t="s">
        <v>1376</v>
      </c>
      <c r="G206" s="3">
        <v>50341</v>
      </c>
      <c r="H206" s="3" t="s">
        <v>330</v>
      </c>
      <c r="I206" s="3" t="s">
        <v>1375</v>
      </c>
      <c r="J206" s="3" t="s">
        <v>1377</v>
      </c>
      <c r="K206" s="3">
        <v>603443295</v>
      </c>
      <c r="L206" s="3" t="s">
        <v>61</v>
      </c>
      <c r="M206" s="6" t="s">
        <v>62</v>
      </c>
      <c r="N206" s="6" t="s">
        <v>63</v>
      </c>
      <c r="O206" s="3" t="s">
        <v>64</v>
      </c>
      <c r="Q206" s="6" t="str">
        <f>VLOOKUP(G206,seznampsc!A:B,2,FALSE)</f>
        <v>Hradec Králové</v>
      </c>
      <c r="R206" s="6" t="str">
        <f>VLOOKUP(G206,seznampsc!A:C,3,FALSE)</f>
        <v>Královéhradecký kraj</v>
      </c>
      <c r="S206" s="6">
        <v>50.226489200000003</v>
      </c>
      <c r="T206" s="6">
        <v>15.8336942</v>
      </c>
      <c r="U206" s="6"/>
      <c r="V206" s="6"/>
      <c r="W206" s="6"/>
      <c r="X206" s="6"/>
      <c r="Y206" s="6"/>
      <c r="Z206" s="6"/>
      <c r="AA206" s="6"/>
      <c r="AB206" s="6"/>
      <c r="AC206" s="6"/>
      <c r="AD206" s="6">
        <v>680</v>
      </c>
      <c r="AE206" s="6">
        <v>680</v>
      </c>
      <c r="AF206" s="6">
        <v>680</v>
      </c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>
        <v>10</v>
      </c>
      <c r="AR206" s="6"/>
      <c r="AS206" s="6"/>
      <c r="AT206" s="6"/>
      <c r="AV206" s="3">
        <v>100000</v>
      </c>
    </row>
    <row r="207" spans="1:48" ht="24" customHeight="1" x14ac:dyDescent="0.3">
      <c r="A207" s="6" t="s">
        <v>53</v>
      </c>
      <c r="B207" s="6" t="s">
        <v>65</v>
      </c>
      <c r="C207" s="6" t="s">
        <v>1378</v>
      </c>
      <c r="D207" s="6">
        <v>2888599</v>
      </c>
      <c r="E207" s="6" t="s">
        <v>1379</v>
      </c>
      <c r="F207" s="6" t="s">
        <v>1380</v>
      </c>
      <c r="G207" s="6">
        <v>50302</v>
      </c>
      <c r="H207" s="6" t="s">
        <v>1381</v>
      </c>
      <c r="I207" s="6" t="s">
        <v>1382</v>
      </c>
      <c r="J207" s="7" t="s">
        <v>1383</v>
      </c>
      <c r="K207" s="8">
        <v>722939790</v>
      </c>
      <c r="L207" s="6" t="s">
        <v>73</v>
      </c>
      <c r="M207" s="6" t="s">
        <v>62</v>
      </c>
      <c r="N207" s="6" t="s">
        <v>63</v>
      </c>
      <c r="O207" s="6" t="s">
        <v>804</v>
      </c>
      <c r="P207" s="6"/>
      <c r="Q207" s="6" t="str">
        <f>VLOOKUP(G207,seznampsc!A:B,2,FALSE)</f>
        <v>Hradec Králové</v>
      </c>
      <c r="R207" s="6" t="str">
        <f>VLOOKUP(G207,seznampsc!A:C,3,FALSE)</f>
        <v>Královéhradecký kraj</v>
      </c>
      <c r="S207" s="6" t="s">
        <v>1384</v>
      </c>
      <c r="T207" s="6" t="s">
        <v>1385</v>
      </c>
      <c r="U207" s="6"/>
      <c r="V207" s="6"/>
      <c r="W207" s="6"/>
      <c r="X207" s="6"/>
      <c r="Y207" s="6"/>
      <c r="Z207" s="6"/>
      <c r="AA207" s="6"/>
      <c r="AB207" s="6"/>
      <c r="AC207" s="6"/>
      <c r="AD207" s="6">
        <v>650</v>
      </c>
      <c r="AE207" s="6">
        <v>650</v>
      </c>
      <c r="AF207" s="6">
        <v>690</v>
      </c>
      <c r="AG207" s="6"/>
      <c r="AH207" s="6"/>
      <c r="AI207" s="6"/>
      <c r="AJ207" s="6">
        <v>107</v>
      </c>
      <c r="AK207" s="6">
        <v>107</v>
      </c>
      <c r="AL207" s="6"/>
      <c r="AM207" s="6"/>
      <c r="AN207" s="6"/>
      <c r="AO207" s="6"/>
      <c r="AP207" s="6">
        <v>5</v>
      </c>
      <c r="AQ207" s="6">
        <v>20</v>
      </c>
      <c r="AR207" s="6">
        <v>30</v>
      </c>
      <c r="AS207" s="6"/>
      <c r="AT207" s="6"/>
      <c r="AU207" s="6" t="s">
        <v>1386</v>
      </c>
      <c r="AV207" s="6">
        <v>100000</v>
      </c>
    </row>
    <row r="208" spans="1:48" ht="24" customHeight="1" x14ac:dyDescent="0.3">
      <c r="A208" s="3" t="s">
        <v>53</v>
      </c>
      <c r="B208" s="3" t="s">
        <v>54</v>
      </c>
      <c r="C208" s="3" t="s">
        <v>55</v>
      </c>
      <c r="D208" s="3">
        <v>69914745</v>
      </c>
      <c r="E208" s="3" t="s">
        <v>1387</v>
      </c>
      <c r="F208" s="3" t="s">
        <v>1388</v>
      </c>
      <c r="G208" s="3">
        <v>40801</v>
      </c>
      <c r="H208" s="3" t="s">
        <v>608</v>
      </c>
      <c r="I208" s="3" t="s">
        <v>1387</v>
      </c>
      <c r="J208" s="7" t="s">
        <v>1389</v>
      </c>
      <c r="K208" s="3">
        <v>608955200</v>
      </c>
      <c r="L208" s="3" t="s">
        <v>61</v>
      </c>
      <c r="M208" s="6" t="s">
        <v>62</v>
      </c>
      <c r="N208" s="6" t="s">
        <v>63</v>
      </c>
      <c r="O208" s="3" t="s">
        <v>787</v>
      </c>
      <c r="Q208" s="6" t="str">
        <f>VLOOKUP(G208,seznampsc!A:B,2,FALSE)</f>
        <v>Děčín</v>
      </c>
      <c r="R208" s="6" t="str">
        <f>VLOOKUP(G208,seznampsc!A:C,3,FALSE)</f>
        <v>Ústecký kraj</v>
      </c>
      <c r="S208" s="6" t="s">
        <v>1390</v>
      </c>
      <c r="T208" s="6" t="s">
        <v>1391</v>
      </c>
      <c r="U208" s="6"/>
      <c r="V208" s="6"/>
      <c r="W208" s="6"/>
      <c r="X208" s="6"/>
      <c r="Y208" s="6"/>
      <c r="Z208" s="6"/>
      <c r="AA208" s="6"/>
      <c r="AB208" s="6"/>
      <c r="AC208" s="6"/>
      <c r="AD208" s="6">
        <v>680</v>
      </c>
      <c r="AE208" s="6">
        <v>680</v>
      </c>
      <c r="AF208" s="6">
        <v>680</v>
      </c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>
        <v>10</v>
      </c>
      <c r="AR208" s="6"/>
      <c r="AS208" s="6"/>
      <c r="AT208" s="6"/>
      <c r="AV208" s="3">
        <v>100000</v>
      </c>
    </row>
    <row r="209" spans="1:48" ht="24" customHeight="1" x14ac:dyDescent="0.3">
      <c r="A209" s="6" t="s">
        <v>53</v>
      </c>
      <c r="B209" s="6" t="s">
        <v>65</v>
      </c>
      <c r="C209" s="6" t="s">
        <v>1392</v>
      </c>
      <c r="D209" s="9">
        <v>60260637</v>
      </c>
      <c r="E209" s="6" t="s">
        <v>1393</v>
      </c>
      <c r="F209" s="6" t="s">
        <v>1394</v>
      </c>
      <c r="G209" s="6">
        <v>46841</v>
      </c>
      <c r="H209" s="6" t="s">
        <v>1395</v>
      </c>
      <c r="I209" s="6" t="s">
        <v>1396</v>
      </c>
      <c r="J209" s="6" t="s">
        <v>1397</v>
      </c>
      <c r="K209" s="8">
        <v>736766493</v>
      </c>
      <c r="L209" s="6" t="s">
        <v>197</v>
      </c>
      <c r="M209" s="6" t="s">
        <v>62</v>
      </c>
      <c r="N209" s="6" t="s">
        <v>63</v>
      </c>
      <c r="O209" s="8" t="s">
        <v>198</v>
      </c>
      <c r="P209" s="6"/>
      <c r="Q209" s="6" t="str">
        <f>VLOOKUP(G209,seznampsc!A:B,2,FALSE)</f>
        <v>Jablonec nad Nisou</v>
      </c>
      <c r="R209" s="6" t="str">
        <f>VLOOKUP(G209,seznampsc!A:C,3,FALSE)</f>
        <v>Liberecký kraj</v>
      </c>
      <c r="S209" s="6">
        <v>50.758270000000003</v>
      </c>
      <c r="T209" s="6">
        <v>15.268380000000001</v>
      </c>
      <c r="U209" s="6"/>
      <c r="V209" s="6"/>
      <c r="W209" s="6"/>
      <c r="X209" s="6"/>
      <c r="Y209" s="6"/>
      <c r="Z209" s="6"/>
      <c r="AA209" s="6"/>
      <c r="AB209" s="6"/>
      <c r="AC209" s="6"/>
      <c r="AD209" s="6">
        <v>600</v>
      </c>
      <c r="AE209" s="6">
        <v>600</v>
      </c>
      <c r="AF209" s="6">
        <v>600</v>
      </c>
      <c r="AG209" s="6"/>
      <c r="AH209" s="6"/>
      <c r="AI209" s="6"/>
      <c r="AJ209" s="6">
        <v>107</v>
      </c>
      <c r="AK209" s="6">
        <v>107</v>
      </c>
      <c r="AL209" s="6"/>
      <c r="AM209" s="6"/>
      <c r="AN209" s="6"/>
      <c r="AO209" s="6"/>
      <c r="AP209" s="6"/>
      <c r="AQ209" s="6">
        <v>10</v>
      </c>
      <c r="AR209" s="6"/>
      <c r="AS209" s="6" t="s">
        <v>199</v>
      </c>
      <c r="AT209" s="6"/>
      <c r="AV209" s="10">
        <v>200000</v>
      </c>
    </row>
    <row r="210" spans="1:48" ht="24" customHeight="1" x14ac:dyDescent="0.3">
      <c r="A210" s="3" t="s">
        <v>53</v>
      </c>
      <c r="B210" s="6" t="s">
        <v>65</v>
      </c>
      <c r="C210" s="6" t="s">
        <v>1398</v>
      </c>
      <c r="D210" s="6">
        <v>68747608</v>
      </c>
      <c r="E210" s="6" t="s">
        <v>1399</v>
      </c>
      <c r="F210" s="6" t="s">
        <v>1400</v>
      </c>
      <c r="G210" s="6">
        <v>58856</v>
      </c>
      <c r="H210" s="6" t="s">
        <v>1164</v>
      </c>
      <c r="I210" s="6" t="s">
        <v>149</v>
      </c>
      <c r="J210" s="6" t="s">
        <v>1401</v>
      </c>
      <c r="K210" s="8">
        <v>731178241</v>
      </c>
      <c r="L210" s="6" t="s">
        <v>151</v>
      </c>
      <c r="M210" s="6" t="s">
        <v>152</v>
      </c>
      <c r="N210" s="3" t="s">
        <v>63</v>
      </c>
      <c r="O210" s="8" t="s">
        <v>198</v>
      </c>
      <c r="P210" s="6"/>
      <c r="Q210" s="6" t="str">
        <f>VLOOKUP(G210,seznampsc!A:B,2,FALSE)</f>
        <v>Jihlava</v>
      </c>
      <c r="R210" s="6" t="str">
        <f>VLOOKUP(G210,seznampsc!A:C,3,FALSE)</f>
        <v>Kraj Vysočina</v>
      </c>
      <c r="S210" s="6" t="s">
        <v>1402</v>
      </c>
      <c r="T210" s="6" t="s">
        <v>1403</v>
      </c>
      <c r="AD210" s="3">
        <v>720</v>
      </c>
      <c r="AE210" s="3">
        <v>720</v>
      </c>
      <c r="AF210" s="3">
        <v>720</v>
      </c>
      <c r="AJ210" s="3">
        <v>110</v>
      </c>
      <c r="AK210" s="3">
        <v>110</v>
      </c>
      <c r="AQ210" s="3">
        <v>10</v>
      </c>
      <c r="AT210" s="3">
        <v>250</v>
      </c>
      <c r="AU210" s="6"/>
      <c r="AV210" s="3">
        <v>200000</v>
      </c>
    </row>
    <row r="211" spans="1:48" ht="24" customHeight="1" x14ac:dyDescent="0.3">
      <c r="A211" s="3" t="s">
        <v>53</v>
      </c>
      <c r="B211" s="6" t="s">
        <v>65</v>
      </c>
      <c r="C211" s="6" t="s">
        <v>1398</v>
      </c>
      <c r="D211" s="6">
        <v>68747608</v>
      </c>
      <c r="E211" s="6" t="s">
        <v>1399</v>
      </c>
      <c r="F211" s="6" t="s">
        <v>1404</v>
      </c>
      <c r="G211" s="6">
        <v>58601</v>
      </c>
      <c r="H211" s="6" t="s">
        <v>286</v>
      </c>
      <c r="I211" s="6" t="s">
        <v>149</v>
      </c>
      <c r="J211" s="6" t="s">
        <v>1401</v>
      </c>
      <c r="K211" s="8">
        <v>731178241</v>
      </c>
      <c r="L211" s="6" t="s">
        <v>151</v>
      </c>
      <c r="M211" s="6" t="s">
        <v>152</v>
      </c>
      <c r="N211" s="3" t="s">
        <v>63</v>
      </c>
      <c r="P211" s="6"/>
      <c r="Q211" s="6" t="str">
        <f>VLOOKUP(G211,seznampsc!A:B,2,FALSE)</f>
        <v>Jihlava</v>
      </c>
      <c r="R211" s="6" t="str">
        <f>VLOOKUP(G211,seznampsc!A:C,3,FALSE)</f>
        <v>Kraj Vysočina</v>
      </c>
      <c r="AD211" s="3">
        <v>720</v>
      </c>
      <c r="AE211" s="3">
        <v>720</v>
      </c>
      <c r="AF211" s="3">
        <v>720</v>
      </c>
      <c r="AJ211" s="3">
        <v>110</v>
      </c>
      <c r="AK211" s="3">
        <v>100</v>
      </c>
      <c r="AQ211" s="3">
        <v>10</v>
      </c>
      <c r="AT211" s="3">
        <v>250</v>
      </c>
      <c r="AU211" s="6"/>
      <c r="AV211" s="3">
        <v>200000</v>
      </c>
    </row>
    <row r="212" spans="1:48" ht="24" customHeight="1" x14ac:dyDescent="0.3">
      <c r="B212" s="6" t="s">
        <v>65</v>
      </c>
      <c r="C212" s="6" t="s">
        <v>1405</v>
      </c>
      <c r="D212" s="6">
        <v>12871117</v>
      </c>
      <c r="E212" s="6" t="s">
        <v>1406</v>
      </c>
      <c r="F212" s="6" t="s">
        <v>1407</v>
      </c>
      <c r="G212" s="6">
        <v>36004</v>
      </c>
      <c r="H212" s="6" t="s">
        <v>1408</v>
      </c>
      <c r="I212" s="6" t="s">
        <v>1409</v>
      </c>
      <c r="J212" s="7" t="s">
        <v>1410</v>
      </c>
      <c r="K212" s="8">
        <v>353361721.35336101</v>
      </c>
      <c r="L212" s="6" t="s">
        <v>586</v>
      </c>
      <c r="M212" s="6" t="s">
        <v>1411</v>
      </c>
      <c r="N212" s="6" t="s">
        <v>63</v>
      </c>
      <c r="O212" s="6" t="s">
        <v>804</v>
      </c>
      <c r="P212" s="6"/>
      <c r="Q212" s="6" t="str">
        <f>VLOOKUP(G212,seznampsc!A:B,2,FALSE)</f>
        <v>Karlovy Vary</v>
      </c>
      <c r="R212" s="6" t="str">
        <f>VLOOKUP(G212,seznampsc!A:C,3,FALSE)</f>
        <v>Karlovarský kraj</v>
      </c>
      <c r="S212" s="6" t="s">
        <v>1412</v>
      </c>
      <c r="T212" s="6" t="s">
        <v>1413</v>
      </c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8"/>
    </row>
    <row r="213" spans="1:48" ht="24" customHeight="1" x14ac:dyDescent="0.3">
      <c r="B213" s="6" t="s">
        <v>65</v>
      </c>
      <c r="C213" s="6" t="s">
        <v>1405</v>
      </c>
      <c r="D213" s="6">
        <v>12871117</v>
      </c>
      <c r="E213" s="6" t="s">
        <v>1406</v>
      </c>
      <c r="F213" s="6" t="s">
        <v>1414</v>
      </c>
      <c r="G213" s="6">
        <v>36004</v>
      </c>
      <c r="H213" s="6" t="s">
        <v>1408</v>
      </c>
      <c r="I213" s="6" t="s">
        <v>1415</v>
      </c>
      <c r="J213" s="7" t="s">
        <v>1416</v>
      </c>
      <c r="K213" s="8">
        <v>355329821</v>
      </c>
      <c r="L213" s="6" t="s">
        <v>586</v>
      </c>
      <c r="M213" s="6" t="s">
        <v>1411</v>
      </c>
      <c r="N213" s="6" t="s">
        <v>63</v>
      </c>
      <c r="O213" s="6" t="s">
        <v>804</v>
      </c>
      <c r="P213" s="6"/>
      <c r="Q213" s="6" t="str">
        <f>VLOOKUP(G213,seznampsc!A:B,2,FALSE)</f>
        <v>Karlovy Vary</v>
      </c>
      <c r="R213" s="6" t="str">
        <f>VLOOKUP(G213,seznampsc!A:C,3,FALSE)</f>
        <v>Karlovarský kraj</v>
      </c>
      <c r="S213" s="6" t="s">
        <v>1417</v>
      </c>
      <c r="T213" s="6" t="s">
        <v>1418</v>
      </c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8"/>
    </row>
    <row r="214" spans="1:48" ht="24" customHeight="1" x14ac:dyDescent="0.3">
      <c r="A214" s="3" t="s">
        <v>53</v>
      </c>
      <c r="B214" s="3" t="s">
        <v>54</v>
      </c>
      <c r="C214" s="3" t="s">
        <v>55</v>
      </c>
      <c r="D214" s="3">
        <v>76018831</v>
      </c>
      <c r="E214" s="3" t="s">
        <v>1419</v>
      </c>
      <c r="F214" s="3" t="s">
        <v>1420</v>
      </c>
      <c r="G214" s="3">
        <v>73514</v>
      </c>
      <c r="H214" s="3" t="s">
        <v>1171</v>
      </c>
      <c r="I214" s="3" t="s">
        <v>1419</v>
      </c>
      <c r="J214" s="3" t="s">
        <v>1421</v>
      </c>
      <c r="K214" s="3">
        <v>605205666</v>
      </c>
      <c r="L214" s="3" t="s">
        <v>61</v>
      </c>
      <c r="M214" s="6" t="s">
        <v>62</v>
      </c>
      <c r="N214" s="6" t="s">
        <v>63</v>
      </c>
      <c r="O214" s="3" t="s">
        <v>64</v>
      </c>
      <c r="Q214" s="6" t="str">
        <f>VLOOKUP(G214,seznampsc!A:B,2,FALSE)</f>
        <v>Karviná</v>
      </c>
      <c r="R214" s="6" t="str">
        <f>VLOOKUP(G214,seznampsc!A:C,3,FALSE)</f>
        <v>Moravskoslezský kraj</v>
      </c>
      <c r="S214" s="6">
        <v>49.865139999999997</v>
      </c>
      <c r="T214" s="6">
        <v>18.421939999999999</v>
      </c>
      <c r="U214" s="6"/>
      <c r="V214" s="6"/>
      <c r="W214" s="6"/>
      <c r="X214" s="6"/>
      <c r="Y214" s="6"/>
      <c r="Z214" s="6"/>
      <c r="AA214" s="6"/>
      <c r="AB214" s="6"/>
      <c r="AC214" s="6"/>
      <c r="AD214" s="6">
        <v>680</v>
      </c>
      <c r="AE214" s="6">
        <v>680</v>
      </c>
      <c r="AF214" s="6">
        <v>680</v>
      </c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>
        <v>10</v>
      </c>
      <c r="AR214" s="6"/>
      <c r="AS214" s="6"/>
      <c r="AT214" s="6"/>
      <c r="AU214" s="3" t="s">
        <v>1422</v>
      </c>
      <c r="AV214" s="3">
        <v>100000</v>
      </c>
    </row>
    <row r="215" spans="1:48" ht="24" customHeight="1" x14ac:dyDescent="0.3">
      <c r="A215" s="6"/>
      <c r="B215" s="6" t="s">
        <v>65</v>
      </c>
      <c r="C215" s="6" t="s">
        <v>1423</v>
      </c>
      <c r="D215" s="6" t="s">
        <v>1424</v>
      </c>
      <c r="E215" s="6" t="s">
        <v>1425</v>
      </c>
      <c r="F215" s="6" t="s">
        <v>1426</v>
      </c>
      <c r="G215" s="6">
        <v>27201</v>
      </c>
      <c r="H215" s="6" t="s">
        <v>916</v>
      </c>
      <c r="I215" s="6"/>
      <c r="J215" s="7" t="s">
        <v>1427</v>
      </c>
      <c r="K215" s="8">
        <v>800220221</v>
      </c>
      <c r="L215" s="6" t="s">
        <v>586</v>
      </c>
      <c r="M215" s="6" t="s">
        <v>1428</v>
      </c>
      <c r="N215" s="6" t="s">
        <v>63</v>
      </c>
      <c r="O215" s="8" t="s">
        <v>1429</v>
      </c>
      <c r="P215" s="6"/>
      <c r="Q215" s="6" t="str">
        <f>VLOOKUP(G215,seznampsc!A:B,2,FALSE)</f>
        <v>Kladno</v>
      </c>
      <c r="R215" s="6" t="str">
        <f>VLOOKUP(G215,seznampsc!A:C,3,FALSE)</f>
        <v>Středočeský kraj</v>
      </c>
      <c r="S215" s="6">
        <v>50.137610000000002</v>
      </c>
      <c r="T215" s="6">
        <v>14.09416</v>
      </c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V215" s="10">
        <v>200000</v>
      </c>
    </row>
    <row r="216" spans="1:48" ht="24" customHeight="1" x14ac:dyDescent="0.3">
      <c r="A216" s="6"/>
      <c r="B216" s="6" t="s">
        <v>65</v>
      </c>
      <c r="C216" s="6" t="s">
        <v>1423</v>
      </c>
      <c r="D216" s="6" t="s">
        <v>1424</v>
      </c>
      <c r="E216" s="6" t="s">
        <v>1425</v>
      </c>
      <c r="F216" s="6" t="s">
        <v>1430</v>
      </c>
      <c r="G216" s="6">
        <v>27201</v>
      </c>
      <c r="H216" s="6" t="s">
        <v>916</v>
      </c>
      <c r="I216" s="6"/>
      <c r="J216" s="7" t="s">
        <v>1427</v>
      </c>
      <c r="K216" s="8">
        <v>800220221</v>
      </c>
      <c r="L216" s="6" t="s">
        <v>586</v>
      </c>
      <c r="M216" s="6" t="s">
        <v>1428</v>
      </c>
      <c r="N216" s="6" t="s">
        <v>63</v>
      </c>
      <c r="O216" s="8" t="s">
        <v>1429</v>
      </c>
      <c r="P216" s="6"/>
      <c r="Q216" s="6" t="str">
        <f>VLOOKUP(G216,seznampsc!A:B,2,FALSE)</f>
        <v>Kladno</v>
      </c>
      <c r="R216" s="6" t="str">
        <f>VLOOKUP(G216,seznampsc!A:C,3,FALSE)</f>
        <v>Středočeský kraj</v>
      </c>
      <c r="S216" s="6">
        <v>50.136150000000001</v>
      </c>
      <c r="T216" s="6">
        <v>14.13679</v>
      </c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V216" s="10">
        <v>200000</v>
      </c>
    </row>
    <row r="217" spans="1:48" ht="24" customHeight="1" x14ac:dyDescent="0.3">
      <c r="A217" s="6" t="s">
        <v>53</v>
      </c>
      <c r="B217" s="6" t="s">
        <v>65</v>
      </c>
      <c r="C217" s="6" t="s">
        <v>1431</v>
      </c>
      <c r="D217" s="6" t="s">
        <v>1432</v>
      </c>
      <c r="E217" s="6" t="s">
        <v>1433</v>
      </c>
      <c r="F217" s="6" t="s">
        <v>1426</v>
      </c>
      <c r="G217" s="6">
        <v>27201</v>
      </c>
      <c r="H217" s="6" t="s">
        <v>916</v>
      </c>
      <c r="I217" s="6" t="s">
        <v>1434</v>
      </c>
      <c r="J217" s="7" t="s">
        <v>1435</v>
      </c>
      <c r="K217" s="8">
        <v>312517181</v>
      </c>
      <c r="L217" s="6" t="s">
        <v>586</v>
      </c>
      <c r="M217" s="6" t="s">
        <v>318</v>
      </c>
      <c r="N217" s="6" t="s">
        <v>63</v>
      </c>
      <c r="O217" s="8" t="s">
        <v>1429</v>
      </c>
      <c r="P217" s="6"/>
      <c r="Q217" s="6" t="str">
        <f>VLOOKUP(G217,seznampsc!A:B,2,FALSE)</f>
        <v>Kladno</v>
      </c>
      <c r="R217" s="6" t="str">
        <f>VLOOKUP(G217,seznampsc!A:C,3,FALSE)</f>
        <v>Středočeský kraj</v>
      </c>
      <c r="S217" s="6">
        <v>50.137610000000002</v>
      </c>
      <c r="T217" s="6">
        <v>14.09416</v>
      </c>
      <c r="U217" s="6"/>
      <c r="V217" s="6"/>
      <c r="W217" s="6"/>
      <c r="X217" s="6"/>
      <c r="Y217" s="6"/>
      <c r="Z217" s="6"/>
      <c r="AA217" s="6"/>
      <c r="AB217" s="6"/>
      <c r="AC217" s="6"/>
      <c r="AD217" s="6">
        <v>1100</v>
      </c>
      <c r="AE217" s="6">
        <v>1100</v>
      </c>
      <c r="AF217" s="6">
        <v>1200</v>
      </c>
      <c r="AG217" s="6"/>
      <c r="AH217" s="6"/>
      <c r="AI217" s="6"/>
      <c r="AJ217" s="6">
        <v>107</v>
      </c>
      <c r="AK217" s="6">
        <v>107</v>
      </c>
      <c r="AL217" s="6"/>
      <c r="AM217" s="6"/>
      <c r="AN217" s="6"/>
      <c r="AO217" s="6"/>
      <c r="AP217" s="6">
        <v>5</v>
      </c>
      <c r="AQ217" s="6"/>
      <c r="AR217" s="6">
        <v>5</v>
      </c>
      <c r="AS217" s="6"/>
      <c r="AT217" s="6"/>
      <c r="AU217" s="3" t="s">
        <v>1436</v>
      </c>
      <c r="AV217" s="10">
        <v>200000</v>
      </c>
    </row>
    <row r="218" spans="1:48" ht="24" customHeight="1" x14ac:dyDescent="0.3">
      <c r="A218" s="6" t="s">
        <v>53</v>
      </c>
      <c r="B218" s="6" t="s">
        <v>65</v>
      </c>
      <c r="C218" s="6" t="s">
        <v>1431</v>
      </c>
      <c r="D218" s="6" t="s">
        <v>1432</v>
      </c>
      <c r="E218" s="6" t="s">
        <v>1433</v>
      </c>
      <c r="F218" s="6" t="s">
        <v>1430</v>
      </c>
      <c r="G218" s="6">
        <v>27201</v>
      </c>
      <c r="H218" s="6" t="s">
        <v>916</v>
      </c>
      <c r="I218" s="6" t="s">
        <v>1434</v>
      </c>
      <c r="J218" s="7" t="s">
        <v>1435</v>
      </c>
      <c r="K218" s="8">
        <v>312517181</v>
      </c>
      <c r="L218" s="6" t="s">
        <v>586</v>
      </c>
      <c r="M218" s="6" t="s">
        <v>318</v>
      </c>
      <c r="N218" s="6" t="s">
        <v>63</v>
      </c>
      <c r="O218" s="8" t="s">
        <v>1429</v>
      </c>
      <c r="P218" s="6"/>
      <c r="Q218" s="6" t="str">
        <f>VLOOKUP(G218,seznampsc!A:B,2,FALSE)</f>
        <v>Kladno</v>
      </c>
      <c r="R218" s="6" t="str">
        <f>VLOOKUP(G218,seznampsc!A:C,3,FALSE)</f>
        <v>Středočeský kraj</v>
      </c>
      <c r="S218" s="6">
        <v>50.136150000000001</v>
      </c>
      <c r="T218" s="6">
        <v>14.13679</v>
      </c>
      <c r="U218" s="6"/>
      <c r="V218" s="6"/>
      <c r="W218" s="6"/>
      <c r="X218" s="6"/>
      <c r="Y218" s="6"/>
      <c r="Z218" s="6"/>
      <c r="AA218" s="6"/>
      <c r="AB218" s="6"/>
      <c r="AC218" s="6"/>
      <c r="AD218" s="6">
        <v>1100</v>
      </c>
      <c r="AE218" s="6">
        <v>1100</v>
      </c>
      <c r="AF218" s="6">
        <v>1200</v>
      </c>
      <c r="AG218" s="6"/>
      <c r="AH218" s="6"/>
      <c r="AI218" s="6"/>
      <c r="AJ218" s="6">
        <v>107</v>
      </c>
      <c r="AK218" s="6">
        <v>107</v>
      </c>
      <c r="AL218" s="6"/>
      <c r="AM218" s="6"/>
      <c r="AN218" s="6"/>
      <c r="AO218" s="6"/>
      <c r="AP218" s="6">
        <v>5</v>
      </c>
      <c r="AQ218" s="6"/>
      <c r="AR218" s="6">
        <v>5</v>
      </c>
      <c r="AS218" s="6"/>
      <c r="AT218" s="6"/>
      <c r="AU218" s="3" t="s">
        <v>1436</v>
      </c>
      <c r="AV218" s="10">
        <v>200000</v>
      </c>
    </row>
    <row r="219" spans="1:48" ht="24" customHeight="1" x14ac:dyDescent="0.3">
      <c r="B219" s="6" t="s">
        <v>65</v>
      </c>
      <c r="C219" s="6" t="s">
        <v>1405</v>
      </c>
      <c r="D219" s="6">
        <v>22115633</v>
      </c>
      <c r="E219" s="6" t="s">
        <v>1437</v>
      </c>
      <c r="F219" s="6" t="s">
        <v>1430</v>
      </c>
      <c r="G219" s="6">
        <v>27201</v>
      </c>
      <c r="H219" s="6" t="s">
        <v>916</v>
      </c>
      <c r="I219" s="6"/>
      <c r="J219" s="7" t="s">
        <v>1427</v>
      </c>
      <c r="K219" s="8">
        <v>800220221</v>
      </c>
      <c r="L219" s="6" t="s">
        <v>586</v>
      </c>
      <c r="M219" s="6" t="s">
        <v>1438</v>
      </c>
      <c r="N219" s="6" t="s">
        <v>63</v>
      </c>
      <c r="O219" s="8" t="s">
        <v>1429</v>
      </c>
      <c r="P219" s="6"/>
      <c r="Q219" s="6" t="str">
        <f>VLOOKUP(G219,seznampsc!A:B,2,FALSE)</f>
        <v>Kladno</v>
      </c>
      <c r="R219" s="6" t="str">
        <f>VLOOKUP(G219,seznampsc!A:C,3,FALSE)</f>
        <v>Středočeský kraj</v>
      </c>
      <c r="S219" s="6" t="s">
        <v>1439</v>
      </c>
      <c r="T219" s="6" t="s">
        <v>1440</v>
      </c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8">
        <v>200000</v>
      </c>
    </row>
    <row r="220" spans="1:48" ht="24" customHeight="1" x14ac:dyDescent="0.3">
      <c r="A220" s="3" t="s">
        <v>53</v>
      </c>
      <c r="B220" s="3" t="s">
        <v>54</v>
      </c>
      <c r="C220" s="3" t="s">
        <v>55</v>
      </c>
      <c r="D220" s="3" t="s">
        <v>1441</v>
      </c>
      <c r="E220" s="3" t="s">
        <v>1442</v>
      </c>
      <c r="F220" s="3" t="s">
        <v>1443</v>
      </c>
      <c r="G220" s="3">
        <v>76861</v>
      </c>
      <c r="H220" s="3" t="s">
        <v>1444</v>
      </c>
      <c r="J220" s="3" t="s">
        <v>1445</v>
      </c>
      <c r="K220" s="3">
        <v>776303168</v>
      </c>
      <c r="L220" s="3" t="s">
        <v>61</v>
      </c>
      <c r="M220" s="6" t="s">
        <v>62</v>
      </c>
      <c r="N220" s="6" t="s">
        <v>63</v>
      </c>
      <c r="O220" s="3" t="s">
        <v>64</v>
      </c>
      <c r="Q220" s="6" t="str">
        <f>VLOOKUP(G220,seznampsc!A:B,2,FALSE)</f>
        <v>Kroměříž</v>
      </c>
      <c r="R220" s="6" t="str">
        <f>VLOOKUP(G220,seznampsc!A:C,3,FALSE)</f>
        <v>Zlínský kraj</v>
      </c>
      <c r="S220" s="6" t="s">
        <v>1446</v>
      </c>
      <c r="T220" s="6" t="s">
        <v>1447</v>
      </c>
      <c r="U220" s="6"/>
      <c r="V220" s="6"/>
      <c r="W220" s="6"/>
      <c r="X220" s="6"/>
      <c r="Y220" s="6"/>
      <c r="Z220" s="6"/>
      <c r="AA220" s="6"/>
      <c r="AB220" s="6"/>
      <c r="AC220" s="6"/>
      <c r="AD220" s="6">
        <v>680</v>
      </c>
      <c r="AE220" s="6">
        <v>680</v>
      </c>
      <c r="AF220" s="6">
        <v>680</v>
      </c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>
        <v>10</v>
      </c>
      <c r="AR220" s="6"/>
      <c r="AS220" s="6"/>
      <c r="AT220" s="6"/>
      <c r="AV220" s="3">
        <v>100000</v>
      </c>
    </row>
    <row r="221" spans="1:48" ht="24" customHeight="1" x14ac:dyDescent="0.3">
      <c r="A221" s="4" t="s">
        <v>381</v>
      </c>
      <c r="B221" s="4" t="s">
        <v>54</v>
      </c>
      <c r="C221" s="4" t="s">
        <v>1448</v>
      </c>
      <c r="D221" s="4" t="s">
        <v>1449</v>
      </c>
      <c r="E221" s="4" t="s">
        <v>1450</v>
      </c>
      <c r="F221" s="4" t="s">
        <v>1451</v>
      </c>
      <c r="G221" s="4" t="s">
        <v>1452</v>
      </c>
      <c r="H221" s="4" t="s">
        <v>1453</v>
      </c>
      <c r="I221" s="4" t="s">
        <v>1450</v>
      </c>
      <c r="J221" s="4" t="s">
        <v>1454</v>
      </c>
      <c r="K221" s="4">
        <v>739201121</v>
      </c>
      <c r="L221" s="3" t="s">
        <v>1085</v>
      </c>
      <c r="M221" s="6" t="s">
        <v>389</v>
      </c>
      <c r="N221" s="6" t="s">
        <v>63</v>
      </c>
      <c r="O221" s="4" t="s">
        <v>1086</v>
      </c>
      <c r="P221" s="4"/>
      <c r="Q221" s="4"/>
      <c r="R221" s="4"/>
      <c r="S221" s="1">
        <v>49.843663199999902</v>
      </c>
      <c r="T221" s="1">
        <v>18.327376099999999</v>
      </c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4" t="s">
        <v>1455</v>
      </c>
    </row>
    <row r="222" spans="1:48" ht="24" customHeight="1" x14ac:dyDescent="0.3">
      <c r="A222" s="3" t="s">
        <v>53</v>
      </c>
      <c r="B222" s="6" t="s">
        <v>65</v>
      </c>
      <c r="C222" s="6" t="s">
        <v>1456</v>
      </c>
      <c r="D222" s="6">
        <v>6807089</v>
      </c>
      <c r="E222" s="6" t="s">
        <v>1457</v>
      </c>
      <c r="F222" s="6" t="s">
        <v>1458</v>
      </c>
      <c r="G222" s="6">
        <v>27801</v>
      </c>
      <c r="H222" s="6" t="s">
        <v>1459</v>
      </c>
      <c r="I222" s="6" t="s">
        <v>1460</v>
      </c>
      <c r="J222" s="6" t="s">
        <v>1461</v>
      </c>
      <c r="K222" s="6">
        <v>602939373</v>
      </c>
      <c r="L222" s="6" t="s">
        <v>151</v>
      </c>
      <c r="M222" s="6" t="s">
        <v>152</v>
      </c>
      <c r="N222" s="3" t="s">
        <v>63</v>
      </c>
      <c r="O222" s="6" t="s">
        <v>804</v>
      </c>
      <c r="P222" s="6"/>
      <c r="Q222" s="6" t="str">
        <f>VLOOKUP(G222,seznampsc!A:B,2,FALSE)</f>
        <v>Mělník</v>
      </c>
      <c r="R222" s="6" t="str">
        <f>VLOOKUP(G222,seznampsc!A:C,3,FALSE)</f>
        <v>Středočeský kraj</v>
      </c>
      <c r="S222" s="6">
        <v>50.239104400000002</v>
      </c>
      <c r="T222" s="6">
        <v>14.317311</v>
      </c>
      <c r="AD222" s="3">
        <v>720</v>
      </c>
      <c r="AE222" s="3">
        <v>730</v>
      </c>
      <c r="AF222" s="3">
        <v>730</v>
      </c>
      <c r="AJ222" s="3">
        <v>107</v>
      </c>
      <c r="AK222" s="3">
        <v>116</v>
      </c>
      <c r="AP222" s="3">
        <v>3</v>
      </c>
      <c r="AQ222" s="3">
        <v>10</v>
      </c>
      <c r="AS222" s="3" t="s">
        <v>199</v>
      </c>
      <c r="AU222" s="6"/>
      <c r="AV222" s="3">
        <v>200000</v>
      </c>
    </row>
    <row r="223" spans="1:48" ht="24" customHeight="1" x14ac:dyDescent="0.3">
      <c r="A223" s="3" t="s">
        <v>53</v>
      </c>
      <c r="B223" s="3" t="s">
        <v>54</v>
      </c>
      <c r="C223" s="3" t="s">
        <v>55</v>
      </c>
      <c r="D223" s="3" t="s">
        <v>1462</v>
      </c>
      <c r="E223" s="3" t="s">
        <v>1463</v>
      </c>
      <c r="F223" s="3" t="s">
        <v>1464</v>
      </c>
      <c r="G223" s="3">
        <v>76701</v>
      </c>
      <c r="H223" s="3" t="s">
        <v>567</v>
      </c>
      <c r="I223" s="3" t="s">
        <v>1465</v>
      </c>
      <c r="J223" s="7" t="s">
        <v>1466</v>
      </c>
      <c r="K223" s="3">
        <v>603511011</v>
      </c>
      <c r="L223" s="3" t="s">
        <v>61</v>
      </c>
      <c r="M223" s="6" t="s">
        <v>62</v>
      </c>
      <c r="N223" s="6" t="s">
        <v>63</v>
      </c>
      <c r="O223" s="3" t="s">
        <v>64</v>
      </c>
      <c r="Q223" s="6" t="str">
        <f>VLOOKUP(G223,seznampsc!A:B,2,FALSE)</f>
        <v>Kroměříž</v>
      </c>
      <c r="R223" s="6" t="str">
        <f>VLOOKUP(G223,seznampsc!A:C,3,FALSE)</f>
        <v>Zlínský kraj</v>
      </c>
      <c r="S223" s="6">
        <v>49.301107399999999</v>
      </c>
      <c r="T223" s="6">
        <v>17.387265500000002</v>
      </c>
      <c r="U223" s="6"/>
      <c r="V223" s="6"/>
      <c r="W223" s="6"/>
      <c r="X223" s="6"/>
      <c r="Y223" s="6"/>
      <c r="Z223" s="6"/>
      <c r="AA223" s="6"/>
      <c r="AB223" s="6"/>
      <c r="AC223" s="6"/>
      <c r="AD223" s="6">
        <v>680</v>
      </c>
      <c r="AE223" s="6">
        <v>680</v>
      </c>
      <c r="AF223" s="6">
        <v>680</v>
      </c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>
        <v>10</v>
      </c>
      <c r="AR223" s="6"/>
      <c r="AS223" s="6"/>
      <c r="AT223" s="6"/>
      <c r="AV223" s="3">
        <v>100000</v>
      </c>
    </row>
    <row r="224" spans="1:48" ht="24" customHeight="1" x14ac:dyDescent="0.3">
      <c r="A224" s="3" t="s">
        <v>381</v>
      </c>
      <c r="B224" s="6" t="s">
        <v>65</v>
      </c>
      <c r="C224" s="1" t="s">
        <v>1467</v>
      </c>
      <c r="D224" s="1">
        <v>12640158</v>
      </c>
      <c r="E224" s="1" t="s">
        <v>1468</v>
      </c>
      <c r="F224" s="1" t="s">
        <v>1469</v>
      </c>
      <c r="G224" s="1">
        <v>73961</v>
      </c>
      <c r="H224" s="1" t="s">
        <v>473</v>
      </c>
      <c r="I224" s="1" t="s">
        <v>1470</v>
      </c>
      <c r="J224" s="1" t="s">
        <v>1471</v>
      </c>
      <c r="K224" s="2">
        <v>607127360</v>
      </c>
      <c r="L224" s="6" t="s">
        <v>1472</v>
      </c>
      <c r="M224" s="1" t="s">
        <v>389</v>
      </c>
      <c r="N224" s="3" t="s">
        <v>63</v>
      </c>
      <c r="P224" s="6"/>
      <c r="Q224" s="6"/>
      <c r="R224" s="6"/>
      <c r="AU224" s="1" t="s">
        <v>1473</v>
      </c>
    </row>
    <row r="225" spans="1:48" ht="24" customHeight="1" x14ac:dyDescent="0.3">
      <c r="A225" s="6"/>
      <c r="B225" s="6" t="s">
        <v>65</v>
      </c>
      <c r="C225" s="6" t="s">
        <v>1467</v>
      </c>
      <c r="D225" s="9">
        <v>12640158</v>
      </c>
      <c r="E225" s="6" t="s">
        <v>1474</v>
      </c>
      <c r="F225" s="6" t="s">
        <v>1475</v>
      </c>
      <c r="G225" s="6">
        <v>73961</v>
      </c>
      <c r="H225" s="6" t="s">
        <v>473</v>
      </c>
      <c r="I225" s="6" t="s">
        <v>1476</v>
      </c>
      <c r="J225" s="6" t="s">
        <v>1471</v>
      </c>
      <c r="K225" s="8">
        <v>607127360</v>
      </c>
      <c r="L225" s="6" t="s">
        <v>197</v>
      </c>
      <c r="M225" s="6" t="s">
        <v>62</v>
      </c>
      <c r="N225" s="6" t="s">
        <v>158</v>
      </c>
      <c r="O225" s="6" t="s">
        <v>804</v>
      </c>
      <c r="P225" s="6"/>
      <c r="Q225" s="6" t="str">
        <f>VLOOKUP(G225,seznampsc!A:B,2,FALSE)</f>
        <v>Frýdek-Místek</v>
      </c>
      <c r="R225" s="6" t="str">
        <f>VLOOKUP(G225,seznampsc!A:C,3,FALSE)</f>
        <v>Moravskoslezský kraj</v>
      </c>
      <c r="S225" s="6">
        <v>49.676811099999902</v>
      </c>
      <c r="T225" s="6">
        <v>18.672183199999999</v>
      </c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V225" s="10">
        <v>200000</v>
      </c>
    </row>
    <row r="226" spans="1:48" ht="24" customHeight="1" x14ac:dyDescent="0.3">
      <c r="A226" s="6"/>
      <c r="B226" s="6" t="s">
        <v>65</v>
      </c>
      <c r="C226" s="6" t="s">
        <v>1477</v>
      </c>
      <c r="D226" s="6" t="s">
        <v>1478</v>
      </c>
      <c r="E226" s="6" t="s">
        <v>1479</v>
      </c>
      <c r="F226" s="6" t="s">
        <v>1480</v>
      </c>
      <c r="G226" s="6">
        <v>76901</v>
      </c>
      <c r="H226" s="6" t="s">
        <v>1481</v>
      </c>
      <c r="I226" s="6" t="s">
        <v>1482</v>
      </c>
      <c r="J226" s="7" t="s">
        <v>1483</v>
      </c>
      <c r="K226" s="6" t="s">
        <v>1484</v>
      </c>
      <c r="L226" s="6" t="s">
        <v>586</v>
      </c>
      <c r="M226" s="6" t="s">
        <v>84</v>
      </c>
      <c r="N226" s="6" t="s">
        <v>63</v>
      </c>
      <c r="O226" s="6" t="s">
        <v>1066</v>
      </c>
      <c r="P226" s="6"/>
      <c r="Q226" s="6" t="str">
        <f>VLOOKUP(G226,seznampsc!A:B,2,FALSE)</f>
        <v>Kroměříž</v>
      </c>
      <c r="R226" s="6" t="str">
        <f>VLOOKUP(G226,seznampsc!A:C,3,FALSE)</f>
        <v>Zlínský kraj</v>
      </c>
      <c r="S226" s="6">
        <v>49.32403</v>
      </c>
      <c r="T226" s="6">
        <v>17.571000000000002</v>
      </c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V226" s="10">
        <v>200000</v>
      </c>
    </row>
    <row r="227" spans="1:48" ht="24" customHeight="1" x14ac:dyDescent="0.3">
      <c r="A227" s="1" t="s">
        <v>381</v>
      </c>
      <c r="B227" s="1" t="s">
        <v>65</v>
      </c>
      <c r="C227" s="1" t="s">
        <v>1485</v>
      </c>
      <c r="D227" s="1" t="s">
        <v>1486</v>
      </c>
      <c r="E227" s="1" t="s">
        <v>1487</v>
      </c>
      <c r="F227" s="1" t="s">
        <v>1488</v>
      </c>
      <c r="G227" s="1">
        <v>37010</v>
      </c>
      <c r="H227" s="1" t="s">
        <v>1489</v>
      </c>
      <c r="I227" s="1" t="s">
        <v>1490</v>
      </c>
      <c r="J227" s="1" t="s">
        <v>1491</v>
      </c>
      <c r="K227" s="1">
        <v>380420005</v>
      </c>
      <c r="L227" s="1" t="s">
        <v>577</v>
      </c>
      <c r="M227" s="1" t="s">
        <v>1492</v>
      </c>
      <c r="N227" s="1" t="s">
        <v>63</v>
      </c>
      <c r="O227" s="1" t="s">
        <v>1086</v>
      </c>
      <c r="P227" s="1"/>
      <c r="Q227" s="1"/>
      <c r="R227" s="1"/>
      <c r="S227" s="1">
        <v>49.002820399999997</v>
      </c>
      <c r="T227" s="1">
        <v>14.4838655</v>
      </c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 t="s">
        <v>1493</v>
      </c>
      <c r="AV227" s="1"/>
    </row>
    <row r="228" spans="1:48" ht="24" customHeight="1" x14ac:dyDescent="0.3">
      <c r="A228" s="3" t="s">
        <v>53</v>
      </c>
      <c r="B228" s="3" t="s">
        <v>54</v>
      </c>
      <c r="C228" s="3" t="s">
        <v>55</v>
      </c>
      <c r="D228" s="3" t="s">
        <v>1494</v>
      </c>
      <c r="E228" s="3" t="s">
        <v>1495</v>
      </c>
      <c r="F228" s="3" t="s">
        <v>1496</v>
      </c>
      <c r="G228" s="3">
        <v>46334</v>
      </c>
      <c r="H228" s="3" t="s">
        <v>1497</v>
      </c>
      <c r="I228" s="3" t="s">
        <v>1498</v>
      </c>
      <c r="J228" s="3" t="s">
        <v>1499</v>
      </c>
      <c r="K228" s="3">
        <v>777740075</v>
      </c>
      <c r="L228" s="3" t="s">
        <v>61</v>
      </c>
      <c r="M228" s="6" t="s">
        <v>62</v>
      </c>
      <c r="N228" s="6" t="s">
        <v>63</v>
      </c>
      <c r="O228" s="3" t="s">
        <v>64</v>
      </c>
      <c r="Q228" s="6" t="str">
        <f>VLOOKUP(G228,seznampsc!A:B,2,FALSE)</f>
        <v>Liberec</v>
      </c>
      <c r="R228" s="6" t="str">
        <f>VLOOKUP(G228,seznampsc!A:C,3,FALSE)</f>
        <v>Liberecký kraj</v>
      </c>
      <c r="S228" s="6">
        <v>50.852797299999999</v>
      </c>
      <c r="T228" s="6">
        <v>14.8582009</v>
      </c>
      <c r="U228" s="6"/>
      <c r="V228" s="6"/>
      <c r="W228" s="6"/>
      <c r="X228" s="6"/>
      <c r="Y228" s="6"/>
      <c r="Z228" s="6"/>
      <c r="AA228" s="6"/>
      <c r="AB228" s="6"/>
      <c r="AC228" s="6"/>
      <c r="AD228" s="6">
        <v>680</v>
      </c>
      <c r="AE228" s="6">
        <v>680</v>
      </c>
      <c r="AF228" s="6">
        <v>680</v>
      </c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>
        <v>10</v>
      </c>
      <c r="AR228" s="6"/>
      <c r="AS228" s="6"/>
      <c r="AT228" s="6"/>
      <c r="AV228" s="3">
        <v>100000</v>
      </c>
    </row>
    <row r="229" spans="1:48" ht="24" customHeight="1" x14ac:dyDescent="0.3">
      <c r="A229" s="3" t="s">
        <v>53</v>
      </c>
      <c r="B229" s="6" t="s">
        <v>65</v>
      </c>
      <c r="C229" s="6" t="s">
        <v>1500</v>
      </c>
      <c r="D229" s="6">
        <v>22248846</v>
      </c>
      <c r="E229" s="6" t="s">
        <v>1501</v>
      </c>
      <c r="F229" s="6" t="s">
        <v>1502</v>
      </c>
      <c r="G229" s="6">
        <v>69152</v>
      </c>
      <c r="H229" s="6" t="s">
        <v>1503</v>
      </c>
      <c r="I229" s="6" t="s">
        <v>149</v>
      </c>
      <c r="J229" s="6" t="s">
        <v>1504</v>
      </c>
      <c r="K229" s="8">
        <v>723621774</v>
      </c>
      <c r="L229" s="6" t="s">
        <v>151</v>
      </c>
      <c r="M229" s="6" t="s">
        <v>152</v>
      </c>
      <c r="N229" s="3" t="s">
        <v>63</v>
      </c>
      <c r="O229" s="6" t="s">
        <v>198</v>
      </c>
      <c r="P229" s="6"/>
      <c r="Q229" s="6" t="str">
        <f>VLOOKUP(G229,seznampsc!A:B,2,FALSE)</f>
        <v>Břeclav</v>
      </c>
      <c r="R229" s="6" t="str">
        <f>VLOOKUP(G229,seznampsc!A:C,3,FALSE)</f>
        <v>Jihomoravský kraj</v>
      </c>
      <c r="S229" s="6">
        <v>48.745634000000003</v>
      </c>
      <c r="T229" s="6">
        <v>16.9236933</v>
      </c>
      <c r="U229" s="3">
        <v>5</v>
      </c>
      <c r="AD229" s="3">
        <v>700</v>
      </c>
      <c r="AE229" s="3">
        <v>700</v>
      </c>
      <c r="AF229" s="3">
        <v>700</v>
      </c>
      <c r="AJ229" s="3">
        <v>107</v>
      </c>
      <c r="AK229" s="3">
        <v>107</v>
      </c>
      <c r="AP229" s="3">
        <v>3</v>
      </c>
      <c r="AQ229" s="3">
        <v>10</v>
      </c>
      <c r="AS229" s="3" t="s">
        <v>199</v>
      </c>
      <c r="AU229" s="6"/>
      <c r="AV229" s="3">
        <v>200000</v>
      </c>
    </row>
    <row r="230" spans="1:48" ht="24" customHeight="1" x14ac:dyDescent="0.3">
      <c r="A230" s="6" t="s">
        <v>53</v>
      </c>
      <c r="B230" s="6" t="s">
        <v>65</v>
      </c>
      <c r="C230" s="6" t="s">
        <v>1505</v>
      </c>
      <c r="D230" s="6" t="s">
        <v>1506</v>
      </c>
      <c r="E230" s="6" t="s">
        <v>1507</v>
      </c>
      <c r="F230" s="6" t="s">
        <v>1508</v>
      </c>
      <c r="G230" s="6">
        <v>39121</v>
      </c>
      <c r="H230" s="6" t="s">
        <v>1509</v>
      </c>
      <c r="I230" s="6" t="s">
        <v>1507</v>
      </c>
      <c r="J230" s="6" t="s">
        <v>1510</v>
      </c>
      <c r="K230" s="6">
        <v>777553764</v>
      </c>
      <c r="L230" s="8" t="s">
        <v>73</v>
      </c>
      <c r="M230" s="6" t="s">
        <v>62</v>
      </c>
      <c r="N230" s="6" t="s">
        <v>63</v>
      </c>
      <c r="O230" s="8" t="s">
        <v>198</v>
      </c>
      <c r="P230" s="6"/>
      <c r="Q230" s="6" t="str">
        <f>VLOOKUP(G230,seznampsc!A:B,2,FALSE)</f>
        <v>Tábor</v>
      </c>
      <c r="R230" s="6" t="str">
        <f>VLOOKUP(G230,seznampsc!A:C,3,FALSE)</f>
        <v>Jihočeský kraj</v>
      </c>
      <c r="S230" s="6">
        <v>49.3764635</v>
      </c>
      <c r="T230" s="6">
        <v>14.766225800000001</v>
      </c>
      <c r="U230" s="6"/>
      <c r="V230" s="6"/>
      <c r="W230" s="6"/>
      <c r="X230" s="6"/>
      <c r="Y230" s="6"/>
      <c r="Z230" s="6"/>
      <c r="AA230" s="6"/>
      <c r="AB230" s="6"/>
      <c r="AC230" s="6"/>
      <c r="AD230" s="6">
        <v>680</v>
      </c>
      <c r="AE230" s="6">
        <v>720</v>
      </c>
      <c r="AF230" s="6">
        <v>720</v>
      </c>
      <c r="AG230" s="6"/>
      <c r="AH230" s="6"/>
      <c r="AI230" s="6"/>
      <c r="AJ230" s="6">
        <v>107</v>
      </c>
      <c r="AK230" s="6">
        <v>107</v>
      </c>
      <c r="AL230" s="6"/>
      <c r="AM230" s="6"/>
      <c r="AN230" s="6"/>
      <c r="AO230" s="6"/>
      <c r="AP230" s="6"/>
      <c r="AQ230" s="6">
        <v>5</v>
      </c>
      <c r="AR230" s="6"/>
      <c r="AS230" s="6"/>
      <c r="AT230" s="6"/>
      <c r="AV230" s="3">
        <v>100000</v>
      </c>
    </row>
    <row r="231" spans="1:48" ht="24" customHeight="1" x14ac:dyDescent="0.3">
      <c r="A231" s="1"/>
      <c r="B231" s="1" t="s">
        <v>65</v>
      </c>
      <c r="C231" s="1" t="s">
        <v>1511</v>
      </c>
      <c r="D231" s="1">
        <v>4509668</v>
      </c>
      <c r="E231" s="1" t="s">
        <v>1512</v>
      </c>
      <c r="F231" s="1" t="s">
        <v>1513</v>
      </c>
      <c r="G231" s="1">
        <v>50003</v>
      </c>
      <c r="H231" s="1" t="s">
        <v>330</v>
      </c>
      <c r="I231" s="1" t="s">
        <v>1514</v>
      </c>
      <c r="J231" s="1" t="s">
        <v>1515</v>
      </c>
      <c r="K231" s="1">
        <v>606928323</v>
      </c>
      <c r="L231" s="1" t="s">
        <v>73</v>
      </c>
      <c r="M231" s="1" t="s">
        <v>62</v>
      </c>
      <c r="N231" s="1" t="s">
        <v>63</v>
      </c>
      <c r="O231" s="1" t="s">
        <v>787</v>
      </c>
      <c r="P231" s="1"/>
      <c r="Q231" s="6" t="str">
        <f>VLOOKUP(G231,seznampsc!A:B,2,FALSE)</f>
        <v>Hradec Králové</v>
      </c>
      <c r="R231" s="6" t="str">
        <f>VLOOKUP(G231,seznampsc!A:C,3,FALSE)</f>
        <v>Královéhradecký kraj</v>
      </c>
      <c r="S231" s="1">
        <v>50.228241099999998</v>
      </c>
      <c r="T231" s="1">
        <v>15.853471799999999</v>
      </c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 t="s">
        <v>1516</v>
      </c>
      <c r="AV231" s="1">
        <v>200000</v>
      </c>
    </row>
    <row r="232" spans="1:48" ht="24" customHeight="1" x14ac:dyDescent="0.3">
      <c r="A232" s="6" t="s">
        <v>53</v>
      </c>
      <c r="B232" s="6" t="s">
        <v>65</v>
      </c>
      <c r="C232" s="6" t="s">
        <v>1517</v>
      </c>
      <c r="D232" s="9">
        <v>29227895</v>
      </c>
      <c r="E232" s="6" t="s">
        <v>1518</v>
      </c>
      <c r="F232" s="6" t="s">
        <v>1519</v>
      </c>
      <c r="G232" s="6">
        <v>59301</v>
      </c>
      <c r="H232" s="6" t="s">
        <v>174</v>
      </c>
      <c r="I232" s="6" t="s">
        <v>1520</v>
      </c>
      <c r="J232" s="6" t="s">
        <v>1521</v>
      </c>
      <c r="K232" s="8">
        <v>566551014</v>
      </c>
      <c r="L232" s="6" t="s">
        <v>197</v>
      </c>
      <c r="M232" s="6" t="s">
        <v>62</v>
      </c>
      <c r="N232" s="6" t="s">
        <v>63</v>
      </c>
      <c r="O232" s="6" t="s">
        <v>1522</v>
      </c>
      <c r="P232" s="6"/>
      <c r="Q232" s="6" t="str">
        <f>VLOOKUP(G232,seznampsc!A:B,2,FALSE)</f>
        <v>Blansko</v>
      </c>
      <c r="R232" s="6" t="str">
        <f>VLOOKUP(G232,seznampsc!A:C,3,FALSE)</f>
        <v>Jihomoravský kraj</v>
      </c>
      <c r="S232" s="6">
        <v>49.513403599999997</v>
      </c>
      <c r="T232" s="6">
        <v>16.274179</v>
      </c>
      <c r="U232" s="6"/>
      <c r="V232" s="6"/>
      <c r="W232" s="6"/>
      <c r="X232" s="6"/>
      <c r="Y232" s="6"/>
      <c r="Z232" s="6"/>
      <c r="AA232" s="6"/>
      <c r="AB232" s="6"/>
      <c r="AC232" s="6"/>
      <c r="AD232" s="6">
        <v>550</v>
      </c>
      <c r="AE232" s="6">
        <v>600</v>
      </c>
      <c r="AF232" s="6">
        <v>650</v>
      </c>
      <c r="AG232" s="6"/>
      <c r="AH232" s="6"/>
      <c r="AI232" s="6"/>
      <c r="AJ232" s="6">
        <v>107</v>
      </c>
      <c r="AK232" s="6">
        <v>116</v>
      </c>
      <c r="AL232" s="6"/>
      <c r="AM232" s="6"/>
      <c r="AN232" s="6"/>
      <c r="AO232" s="6"/>
      <c r="AP232" s="6">
        <v>2.5</v>
      </c>
      <c r="AQ232" s="6">
        <v>10</v>
      </c>
      <c r="AR232" s="6"/>
      <c r="AS232" s="6" t="s">
        <v>199</v>
      </c>
      <c r="AT232" s="6"/>
      <c r="AV232" s="10">
        <v>200000</v>
      </c>
    </row>
    <row r="233" spans="1:48" ht="24" customHeight="1" x14ac:dyDescent="0.3">
      <c r="A233" s="6" t="s">
        <v>53</v>
      </c>
      <c r="B233" s="6" t="s">
        <v>65</v>
      </c>
      <c r="C233" s="6" t="s">
        <v>1523</v>
      </c>
      <c r="D233" s="9">
        <v>28737008</v>
      </c>
      <c r="E233" s="6" t="s">
        <v>1524</v>
      </c>
      <c r="F233" s="6" t="s">
        <v>1525</v>
      </c>
      <c r="G233" s="6">
        <v>46334</v>
      </c>
      <c r="H233" s="6" t="s">
        <v>1526</v>
      </c>
      <c r="I233" s="6" t="s">
        <v>1527</v>
      </c>
      <c r="J233" s="6" t="s">
        <v>1528</v>
      </c>
      <c r="K233" s="8">
        <v>777740076</v>
      </c>
      <c r="L233" s="6" t="s">
        <v>197</v>
      </c>
      <c r="M233" s="6" t="s">
        <v>62</v>
      </c>
      <c r="N233" s="6" t="s">
        <v>63</v>
      </c>
      <c r="O233" s="8" t="s">
        <v>804</v>
      </c>
      <c r="P233" s="6"/>
      <c r="Q233" s="6" t="str">
        <f>VLOOKUP(G233,seznampsc!A:B,2,FALSE)</f>
        <v>Liberec</v>
      </c>
      <c r="R233" s="6" t="str">
        <f>VLOOKUP(G233,seznampsc!A:C,3,FALSE)</f>
        <v>Liberecký kraj</v>
      </c>
      <c r="S233" s="6">
        <v>50.834180000000003</v>
      </c>
      <c r="T233" s="6">
        <v>14.86656</v>
      </c>
      <c r="U233" s="6"/>
      <c r="V233" s="6"/>
      <c r="W233" s="6"/>
      <c r="X233" s="6"/>
      <c r="Y233" s="6"/>
      <c r="Z233" s="6"/>
      <c r="AA233" s="6"/>
      <c r="AB233" s="6"/>
      <c r="AC233" s="6"/>
      <c r="AD233" s="6">
        <v>670</v>
      </c>
      <c r="AE233" s="6">
        <v>670</v>
      </c>
      <c r="AF233" s="6">
        <v>670</v>
      </c>
      <c r="AG233" s="6"/>
      <c r="AH233" s="6"/>
      <c r="AI233" s="6"/>
      <c r="AJ233" s="6">
        <v>107</v>
      </c>
      <c r="AK233" s="6">
        <v>116</v>
      </c>
      <c r="AL233" s="6"/>
      <c r="AM233" s="6"/>
      <c r="AN233" s="6"/>
      <c r="AO233" s="6"/>
      <c r="AP233" s="6"/>
      <c r="AQ233" s="6">
        <v>10</v>
      </c>
      <c r="AR233" s="6"/>
      <c r="AS233" s="6"/>
      <c r="AT233" s="6"/>
      <c r="AV233" s="10">
        <v>200000</v>
      </c>
    </row>
    <row r="234" spans="1:48" ht="24" customHeight="1" x14ac:dyDescent="0.3">
      <c r="A234" s="6" t="s">
        <v>53</v>
      </c>
      <c r="B234" s="6" t="s">
        <v>65</v>
      </c>
      <c r="C234" s="6" t="s">
        <v>1529</v>
      </c>
      <c r="D234" s="6" t="s">
        <v>1530</v>
      </c>
      <c r="E234" s="6" t="s">
        <v>1531</v>
      </c>
      <c r="F234" s="6" t="s">
        <v>1532</v>
      </c>
      <c r="G234" s="6">
        <v>66482</v>
      </c>
      <c r="H234" s="6" t="s">
        <v>1533</v>
      </c>
      <c r="I234" s="6" t="s">
        <v>1534</v>
      </c>
      <c r="J234" s="7" t="s">
        <v>1535</v>
      </c>
      <c r="K234" s="8">
        <v>602703946</v>
      </c>
      <c r="L234" s="17" t="s">
        <v>73</v>
      </c>
      <c r="M234" s="6" t="s">
        <v>62</v>
      </c>
      <c r="N234" s="6" t="s">
        <v>63</v>
      </c>
      <c r="O234" s="8" t="s">
        <v>64</v>
      </c>
      <c r="P234" s="6"/>
      <c r="Q234" s="6" t="str">
        <f>VLOOKUP(G234,seznampsc!A:B,2,FALSE)</f>
        <v>Brno-venkov</v>
      </c>
      <c r="R234" s="6" t="str">
        <f>VLOOKUP(G234,seznampsc!A:C,3,FALSE)</f>
        <v>Jihomoravský kraj</v>
      </c>
      <c r="S234" s="6">
        <v>49.214439900000002</v>
      </c>
      <c r="T234" s="6">
        <v>16.403790000000001</v>
      </c>
      <c r="U234" s="6"/>
      <c r="V234" s="6"/>
      <c r="W234" s="6"/>
      <c r="X234" s="6"/>
      <c r="Y234" s="6"/>
      <c r="Z234" s="6"/>
      <c r="AA234" s="6"/>
      <c r="AB234" s="6"/>
      <c r="AC234" s="6"/>
      <c r="AD234" s="6">
        <v>570</v>
      </c>
      <c r="AE234" s="6">
        <v>570</v>
      </c>
      <c r="AF234" s="6">
        <v>620</v>
      </c>
      <c r="AG234" s="6"/>
      <c r="AH234" s="6"/>
      <c r="AI234" s="6"/>
      <c r="AJ234" s="6">
        <v>107</v>
      </c>
      <c r="AK234" s="6">
        <v>107</v>
      </c>
      <c r="AL234" s="6"/>
      <c r="AM234" s="6"/>
      <c r="AN234" s="6"/>
      <c r="AO234" s="6"/>
      <c r="AP234" s="6"/>
      <c r="AQ234" s="6">
        <v>5</v>
      </c>
      <c r="AR234" s="6"/>
      <c r="AS234" s="6"/>
      <c r="AT234" s="6"/>
      <c r="AU234" s="3" t="s">
        <v>1536</v>
      </c>
      <c r="AV234" s="3">
        <v>100000</v>
      </c>
    </row>
    <row r="235" spans="1:48" ht="24" customHeight="1" x14ac:dyDescent="0.3">
      <c r="A235" s="6" t="s">
        <v>53</v>
      </c>
      <c r="B235" s="6" t="s">
        <v>65</v>
      </c>
      <c r="C235" s="6" t="s">
        <v>1537</v>
      </c>
      <c r="D235" s="6">
        <v>26717794</v>
      </c>
      <c r="E235" s="6" t="s">
        <v>1538</v>
      </c>
      <c r="F235" s="6" t="s">
        <v>1539</v>
      </c>
      <c r="G235" s="6">
        <v>14800</v>
      </c>
      <c r="H235" s="6" t="s">
        <v>299</v>
      </c>
      <c r="I235" s="6" t="s">
        <v>1540</v>
      </c>
      <c r="J235" s="7" t="s">
        <v>1541</v>
      </c>
      <c r="K235" s="8" t="s">
        <v>1542</v>
      </c>
      <c r="L235" s="17" t="s">
        <v>73</v>
      </c>
      <c r="M235" s="6" t="s">
        <v>62</v>
      </c>
      <c r="N235" s="6" t="s">
        <v>63</v>
      </c>
      <c r="O235" s="8" t="s">
        <v>64</v>
      </c>
      <c r="P235" s="6"/>
      <c r="Q235" s="6" t="str">
        <f>VLOOKUP(G235,seznampsc!A:B,2,FALSE)</f>
        <v>Hlavní město Praha</v>
      </c>
      <c r="R235" s="6" t="str">
        <f>VLOOKUP(G235,seznampsc!A:C,3,FALSE)</f>
        <v>Hlavní město Praha</v>
      </c>
      <c r="S235" s="6">
        <v>50.012520000000002</v>
      </c>
      <c r="T235" s="6">
        <v>14.47044</v>
      </c>
      <c r="U235" s="6"/>
      <c r="V235" s="6"/>
      <c r="W235" s="6"/>
      <c r="X235" s="6"/>
      <c r="Y235" s="6"/>
      <c r="Z235" s="6"/>
      <c r="AA235" s="6"/>
      <c r="AB235" s="6"/>
      <c r="AC235" s="6"/>
      <c r="AD235" s="6">
        <v>730</v>
      </c>
      <c r="AE235" s="6">
        <v>730</v>
      </c>
      <c r="AF235" s="6">
        <v>770</v>
      </c>
      <c r="AG235" s="6"/>
      <c r="AH235" s="6"/>
      <c r="AI235" s="6"/>
      <c r="AJ235" s="6">
        <v>100</v>
      </c>
      <c r="AK235" s="6">
        <v>100</v>
      </c>
      <c r="AL235" s="6"/>
      <c r="AM235" s="6" t="s">
        <v>1543</v>
      </c>
      <c r="AN235" s="6"/>
      <c r="AO235" s="6"/>
      <c r="AP235" s="6">
        <v>2</v>
      </c>
      <c r="AQ235" s="6">
        <v>9</v>
      </c>
      <c r="AR235" s="6"/>
      <c r="AS235" s="6"/>
      <c r="AT235" s="6"/>
    </row>
    <row r="236" spans="1:48" ht="24" customHeight="1" x14ac:dyDescent="0.3">
      <c r="A236" s="6" t="s">
        <v>53</v>
      </c>
      <c r="B236" s="6" t="s">
        <v>65</v>
      </c>
      <c r="C236" s="6" t="s">
        <v>1544</v>
      </c>
      <c r="D236" s="6">
        <v>24845094</v>
      </c>
      <c r="E236" s="6" t="s">
        <v>1545</v>
      </c>
      <c r="F236" s="6" t="s">
        <v>1546</v>
      </c>
      <c r="G236" s="6">
        <v>46344</v>
      </c>
      <c r="H236" s="6" t="s">
        <v>1199</v>
      </c>
      <c r="I236" s="6" t="s">
        <v>1547</v>
      </c>
      <c r="J236" s="6" t="s">
        <v>1201</v>
      </c>
      <c r="K236" s="6">
        <v>723857850</v>
      </c>
      <c r="L236" s="6" t="s">
        <v>197</v>
      </c>
      <c r="M236" s="6" t="s">
        <v>62</v>
      </c>
      <c r="N236" s="6" t="s">
        <v>63</v>
      </c>
      <c r="O236" s="8" t="s">
        <v>198</v>
      </c>
      <c r="P236" s="6"/>
      <c r="Q236" s="6" t="str">
        <f>VLOOKUP(G236,seznampsc!A:B,2,FALSE)</f>
        <v>Liberec</v>
      </c>
      <c r="R236" s="6" t="str">
        <f>VLOOKUP(G236,seznampsc!A:C,3,FALSE)</f>
        <v>Liberecký kraj</v>
      </c>
      <c r="S236" s="6">
        <v>50.616998000000002</v>
      </c>
      <c r="T236" s="6">
        <v>15.1115069</v>
      </c>
      <c r="U236" s="6"/>
      <c r="V236" s="6"/>
      <c r="W236" s="6"/>
      <c r="X236" s="6"/>
      <c r="Y236" s="6"/>
      <c r="Z236" s="6"/>
      <c r="AA236" s="6"/>
      <c r="AB236" s="6"/>
      <c r="AC236" s="6"/>
      <c r="AD236" s="6">
        <v>720</v>
      </c>
      <c r="AE236" s="6">
        <v>720</v>
      </c>
      <c r="AF236" s="6">
        <v>720</v>
      </c>
      <c r="AG236" s="6"/>
      <c r="AH236" s="6"/>
      <c r="AI236" s="6"/>
      <c r="AJ236" s="6">
        <v>110</v>
      </c>
      <c r="AK236" s="6">
        <v>100</v>
      </c>
      <c r="AL236" s="6"/>
      <c r="AM236" s="6"/>
      <c r="AN236" s="6"/>
      <c r="AO236" s="6"/>
      <c r="AP236" s="6"/>
      <c r="AQ236" s="6">
        <v>10</v>
      </c>
      <c r="AR236" s="6"/>
      <c r="AS236" s="6"/>
      <c r="AT236" s="6"/>
      <c r="AU236" s="6" t="s">
        <v>1548</v>
      </c>
      <c r="AV236" s="6">
        <v>200000</v>
      </c>
    </row>
    <row r="237" spans="1:48" ht="24" customHeight="1" x14ac:dyDescent="0.3">
      <c r="A237" s="1"/>
      <c r="B237" s="1" t="s">
        <v>65</v>
      </c>
      <c r="C237" s="1" t="s">
        <v>1549</v>
      </c>
      <c r="D237" s="1" t="s">
        <v>1550</v>
      </c>
      <c r="E237" s="1" t="s">
        <v>1551</v>
      </c>
      <c r="F237" s="1" t="s">
        <v>1552</v>
      </c>
      <c r="G237" s="1">
        <v>19900</v>
      </c>
      <c r="H237" s="1" t="s">
        <v>1553</v>
      </c>
      <c r="I237" s="1" t="s">
        <v>1554</v>
      </c>
      <c r="J237" s="1" t="s">
        <v>1555</v>
      </c>
      <c r="K237" s="1" t="s">
        <v>1556</v>
      </c>
      <c r="L237" s="1" t="s">
        <v>73</v>
      </c>
      <c r="M237" s="1" t="s">
        <v>62</v>
      </c>
      <c r="N237" s="1" t="s">
        <v>63</v>
      </c>
      <c r="O237" s="1" t="s">
        <v>64</v>
      </c>
      <c r="P237" s="1"/>
      <c r="Q237" s="6" t="str">
        <f>VLOOKUP(G237,seznampsc!A:B,2,FALSE)</f>
        <v>Hlavní město Praha</v>
      </c>
      <c r="R237" s="6" t="str">
        <f>VLOOKUP(G237,seznampsc!A:C,3,FALSE)</f>
        <v>Hlavní město Praha</v>
      </c>
      <c r="S237" s="1">
        <v>50.135420000000003</v>
      </c>
      <c r="T237" s="1">
        <v>14.540430000000001</v>
      </c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 t="s">
        <v>1557</v>
      </c>
    </row>
    <row r="238" spans="1:48" ht="24" customHeight="1" x14ac:dyDescent="0.3">
      <c r="A238" s="6"/>
      <c r="B238" s="6" t="s">
        <v>65</v>
      </c>
      <c r="C238" s="6" t="s">
        <v>1558</v>
      </c>
      <c r="D238" s="9">
        <v>9578498</v>
      </c>
      <c r="E238" s="6" t="s">
        <v>1559</v>
      </c>
      <c r="F238" s="6" t="s">
        <v>1560</v>
      </c>
      <c r="G238" s="6">
        <v>41156</v>
      </c>
      <c r="H238" s="6" t="s">
        <v>1561</v>
      </c>
      <c r="I238" s="6" t="s">
        <v>1562</v>
      </c>
      <c r="J238" s="6" t="s">
        <v>1563</v>
      </c>
      <c r="K238" s="6" t="s">
        <v>1564</v>
      </c>
      <c r="L238" s="6" t="s">
        <v>197</v>
      </c>
      <c r="M238" s="6" t="s">
        <v>62</v>
      </c>
      <c r="N238" s="6" t="s">
        <v>63</v>
      </c>
      <c r="O238" s="8" t="s">
        <v>804</v>
      </c>
      <c r="P238" s="6"/>
      <c r="Q238" s="6" t="str">
        <f>VLOOKUP(G238,seznampsc!A:B,2,FALSE)</f>
        <v>Litoměřice</v>
      </c>
      <c r="R238" s="6" t="str">
        <f>VLOOKUP(G238,seznampsc!A:C,3,FALSE)</f>
        <v>Ústecký kraj</v>
      </c>
      <c r="S238" s="6">
        <v>50.50264</v>
      </c>
      <c r="T238" s="6">
        <v>14.145289999999999</v>
      </c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V238" s="10">
        <v>200000</v>
      </c>
    </row>
    <row r="239" spans="1:48" ht="24" customHeight="1" x14ac:dyDescent="0.3">
      <c r="A239" s="6"/>
      <c r="B239" s="6" t="s">
        <v>65</v>
      </c>
      <c r="C239" s="6" t="s">
        <v>1558</v>
      </c>
      <c r="D239" s="6" t="s">
        <v>1565</v>
      </c>
      <c r="E239" s="6" t="s">
        <v>1559</v>
      </c>
      <c r="F239" s="6" t="s">
        <v>1560</v>
      </c>
      <c r="G239" s="6">
        <v>41156</v>
      </c>
      <c r="H239" s="6" t="s">
        <v>1561</v>
      </c>
      <c r="I239" s="6" t="s">
        <v>1566</v>
      </c>
      <c r="J239" s="7" t="s">
        <v>1567</v>
      </c>
      <c r="K239" s="8">
        <v>702220844</v>
      </c>
      <c r="L239" s="6" t="s">
        <v>586</v>
      </c>
      <c r="M239" s="6" t="s">
        <v>1568</v>
      </c>
      <c r="N239" s="6" t="s">
        <v>63</v>
      </c>
      <c r="O239" s="8" t="s">
        <v>804</v>
      </c>
      <c r="P239" s="6"/>
      <c r="Q239" s="6" t="str">
        <f>VLOOKUP(G239,seznampsc!A:B,2,FALSE)</f>
        <v>Litoměřice</v>
      </c>
      <c r="R239" s="6" t="str">
        <f>VLOOKUP(G239,seznampsc!A:C,3,FALSE)</f>
        <v>Ústecký kraj</v>
      </c>
      <c r="S239" s="6">
        <v>50.50264</v>
      </c>
      <c r="T239" s="6">
        <v>14.145289999999999</v>
      </c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V239" s="10">
        <v>200000</v>
      </c>
    </row>
    <row r="240" spans="1:48" ht="24" customHeight="1" x14ac:dyDescent="0.3">
      <c r="A240" s="3" t="s">
        <v>53</v>
      </c>
      <c r="B240" s="3" t="s">
        <v>54</v>
      </c>
      <c r="C240" s="3" t="s">
        <v>55</v>
      </c>
      <c r="D240" s="3" t="s">
        <v>1209</v>
      </c>
      <c r="E240" s="3" t="s">
        <v>1275</v>
      </c>
      <c r="F240" s="3" t="s">
        <v>1569</v>
      </c>
      <c r="G240" s="3">
        <v>27711</v>
      </c>
      <c r="H240" s="3" t="s">
        <v>1570</v>
      </c>
      <c r="I240" s="3" t="s">
        <v>1277</v>
      </c>
      <c r="J240" s="3" t="s">
        <v>1214</v>
      </c>
      <c r="K240" s="3">
        <v>605246137</v>
      </c>
      <c r="L240" s="3" t="s">
        <v>61</v>
      </c>
      <c r="M240" s="6" t="s">
        <v>62</v>
      </c>
      <c r="N240" s="6" t="s">
        <v>63</v>
      </c>
      <c r="O240" s="3" t="s">
        <v>64</v>
      </c>
      <c r="Q240" s="6" t="str">
        <f>VLOOKUP(G240,seznampsc!A:B,2,FALSE)</f>
        <v>Mělník</v>
      </c>
      <c r="R240" s="6" t="str">
        <f>VLOOKUP(G240,seznampsc!A:C,3,FALSE)</f>
        <v>Středočeský kraj</v>
      </c>
      <c r="S240" s="6">
        <v>50.253920000000001</v>
      </c>
      <c r="T240" s="6">
        <v>14.508430000000001</v>
      </c>
      <c r="U240" s="6"/>
      <c r="V240" s="6"/>
      <c r="W240" s="6"/>
      <c r="X240" s="6"/>
      <c r="Y240" s="6"/>
      <c r="Z240" s="6"/>
      <c r="AA240" s="6"/>
      <c r="AB240" s="6"/>
      <c r="AC240" s="6"/>
      <c r="AD240" s="6">
        <v>680</v>
      </c>
      <c r="AE240" s="6">
        <v>680</v>
      </c>
      <c r="AF240" s="6">
        <v>680</v>
      </c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>
        <v>10</v>
      </c>
      <c r="AR240" s="6"/>
      <c r="AS240" s="6"/>
      <c r="AT240" s="6"/>
      <c r="AV240" s="3">
        <v>100000</v>
      </c>
    </row>
    <row r="241" spans="1:48" ht="24" customHeight="1" x14ac:dyDescent="0.3">
      <c r="A241" s="6"/>
      <c r="B241" s="6" t="s">
        <v>65</v>
      </c>
      <c r="C241" s="6" t="s">
        <v>1571</v>
      </c>
      <c r="D241" s="6" t="s">
        <v>1572</v>
      </c>
      <c r="E241" s="6" t="s">
        <v>1573</v>
      </c>
      <c r="F241" s="6" t="s">
        <v>1574</v>
      </c>
      <c r="G241" s="6">
        <v>27601</v>
      </c>
      <c r="H241" s="6" t="s">
        <v>237</v>
      </c>
      <c r="I241" s="6" t="s">
        <v>1575</v>
      </c>
      <c r="J241" s="6" t="s">
        <v>1576</v>
      </c>
      <c r="K241" s="6">
        <v>775991085</v>
      </c>
      <c r="L241" s="6" t="s">
        <v>586</v>
      </c>
      <c r="M241" s="6" t="s">
        <v>134</v>
      </c>
      <c r="N241" s="6" t="s">
        <v>63</v>
      </c>
      <c r="O241" s="6" t="s">
        <v>1577</v>
      </c>
      <c r="P241" s="6"/>
      <c r="Q241" s="6" t="str">
        <f>VLOOKUP(G241,seznampsc!A:B,2,FALSE)</f>
        <v>Mělník</v>
      </c>
      <c r="R241" s="6" t="str">
        <f>VLOOKUP(G241,seznampsc!A:C,3,FALSE)</f>
        <v>Středočeský kraj</v>
      </c>
      <c r="S241" s="6">
        <v>50.370240000000003</v>
      </c>
      <c r="T241" s="6">
        <v>14.46452</v>
      </c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V241" s="10">
        <v>200000</v>
      </c>
    </row>
    <row r="242" spans="1:48" ht="24" customHeight="1" x14ac:dyDescent="0.3">
      <c r="A242" s="6"/>
      <c r="B242" s="6" t="s">
        <v>65</v>
      </c>
      <c r="C242" s="6" t="s">
        <v>160</v>
      </c>
      <c r="D242" s="6" t="s">
        <v>161</v>
      </c>
      <c r="E242" s="6" t="s">
        <v>162</v>
      </c>
      <c r="F242" s="6" t="s">
        <v>1578</v>
      </c>
      <c r="G242" s="6">
        <v>29306</v>
      </c>
      <c r="H242" s="6" t="s">
        <v>1579</v>
      </c>
      <c r="I242" s="6" t="s">
        <v>1580</v>
      </c>
      <c r="J242" s="6" t="s">
        <v>1581</v>
      </c>
      <c r="K242" s="6" t="s">
        <v>1582</v>
      </c>
      <c r="L242" s="6" t="s">
        <v>83</v>
      </c>
      <c r="M242" s="6" t="s">
        <v>84</v>
      </c>
      <c r="N242" s="6" t="s">
        <v>63</v>
      </c>
      <c r="O242" s="6" t="s">
        <v>1583</v>
      </c>
      <c r="P242" s="6"/>
      <c r="Q242" s="6" t="str">
        <f>VLOOKUP(G242,seznampsc!A:B,2,FALSE)</f>
        <v>Mladá Boleslav</v>
      </c>
      <c r="R242" s="6" t="str">
        <f>VLOOKUP(G242,seznampsc!A:C,3,FALSE)</f>
        <v>Středočeský kraj</v>
      </c>
      <c r="S242" s="6">
        <v>50.428457600000002</v>
      </c>
      <c r="T242" s="6">
        <v>14.9398236</v>
      </c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V242" s="10">
        <v>200000</v>
      </c>
    </row>
    <row r="243" spans="1:48" ht="24" customHeight="1" x14ac:dyDescent="0.3">
      <c r="A243" s="3" t="s">
        <v>53</v>
      </c>
      <c r="B243" s="3" t="s">
        <v>54</v>
      </c>
      <c r="C243" s="3" t="s">
        <v>55</v>
      </c>
      <c r="D243" s="3" t="s">
        <v>1584</v>
      </c>
      <c r="E243" s="3" t="s">
        <v>1585</v>
      </c>
      <c r="F243" s="3" t="s">
        <v>1586</v>
      </c>
      <c r="G243" s="3">
        <v>74201</v>
      </c>
      <c r="H243" s="3" t="s">
        <v>1587</v>
      </c>
      <c r="I243" s="3" t="s">
        <v>1585</v>
      </c>
      <c r="J243" s="3" t="s">
        <v>1187</v>
      </c>
      <c r="K243" s="3">
        <v>608338054</v>
      </c>
      <c r="L243" s="3" t="s">
        <v>61</v>
      </c>
      <c r="M243" s="6" t="s">
        <v>62</v>
      </c>
      <c r="N243" s="6" t="s">
        <v>63</v>
      </c>
      <c r="O243" s="3" t="s">
        <v>64</v>
      </c>
      <c r="Q243" s="6" t="str">
        <f>VLOOKUP(G243,seznampsc!A:B,2,FALSE)</f>
        <v>Nový Jičín</v>
      </c>
      <c r="R243" s="6" t="str">
        <f>VLOOKUP(G243,seznampsc!A:C,3,FALSE)</f>
        <v>Moravskoslezský kraj</v>
      </c>
      <c r="S243" s="6">
        <v>49.639699999999998</v>
      </c>
      <c r="T243" s="6">
        <v>17.936</v>
      </c>
      <c r="U243" s="6"/>
      <c r="V243" s="6"/>
      <c r="W243" s="6"/>
      <c r="X243" s="6"/>
      <c r="Y243" s="6"/>
      <c r="Z243" s="6"/>
      <c r="AA243" s="6"/>
      <c r="AB243" s="6"/>
      <c r="AC243" s="6"/>
      <c r="AD243" s="6">
        <v>680</v>
      </c>
      <c r="AE243" s="6">
        <v>680</v>
      </c>
      <c r="AF243" s="6">
        <v>680</v>
      </c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>
        <v>10</v>
      </c>
      <c r="AR243" s="6"/>
      <c r="AS243" s="6"/>
      <c r="AT243" s="6"/>
      <c r="AU243" s="3" t="s">
        <v>1588</v>
      </c>
      <c r="AV243" s="3">
        <v>100000</v>
      </c>
    </row>
    <row r="244" spans="1:48" ht="24" customHeight="1" x14ac:dyDescent="0.3">
      <c r="A244" s="6"/>
      <c r="B244" s="6" t="s">
        <v>65</v>
      </c>
      <c r="C244" s="6" t="s">
        <v>1589</v>
      </c>
      <c r="D244" s="6" t="s">
        <v>1590</v>
      </c>
      <c r="E244" s="6" t="s">
        <v>1591</v>
      </c>
      <c r="F244" s="6" t="s">
        <v>1592</v>
      </c>
      <c r="G244" s="6">
        <v>74101</v>
      </c>
      <c r="H244" s="6" t="s">
        <v>1593</v>
      </c>
      <c r="I244" s="6" t="s">
        <v>1594</v>
      </c>
      <c r="J244" s="6" t="s">
        <v>1595</v>
      </c>
      <c r="K244" s="6">
        <v>605206403</v>
      </c>
      <c r="L244" s="6" t="s">
        <v>586</v>
      </c>
      <c r="M244" s="6" t="s">
        <v>84</v>
      </c>
      <c r="N244" s="6" t="s">
        <v>63</v>
      </c>
      <c r="O244" s="6" t="s">
        <v>1066</v>
      </c>
      <c r="P244" s="6"/>
      <c r="Q244" s="6" t="str">
        <f>VLOOKUP(G244,seznampsc!A:B,2,FALSE)</f>
        <v>Nový Jičín</v>
      </c>
      <c r="R244" s="6" t="str">
        <f>VLOOKUP(G244,seznampsc!A:C,3,FALSE)</f>
        <v>Moravskoslezský kraj</v>
      </c>
      <c r="S244" s="6">
        <v>49.599719999999998</v>
      </c>
      <c r="T244" s="6">
        <v>18.0212</v>
      </c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V244" s="10">
        <v>200000</v>
      </c>
    </row>
    <row r="245" spans="1:48" ht="24" customHeight="1" x14ac:dyDescent="0.3">
      <c r="A245" s="6" t="s">
        <v>53</v>
      </c>
      <c r="B245" s="6" t="s">
        <v>65</v>
      </c>
      <c r="C245" s="6" t="s">
        <v>1596</v>
      </c>
      <c r="D245" s="6">
        <v>24200701</v>
      </c>
      <c r="E245" s="6" t="s">
        <v>1597</v>
      </c>
      <c r="F245" s="6" t="s">
        <v>1598</v>
      </c>
      <c r="G245" s="6">
        <v>28916</v>
      </c>
      <c r="H245" s="6" t="s">
        <v>1599</v>
      </c>
      <c r="I245" s="6" t="s">
        <v>1600</v>
      </c>
      <c r="J245" s="7" t="s">
        <v>1601</v>
      </c>
      <c r="K245" s="8">
        <v>601581907</v>
      </c>
      <c r="L245" s="17" t="s">
        <v>73</v>
      </c>
      <c r="M245" s="6" t="s">
        <v>62</v>
      </c>
      <c r="N245" s="6" t="s">
        <v>63</v>
      </c>
      <c r="O245" s="8" t="s">
        <v>828</v>
      </c>
      <c r="P245" s="6"/>
      <c r="Q245" s="6" t="str">
        <f>VLOOKUP(G245,seznampsc!A:B,2,FALSE)</f>
        <v>Nymburk</v>
      </c>
      <c r="R245" s="6" t="str">
        <f>VLOOKUP(G245,seznampsc!A:C,3,FALSE)</f>
        <v>Středočeský kraj</v>
      </c>
      <c r="S245" s="6">
        <v>50.145159999999997</v>
      </c>
      <c r="T245" s="6">
        <v>14.842320000000001</v>
      </c>
      <c r="U245" s="6"/>
      <c r="V245" s="6"/>
      <c r="W245" s="6"/>
      <c r="X245" s="6"/>
      <c r="Y245" s="6"/>
      <c r="Z245" s="6"/>
      <c r="AA245" s="6"/>
      <c r="AB245" s="6"/>
      <c r="AC245" s="6"/>
      <c r="AD245" s="6">
        <v>500</v>
      </c>
      <c r="AE245" s="6">
        <v>500</v>
      </c>
      <c r="AF245" s="6">
        <v>500</v>
      </c>
      <c r="AG245" s="6"/>
      <c r="AH245" s="6"/>
      <c r="AI245" s="6"/>
      <c r="AJ245" s="6">
        <v>107</v>
      </c>
      <c r="AK245" s="6">
        <v>116</v>
      </c>
      <c r="AL245" s="6"/>
      <c r="AM245" s="6"/>
      <c r="AN245" s="6">
        <v>5</v>
      </c>
      <c r="AO245" s="6"/>
      <c r="AP245" s="6"/>
      <c r="AQ245" s="6"/>
      <c r="AR245" s="6"/>
      <c r="AS245" s="6"/>
      <c r="AT245" s="6"/>
    </row>
    <row r="246" spans="1:48" ht="24" customHeight="1" x14ac:dyDescent="0.3">
      <c r="A246" s="6"/>
      <c r="B246" s="6" t="s">
        <v>65</v>
      </c>
      <c r="C246" s="6" t="s">
        <v>1602</v>
      </c>
      <c r="D246" s="6" t="s">
        <v>1603</v>
      </c>
      <c r="E246" s="6" t="s">
        <v>1604</v>
      </c>
      <c r="F246" s="6" t="s">
        <v>1605</v>
      </c>
      <c r="G246" s="6">
        <v>28924</v>
      </c>
      <c r="H246" s="6" t="s">
        <v>1606</v>
      </c>
      <c r="I246" s="6" t="s">
        <v>1607</v>
      </c>
      <c r="J246" s="6" t="s">
        <v>1608</v>
      </c>
      <c r="K246" s="6">
        <v>721771012</v>
      </c>
      <c r="L246" s="6" t="s">
        <v>586</v>
      </c>
      <c r="M246" s="6" t="s">
        <v>134</v>
      </c>
      <c r="N246" s="6" t="s">
        <v>63</v>
      </c>
      <c r="O246" s="6" t="s">
        <v>198</v>
      </c>
      <c r="P246" s="6"/>
      <c r="Q246" s="6" t="str">
        <f>VLOOKUP(G246,seznampsc!A:B,2,FALSE)</f>
        <v>Nymburk</v>
      </c>
      <c r="R246" s="6" t="str">
        <f>VLOOKUP(G246,seznampsc!A:C,3,FALSE)</f>
        <v>Středočeský kraj</v>
      </c>
      <c r="S246" s="6">
        <v>50.226199999999999</v>
      </c>
      <c r="T246" s="6">
        <v>14.877370000000001</v>
      </c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V246" s="10">
        <v>200000</v>
      </c>
    </row>
    <row r="247" spans="1:48" ht="24" customHeight="1" x14ac:dyDescent="0.3">
      <c r="A247" s="6"/>
      <c r="B247" s="6" t="s">
        <v>65</v>
      </c>
      <c r="C247" s="6" t="s">
        <v>1609</v>
      </c>
      <c r="D247" s="6" t="s">
        <v>1610</v>
      </c>
      <c r="E247" s="6" t="s">
        <v>1611</v>
      </c>
      <c r="F247" s="6" t="s">
        <v>1612</v>
      </c>
      <c r="G247" s="6">
        <v>28922</v>
      </c>
      <c r="H247" s="6" t="s">
        <v>1613</v>
      </c>
      <c r="I247" s="6" t="s">
        <v>1614</v>
      </c>
      <c r="J247" s="6" t="s">
        <v>1615</v>
      </c>
      <c r="K247" s="6">
        <v>325552961</v>
      </c>
      <c r="L247" s="6" t="s">
        <v>586</v>
      </c>
      <c r="M247" s="6" t="s">
        <v>84</v>
      </c>
      <c r="N247" s="6" t="s">
        <v>63</v>
      </c>
      <c r="O247" s="6" t="s">
        <v>198</v>
      </c>
      <c r="P247" s="6"/>
      <c r="Q247" s="6" t="str">
        <f>VLOOKUP(G247,seznampsc!A:B,2,FALSE)</f>
        <v>Nymburk</v>
      </c>
      <c r="R247" s="6" t="str">
        <f>VLOOKUP(G247,seznampsc!A:C,3,FALSE)</f>
        <v>Středočeský kraj</v>
      </c>
      <c r="S247" s="6">
        <v>50.212139999999998</v>
      </c>
      <c r="T247" s="6">
        <v>14.845179999999999</v>
      </c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V247" s="10">
        <v>200000</v>
      </c>
    </row>
    <row r="248" spans="1:48" ht="24" customHeight="1" x14ac:dyDescent="0.3">
      <c r="A248" s="6" t="s">
        <v>53</v>
      </c>
      <c r="B248" s="6" t="s">
        <v>65</v>
      </c>
      <c r="C248" s="6" t="s">
        <v>1616</v>
      </c>
      <c r="D248" s="9">
        <v>1783653</v>
      </c>
      <c r="E248" s="6" t="s">
        <v>1617</v>
      </c>
      <c r="F248" s="6" t="s">
        <v>1618</v>
      </c>
      <c r="G248" s="6">
        <v>28912</v>
      </c>
      <c r="H248" s="6" t="s">
        <v>1619</v>
      </c>
      <c r="I248" s="6" t="s">
        <v>1620</v>
      </c>
      <c r="J248" s="6" t="s">
        <v>1621</v>
      </c>
      <c r="K248" s="8">
        <v>603984719</v>
      </c>
      <c r="L248" s="6" t="s">
        <v>197</v>
      </c>
      <c r="M248" s="6" t="s">
        <v>62</v>
      </c>
      <c r="N248" s="6" t="s">
        <v>63</v>
      </c>
      <c r="O248" s="8" t="s">
        <v>1622</v>
      </c>
      <c r="P248" s="6"/>
      <c r="Q248" s="6" t="str">
        <f>VLOOKUP(G248,seznampsc!A:B,2,FALSE)</f>
        <v>Nymburk</v>
      </c>
      <c r="R248" s="6" t="str">
        <f>VLOOKUP(G248,seznampsc!A:C,3,FALSE)</f>
        <v>Středočeský kraj</v>
      </c>
      <c r="S248" s="6">
        <v>50.133009999999999</v>
      </c>
      <c r="T248" s="6">
        <v>14.97733</v>
      </c>
      <c r="U248" s="6"/>
      <c r="V248" s="6"/>
      <c r="W248" s="6"/>
      <c r="X248" s="6"/>
      <c r="Y248" s="6"/>
      <c r="Z248" s="6"/>
      <c r="AA248" s="6"/>
      <c r="AB248" s="6"/>
      <c r="AC248" s="6"/>
      <c r="AD248" s="6">
        <v>550</v>
      </c>
      <c r="AE248" s="6">
        <v>550</v>
      </c>
      <c r="AF248" s="6">
        <v>600</v>
      </c>
      <c r="AG248" s="6"/>
      <c r="AH248" s="6"/>
      <c r="AI248" s="6"/>
      <c r="AJ248" s="6">
        <v>107</v>
      </c>
      <c r="AK248" s="6">
        <v>116</v>
      </c>
      <c r="AL248" s="6"/>
      <c r="AM248" s="6"/>
      <c r="AN248" s="6"/>
      <c r="AO248" s="6"/>
      <c r="AP248" s="6"/>
      <c r="AQ248" s="6">
        <v>10</v>
      </c>
      <c r="AR248" s="6"/>
      <c r="AS248" s="6"/>
      <c r="AT248" s="6"/>
      <c r="AV248" s="10">
        <v>200000</v>
      </c>
    </row>
    <row r="249" spans="1:48" ht="24" customHeight="1" x14ac:dyDescent="0.3">
      <c r="A249" s="6"/>
      <c r="B249" s="6" t="s">
        <v>65</v>
      </c>
      <c r="C249" s="6" t="s">
        <v>1623</v>
      </c>
      <c r="D249" s="6" t="s">
        <v>1624</v>
      </c>
      <c r="E249" s="6" t="s">
        <v>1625</v>
      </c>
      <c r="F249" s="6" t="s">
        <v>1626</v>
      </c>
      <c r="G249" s="6">
        <v>29001</v>
      </c>
      <c r="H249" s="6" t="s">
        <v>1627</v>
      </c>
      <c r="I249" s="6" t="s">
        <v>1628</v>
      </c>
      <c r="J249" s="6" t="s">
        <v>1629</v>
      </c>
      <c r="K249" s="6">
        <v>725822069</v>
      </c>
      <c r="L249" s="6" t="s">
        <v>1630</v>
      </c>
      <c r="M249" s="6" t="s">
        <v>1631</v>
      </c>
      <c r="N249" s="6" t="s">
        <v>63</v>
      </c>
      <c r="O249" s="6" t="s">
        <v>198</v>
      </c>
      <c r="P249" s="6"/>
      <c r="Q249" s="6" t="str">
        <f>VLOOKUP(G249,seznampsc!A:B,2,FALSE)</f>
        <v>Nymburk</v>
      </c>
      <c r="R249" s="6" t="str">
        <f>VLOOKUP(G249,seznampsc!A:C,3,FALSE)</f>
        <v>Středočeský kraj</v>
      </c>
      <c r="S249" s="6">
        <v>50.156379999999999</v>
      </c>
      <c r="T249" s="6">
        <v>15.11262</v>
      </c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V249" s="10">
        <v>200000</v>
      </c>
    </row>
    <row r="250" spans="1:48" ht="24" customHeight="1" x14ac:dyDescent="0.3">
      <c r="B250" s="6" t="s">
        <v>65</v>
      </c>
      <c r="C250" s="6" t="s">
        <v>55</v>
      </c>
      <c r="D250" s="6">
        <v>9697543</v>
      </c>
      <c r="E250" s="6" t="s">
        <v>1632</v>
      </c>
      <c r="F250" s="6" t="s">
        <v>1633</v>
      </c>
      <c r="G250" s="6">
        <v>78342</v>
      </c>
      <c r="H250" s="6" t="s">
        <v>1634</v>
      </c>
      <c r="I250" s="6" t="s">
        <v>149</v>
      </c>
      <c r="J250" s="6" t="s">
        <v>1635</v>
      </c>
      <c r="K250" s="8">
        <v>608403000</v>
      </c>
      <c r="L250" s="6" t="s">
        <v>151</v>
      </c>
      <c r="M250" s="6" t="s">
        <v>152</v>
      </c>
      <c r="N250" s="3" t="s">
        <v>63</v>
      </c>
      <c r="P250" s="6"/>
      <c r="Q250" s="6" t="str">
        <f>VLOOKUP(G250,seznampsc!A:B,2,FALSE)</f>
        <v>Olomouc</v>
      </c>
      <c r="R250" s="6" t="str">
        <f>VLOOKUP(G250,seznampsc!A:C,3,FALSE)</f>
        <v>Olomoucký kraj</v>
      </c>
      <c r="AU250" s="6"/>
    </row>
    <row r="251" spans="1:48" ht="24" customHeight="1" x14ac:dyDescent="0.3">
      <c r="A251" s="3" t="s">
        <v>53</v>
      </c>
      <c r="B251" s="3" t="s">
        <v>54</v>
      </c>
      <c r="C251" s="3" t="s">
        <v>55</v>
      </c>
      <c r="D251" s="3">
        <v>69994005</v>
      </c>
      <c r="E251" s="3" t="s">
        <v>1632</v>
      </c>
      <c r="F251" s="3" t="s">
        <v>1633</v>
      </c>
      <c r="G251" s="3">
        <v>78342</v>
      </c>
      <c r="H251" s="3" t="s">
        <v>1634</v>
      </c>
      <c r="I251" s="3" t="s">
        <v>1636</v>
      </c>
      <c r="J251" s="3" t="s">
        <v>1637</v>
      </c>
      <c r="K251" s="3">
        <v>608403000</v>
      </c>
      <c r="L251" s="3" t="s">
        <v>61</v>
      </c>
      <c r="M251" s="6" t="s">
        <v>62</v>
      </c>
      <c r="N251" s="6" t="s">
        <v>63</v>
      </c>
      <c r="O251" s="3" t="s">
        <v>64</v>
      </c>
      <c r="Q251" s="6" t="str">
        <f>VLOOKUP(G251,seznampsc!A:B,2,FALSE)</f>
        <v>Olomouc</v>
      </c>
      <c r="R251" s="6" t="str">
        <f>VLOOKUP(G251,seznampsc!A:C,3,FALSE)</f>
        <v>Olomoucký kraj</v>
      </c>
      <c r="S251" s="6">
        <v>49.549255799999997</v>
      </c>
      <c r="T251" s="6">
        <v>17.111661699999999</v>
      </c>
      <c r="U251" s="6"/>
      <c r="V251" s="6"/>
      <c r="W251" s="6"/>
      <c r="X251" s="6"/>
      <c r="Y251" s="6"/>
      <c r="Z251" s="6"/>
      <c r="AA251" s="6"/>
      <c r="AB251" s="6"/>
      <c r="AC251" s="6"/>
      <c r="AD251" s="6">
        <v>680</v>
      </c>
      <c r="AE251" s="6">
        <v>680</v>
      </c>
      <c r="AF251" s="6">
        <v>680</v>
      </c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>
        <v>10</v>
      </c>
      <c r="AR251" s="6"/>
      <c r="AS251" s="6"/>
      <c r="AT251" s="6"/>
      <c r="AV251" s="3">
        <v>100000</v>
      </c>
    </row>
    <row r="252" spans="1:48" ht="24" customHeight="1" x14ac:dyDescent="0.3">
      <c r="A252" s="3" t="s">
        <v>53</v>
      </c>
      <c r="B252" s="3" t="s">
        <v>54</v>
      </c>
      <c r="C252" s="3" t="s">
        <v>55</v>
      </c>
      <c r="D252" s="3">
        <v>29459371</v>
      </c>
      <c r="E252" s="3" t="s">
        <v>1638</v>
      </c>
      <c r="F252" s="3" t="s">
        <v>1639</v>
      </c>
      <c r="G252" s="3">
        <v>77900</v>
      </c>
      <c r="H252" s="3" t="s">
        <v>265</v>
      </c>
      <c r="L252" s="3" t="s">
        <v>61</v>
      </c>
      <c r="M252" s="6" t="s">
        <v>62</v>
      </c>
      <c r="N252" s="6" t="s">
        <v>63</v>
      </c>
      <c r="Q252" s="6" t="str">
        <f>VLOOKUP(G252,seznampsc!A:B,2,FALSE)</f>
        <v>Olomouc</v>
      </c>
      <c r="R252" s="6" t="str">
        <f>VLOOKUP(G252,seznampsc!A:C,3,FALSE)</f>
        <v>Olomoucký kraj</v>
      </c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>
        <v>680</v>
      </c>
      <c r="AE252" s="6">
        <v>680</v>
      </c>
      <c r="AF252" s="6">
        <v>680</v>
      </c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>
        <v>10</v>
      </c>
      <c r="AR252" s="6"/>
      <c r="AS252" s="6"/>
      <c r="AT252" s="6"/>
      <c r="AV252" s="3">
        <v>100000</v>
      </c>
    </row>
    <row r="253" spans="1:48" ht="24" customHeight="1" x14ac:dyDescent="0.3">
      <c r="A253" s="1"/>
      <c r="B253" s="1" t="s">
        <v>65</v>
      </c>
      <c r="C253" s="1" t="s">
        <v>1640</v>
      </c>
      <c r="D253" s="1" t="s">
        <v>1641</v>
      </c>
      <c r="E253" s="1" t="s">
        <v>1642</v>
      </c>
      <c r="F253" s="1" t="s">
        <v>1643</v>
      </c>
      <c r="G253" s="1">
        <v>74770</v>
      </c>
      <c r="H253" s="1" t="s">
        <v>1644</v>
      </c>
      <c r="I253" s="1" t="s">
        <v>1645</v>
      </c>
      <c r="J253" s="1" t="s">
        <v>1646</v>
      </c>
      <c r="K253" s="1">
        <v>777044104.77404404</v>
      </c>
      <c r="L253" s="1" t="s">
        <v>73</v>
      </c>
      <c r="M253" s="1" t="s">
        <v>62</v>
      </c>
      <c r="N253" s="1" t="s">
        <v>63</v>
      </c>
      <c r="O253" s="1" t="s">
        <v>1647</v>
      </c>
      <c r="P253" s="1"/>
      <c r="Q253" s="6" t="str">
        <f>VLOOKUP(G253,seznampsc!A:B,2,FALSE)</f>
        <v>Opava</v>
      </c>
      <c r="R253" s="6" t="str">
        <f>VLOOKUP(G253,seznampsc!A:C,3,FALSE)</f>
        <v>Moravskoslezský kraj</v>
      </c>
      <c r="S253" s="1">
        <v>49.908398200000001</v>
      </c>
      <c r="T253" s="1">
        <v>17.968114100000001</v>
      </c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 t="s">
        <v>1648</v>
      </c>
      <c r="AV253" s="1"/>
    </row>
    <row r="254" spans="1:48" ht="24" customHeight="1" x14ac:dyDescent="0.3">
      <c r="A254" s="6"/>
      <c r="B254" s="6" t="s">
        <v>65</v>
      </c>
      <c r="C254" s="6" t="s">
        <v>1649</v>
      </c>
      <c r="D254" s="6" t="s">
        <v>1650</v>
      </c>
      <c r="E254" s="6" t="s">
        <v>1651</v>
      </c>
      <c r="F254" s="6" t="s">
        <v>1652</v>
      </c>
      <c r="G254" s="6">
        <v>74707</v>
      </c>
      <c r="H254" s="6" t="s">
        <v>1653</v>
      </c>
      <c r="I254" s="6" t="s">
        <v>1654</v>
      </c>
      <c r="J254" s="7" t="s">
        <v>1655</v>
      </c>
      <c r="K254" s="8">
        <v>553609989</v>
      </c>
      <c r="L254" s="6" t="s">
        <v>586</v>
      </c>
      <c r="M254" s="6" t="s">
        <v>1656</v>
      </c>
      <c r="N254" s="6" t="s">
        <v>63</v>
      </c>
      <c r="O254" s="8" t="s">
        <v>1657</v>
      </c>
      <c r="P254" s="6"/>
      <c r="Q254" s="6" t="str">
        <f>VLOOKUP(G254,seznampsc!A:B,2,FALSE)</f>
        <v>Opava</v>
      </c>
      <c r="R254" s="6" t="str">
        <f>VLOOKUP(G254,seznampsc!A:C,3,FALSE)</f>
        <v>Moravskoslezský kraj</v>
      </c>
      <c r="S254" s="6">
        <v>49.953310000000002</v>
      </c>
      <c r="T254" s="6">
        <v>17.8687</v>
      </c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V254" s="10">
        <v>200000</v>
      </c>
    </row>
    <row r="255" spans="1:48" ht="24" customHeight="1" x14ac:dyDescent="0.3">
      <c r="B255" s="6" t="s">
        <v>65</v>
      </c>
      <c r="C255" s="6" t="s">
        <v>1448</v>
      </c>
      <c r="D255" s="6" t="s">
        <v>1449</v>
      </c>
      <c r="E255" s="6" t="s">
        <v>1658</v>
      </c>
      <c r="F255" s="6" t="s">
        <v>1659</v>
      </c>
      <c r="G255" s="6">
        <v>71000</v>
      </c>
      <c r="H255" s="6" t="s">
        <v>1660</v>
      </c>
      <c r="I255" s="6" t="s">
        <v>149</v>
      </c>
      <c r="J255" s="7" t="s">
        <v>1661</v>
      </c>
      <c r="K255" s="8">
        <v>739201121</v>
      </c>
      <c r="L255" s="6" t="s">
        <v>151</v>
      </c>
      <c r="M255" s="6" t="s">
        <v>152</v>
      </c>
      <c r="N255" s="3" t="s">
        <v>63</v>
      </c>
      <c r="P255" s="6"/>
      <c r="Q255" s="6" t="str">
        <f>VLOOKUP(G255,seznampsc!A:B,2,FALSE)</f>
        <v>Ostrava-město</v>
      </c>
      <c r="R255" s="6" t="str">
        <f>VLOOKUP(G255,seznampsc!A:C,3,FALSE)</f>
        <v>Moravskoslezský kraj</v>
      </c>
      <c r="AU255" s="6"/>
    </row>
    <row r="256" spans="1:48" ht="24" customHeight="1" x14ac:dyDescent="0.3">
      <c r="A256" s="1"/>
      <c r="B256" s="1" t="s">
        <v>65</v>
      </c>
      <c r="C256" s="1" t="s">
        <v>1662</v>
      </c>
      <c r="D256" s="1">
        <v>28656156</v>
      </c>
      <c r="E256" s="1" t="s">
        <v>1663</v>
      </c>
      <c r="F256" s="1" t="s">
        <v>1664</v>
      </c>
      <c r="G256" s="1">
        <v>72000</v>
      </c>
      <c r="H256" s="1" t="s">
        <v>574</v>
      </c>
      <c r="I256" s="1" t="s">
        <v>1665</v>
      </c>
      <c r="J256" s="1" t="s">
        <v>1666</v>
      </c>
      <c r="K256" s="1">
        <v>604519747.77535105</v>
      </c>
      <c r="L256" s="1" t="s">
        <v>197</v>
      </c>
      <c r="M256" s="1" t="s">
        <v>62</v>
      </c>
      <c r="N256" s="1" t="s">
        <v>158</v>
      </c>
      <c r="O256" s="1" t="s">
        <v>198</v>
      </c>
      <c r="P256" s="1"/>
      <c r="Q256" s="6" t="str">
        <f>VLOOKUP(G256,seznampsc!A:B,2,FALSE)</f>
        <v>Ostrava-město</v>
      </c>
      <c r="R256" s="6" t="str">
        <f>VLOOKUP(G256,seznampsc!A:C,3,FALSE)</f>
        <v>Moravskoslezský kraj</v>
      </c>
      <c r="S256" s="1">
        <v>49.778519699999997</v>
      </c>
      <c r="T256" s="1">
        <v>18.2700654</v>
      </c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 t="s">
        <v>1667</v>
      </c>
      <c r="AV256" s="1">
        <v>200000</v>
      </c>
    </row>
    <row r="257" spans="1:48" ht="24" customHeight="1" x14ac:dyDescent="0.3">
      <c r="A257" s="6"/>
      <c r="B257" s="6" t="s">
        <v>65</v>
      </c>
      <c r="C257" s="6" t="s">
        <v>1649</v>
      </c>
      <c r="D257" s="6" t="s">
        <v>1650</v>
      </c>
      <c r="E257" s="6" t="s">
        <v>1651</v>
      </c>
      <c r="F257" s="6" t="s">
        <v>1668</v>
      </c>
      <c r="G257" s="6">
        <v>71000</v>
      </c>
      <c r="H257" s="6" t="s">
        <v>1660</v>
      </c>
      <c r="I257" s="6" t="s">
        <v>1669</v>
      </c>
      <c r="J257" s="7" t="s">
        <v>1655</v>
      </c>
      <c r="K257" s="8">
        <v>595627024</v>
      </c>
      <c r="L257" s="6" t="s">
        <v>586</v>
      </c>
      <c r="M257" s="6" t="s">
        <v>1670</v>
      </c>
      <c r="N257" s="6" t="s">
        <v>63</v>
      </c>
      <c r="O257" s="8" t="s">
        <v>1052</v>
      </c>
      <c r="P257" s="6"/>
      <c r="Q257" s="6" t="str">
        <f>VLOOKUP(G257,seznampsc!A:B,2,FALSE)</f>
        <v>Ostrava-město</v>
      </c>
      <c r="R257" s="6" t="str">
        <f>VLOOKUP(G257,seznampsc!A:C,3,FALSE)</f>
        <v>Moravskoslezský kraj</v>
      </c>
      <c r="S257" s="6">
        <v>49.843139999999998</v>
      </c>
      <c r="T257" s="6">
        <v>18.29777</v>
      </c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V257" s="10">
        <v>200000</v>
      </c>
    </row>
    <row r="258" spans="1:48" ht="24" customHeight="1" x14ac:dyDescent="0.3">
      <c r="A258" s="6" t="s">
        <v>53</v>
      </c>
      <c r="B258" s="6" t="s">
        <v>65</v>
      </c>
      <c r="C258" s="6" t="s">
        <v>1671</v>
      </c>
      <c r="D258" s="16">
        <v>73138649</v>
      </c>
      <c r="E258" s="6" t="s">
        <v>1672</v>
      </c>
      <c r="F258" s="6" t="s">
        <v>1673</v>
      </c>
      <c r="G258" s="6">
        <v>73934</v>
      </c>
      <c r="H258" s="6" t="s">
        <v>468</v>
      </c>
      <c r="I258" s="6" t="s">
        <v>1674</v>
      </c>
      <c r="J258" s="6" t="s">
        <v>1675</v>
      </c>
      <c r="K258" s="6">
        <v>7313864</v>
      </c>
      <c r="L258" s="6" t="s">
        <v>1676</v>
      </c>
      <c r="M258" s="6" t="s">
        <v>62</v>
      </c>
      <c r="N258" s="6" t="s">
        <v>63</v>
      </c>
      <c r="O258" s="6" t="s">
        <v>787</v>
      </c>
      <c r="P258" s="6"/>
      <c r="Q258" s="6" t="str">
        <f>VLOOKUP(G258,seznampsc!A:B,2,FALSE)</f>
        <v>Ostrava-město</v>
      </c>
      <c r="R258" s="6" t="str">
        <f>VLOOKUP(G258,seznampsc!A:C,3,FALSE)</f>
        <v>Moravskoslezský kraj</v>
      </c>
      <c r="U258" s="29">
        <v>0.05</v>
      </c>
      <c r="X258" s="3">
        <v>1500</v>
      </c>
      <c r="Y258" s="3">
        <v>800</v>
      </c>
      <c r="Z258" s="3">
        <v>1200</v>
      </c>
      <c r="AU258" s="6"/>
      <c r="AV258" s="3">
        <v>50000</v>
      </c>
    </row>
    <row r="259" spans="1:48" ht="24" customHeight="1" x14ac:dyDescent="0.3">
      <c r="A259" s="3" t="s">
        <v>53</v>
      </c>
      <c r="B259" s="3" t="s">
        <v>54</v>
      </c>
      <c r="C259" s="3" t="s">
        <v>55</v>
      </c>
      <c r="D259" s="3">
        <v>42262909</v>
      </c>
      <c r="E259" s="3" t="s">
        <v>1677</v>
      </c>
      <c r="F259" s="3" t="s">
        <v>1678</v>
      </c>
      <c r="G259" s="3">
        <v>53333</v>
      </c>
      <c r="H259" s="3" t="s">
        <v>1679</v>
      </c>
      <c r="I259" s="3" t="s">
        <v>1677</v>
      </c>
      <c r="J259" s="3" t="s">
        <v>1680</v>
      </c>
      <c r="K259" s="3" t="s">
        <v>1681</v>
      </c>
      <c r="L259" s="3" t="s">
        <v>61</v>
      </c>
      <c r="M259" s="6" t="s">
        <v>62</v>
      </c>
      <c r="N259" s="6" t="s">
        <v>63</v>
      </c>
      <c r="O259" s="3" t="s">
        <v>1682</v>
      </c>
      <c r="Q259" s="6" t="str">
        <f>VLOOKUP(G259,seznampsc!A:B,2,FALSE)</f>
        <v>Pardubice</v>
      </c>
      <c r="R259" s="6" t="str">
        <f>VLOOKUP(G259,seznampsc!A:C,3,FALSE)</f>
        <v>Pardubický kraj</v>
      </c>
      <c r="S259" s="6">
        <v>50.064570000000003</v>
      </c>
      <c r="T259" s="6">
        <v>15.74696</v>
      </c>
      <c r="U259" s="6"/>
      <c r="V259" s="6"/>
      <c r="W259" s="6"/>
      <c r="X259" s="6"/>
      <c r="Y259" s="6"/>
      <c r="Z259" s="6"/>
      <c r="AA259" s="6"/>
      <c r="AB259" s="6"/>
      <c r="AC259" s="6"/>
      <c r="AD259" s="6">
        <v>680</v>
      </c>
      <c r="AE259" s="6">
        <v>680</v>
      </c>
      <c r="AF259" s="6">
        <v>680</v>
      </c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>
        <v>10</v>
      </c>
      <c r="AR259" s="6"/>
      <c r="AS259" s="6"/>
      <c r="AT259" s="6"/>
      <c r="AV259" s="3">
        <v>100000</v>
      </c>
    </row>
    <row r="260" spans="1:48" ht="24" customHeight="1" x14ac:dyDescent="0.3">
      <c r="B260" s="6" t="s">
        <v>65</v>
      </c>
      <c r="C260" s="6" t="s">
        <v>1343</v>
      </c>
      <c r="D260" s="6">
        <v>25512021</v>
      </c>
      <c r="E260" s="6" t="s">
        <v>1345</v>
      </c>
      <c r="F260" s="6" t="s">
        <v>1683</v>
      </c>
      <c r="G260" s="6">
        <v>68601</v>
      </c>
      <c r="H260" s="6" t="s">
        <v>1684</v>
      </c>
      <c r="I260" s="6" t="s">
        <v>149</v>
      </c>
      <c r="J260" s="6" t="s">
        <v>1348</v>
      </c>
      <c r="K260" s="8">
        <v>777200497</v>
      </c>
      <c r="L260" s="6" t="s">
        <v>151</v>
      </c>
      <c r="M260" s="6" t="s">
        <v>1685</v>
      </c>
      <c r="N260" s="3" t="s">
        <v>63</v>
      </c>
      <c r="P260" s="6"/>
      <c r="Q260" s="6" t="str">
        <f>VLOOKUP(G260,seznampsc!A:B,2,FALSE)</f>
        <v>Uherské Hradiště</v>
      </c>
      <c r="R260" s="6" t="str">
        <f>VLOOKUP(G260,seznampsc!A:C,3,FALSE)</f>
        <v>Zlínský kraj</v>
      </c>
      <c r="AU260" s="6"/>
    </row>
    <row r="261" spans="1:48" ht="24" customHeight="1" x14ac:dyDescent="0.3">
      <c r="A261" s="6"/>
      <c r="B261" s="6" t="s">
        <v>65</v>
      </c>
      <c r="C261" s="6" t="s">
        <v>1343</v>
      </c>
      <c r="D261" s="9">
        <v>25512021</v>
      </c>
      <c r="E261" s="6" t="s">
        <v>1345</v>
      </c>
      <c r="F261" s="6" t="s">
        <v>1683</v>
      </c>
      <c r="G261" s="6">
        <v>68601</v>
      </c>
      <c r="H261" s="6" t="s">
        <v>1684</v>
      </c>
      <c r="I261" s="6" t="s">
        <v>1347</v>
      </c>
      <c r="J261" s="6" t="s">
        <v>1348</v>
      </c>
      <c r="K261" s="6">
        <v>777200497</v>
      </c>
      <c r="L261" s="6" t="s">
        <v>197</v>
      </c>
      <c r="M261" s="6" t="s">
        <v>1685</v>
      </c>
      <c r="N261" s="6" t="s">
        <v>63</v>
      </c>
      <c r="O261" s="6" t="s">
        <v>1350</v>
      </c>
      <c r="P261" s="6"/>
      <c r="Q261" s="6" t="str">
        <f>VLOOKUP(G261,seznampsc!A:B,2,FALSE)</f>
        <v>Uherské Hradiště</v>
      </c>
      <c r="R261" s="6" t="str">
        <f>VLOOKUP(G261,seznampsc!A:C,3,FALSE)</f>
        <v>Zlínský kraj</v>
      </c>
      <c r="S261" s="6" t="s">
        <v>1686</v>
      </c>
      <c r="T261" s="6" t="s">
        <v>1687</v>
      </c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V261" s="10">
        <v>200000</v>
      </c>
    </row>
    <row r="262" spans="1:48" ht="24" customHeight="1" x14ac:dyDescent="0.3">
      <c r="A262" s="6"/>
      <c r="B262" s="6" t="s">
        <v>65</v>
      </c>
      <c r="C262" s="6" t="s">
        <v>1343</v>
      </c>
      <c r="D262" s="9">
        <v>25512021</v>
      </c>
      <c r="E262" s="6" t="s">
        <v>1345</v>
      </c>
      <c r="F262" s="6" t="s">
        <v>1346</v>
      </c>
      <c r="G262" s="6">
        <v>69501</v>
      </c>
      <c r="H262" s="6" t="s">
        <v>1207</v>
      </c>
      <c r="I262" s="6" t="s">
        <v>1347</v>
      </c>
      <c r="J262" s="6" t="s">
        <v>1348</v>
      </c>
      <c r="K262" s="6">
        <v>777200497</v>
      </c>
      <c r="L262" s="6" t="s">
        <v>197</v>
      </c>
      <c r="M262" s="6" t="s">
        <v>1685</v>
      </c>
      <c r="N262" s="6" t="s">
        <v>63</v>
      </c>
      <c r="O262" s="6" t="s">
        <v>1350</v>
      </c>
      <c r="P262" s="6"/>
      <c r="Q262" s="6" t="str">
        <f>VLOOKUP(G262,seznampsc!A:B,2,FALSE)</f>
        <v>Hodonín</v>
      </c>
      <c r="R262" s="6" t="str">
        <f>VLOOKUP(G262,seznampsc!A:C,3,FALSE)</f>
        <v>Jihomoravský kraj</v>
      </c>
      <c r="S262" s="6" t="s">
        <v>1688</v>
      </c>
      <c r="T262" s="6" t="s">
        <v>1689</v>
      </c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V262" s="10">
        <v>200000</v>
      </c>
    </row>
    <row r="263" spans="1:48" ht="24" customHeight="1" x14ac:dyDescent="0.3">
      <c r="A263" s="6"/>
      <c r="B263" s="6" t="s">
        <v>65</v>
      </c>
      <c r="C263" s="6" t="s">
        <v>1343</v>
      </c>
      <c r="D263" s="9">
        <v>25512021</v>
      </c>
      <c r="E263" s="6" t="s">
        <v>1345</v>
      </c>
      <c r="F263" s="6" t="s">
        <v>1690</v>
      </c>
      <c r="G263" s="6">
        <v>68603</v>
      </c>
      <c r="H263" s="6" t="s">
        <v>1691</v>
      </c>
      <c r="I263" s="6" t="s">
        <v>1347</v>
      </c>
      <c r="J263" s="6" t="s">
        <v>1348</v>
      </c>
      <c r="K263" s="6">
        <v>777200497</v>
      </c>
      <c r="L263" s="6" t="s">
        <v>197</v>
      </c>
      <c r="M263" s="6" t="s">
        <v>1685</v>
      </c>
      <c r="N263" s="6" t="s">
        <v>63</v>
      </c>
      <c r="O263" s="6" t="s">
        <v>1350</v>
      </c>
      <c r="P263" s="6"/>
      <c r="Q263" s="6" t="str">
        <f>VLOOKUP(G263,seznampsc!A:B,2,FALSE)</f>
        <v>Uherské Hradiště</v>
      </c>
      <c r="R263" s="6" t="str">
        <f>VLOOKUP(G263,seznampsc!A:C,3,FALSE)</f>
        <v>Zlínský kraj</v>
      </c>
      <c r="S263" s="6" t="s">
        <v>1692</v>
      </c>
      <c r="T263" s="6" t="s">
        <v>1693</v>
      </c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V263" s="10">
        <v>200000</v>
      </c>
    </row>
    <row r="264" spans="1:48" ht="24" customHeight="1" x14ac:dyDescent="0.3">
      <c r="A264" s="3" t="s">
        <v>53</v>
      </c>
      <c r="B264" s="3" t="s">
        <v>54</v>
      </c>
      <c r="C264" s="3" t="s">
        <v>55</v>
      </c>
      <c r="D264" s="3" t="s">
        <v>1694</v>
      </c>
      <c r="E264" s="3" t="s">
        <v>1695</v>
      </c>
      <c r="F264" s="3" t="s">
        <v>1696</v>
      </c>
      <c r="G264" s="3">
        <v>39601</v>
      </c>
      <c r="H264" s="3" t="s">
        <v>1697</v>
      </c>
      <c r="I264" s="3" t="s">
        <v>1695</v>
      </c>
      <c r="J264" s="3" t="s">
        <v>1698</v>
      </c>
      <c r="K264" s="3">
        <v>608949029</v>
      </c>
      <c r="L264" s="3" t="s">
        <v>61</v>
      </c>
      <c r="M264" s="6" t="s">
        <v>62</v>
      </c>
      <c r="N264" s="6" t="s">
        <v>63</v>
      </c>
      <c r="O264" s="3" t="s">
        <v>64</v>
      </c>
      <c r="Q264" s="6" t="str">
        <f>VLOOKUP(G264,seznampsc!A:B,2,FALSE)</f>
        <v>Pelhřimov</v>
      </c>
      <c r="R264" s="6" t="str">
        <f>VLOOKUP(G264,seznampsc!A:C,3,FALSE)</f>
        <v>Kraj Vysočina</v>
      </c>
      <c r="S264" s="6">
        <v>49.547499999999999</v>
      </c>
      <c r="T264" s="6">
        <v>15.3508</v>
      </c>
      <c r="U264" s="6"/>
      <c r="V264" s="6"/>
      <c r="W264" s="6"/>
      <c r="X264" s="6"/>
      <c r="Y264" s="6"/>
      <c r="Z264" s="6"/>
      <c r="AA264" s="6"/>
      <c r="AB264" s="6"/>
      <c r="AC264" s="6"/>
      <c r="AD264" s="6">
        <v>680</v>
      </c>
      <c r="AE264" s="6">
        <v>680</v>
      </c>
      <c r="AF264" s="6">
        <v>680</v>
      </c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>
        <v>10</v>
      </c>
      <c r="AR264" s="6"/>
      <c r="AS264" s="6"/>
      <c r="AT264" s="6"/>
      <c r="AV264" s="3">
        <v>100000</v>
      </c>
    </row>
    <row r="265" spans="1:48" ht="24" customHeight="1" x14ac:dyDescent="0.3">
      <c r="A265" s="3" t="s">
        <v>53</v>
      </c>
      <c r="B265" s="3" t="s">
        <v>54</v>
      </c>
      <c r="C265" s="3" t="s">
        <v>55</v>
      </c>
      <c r="D265" s="3" t="s">
        <v>1699</v>
      </c>
      <c r="E265" s="3" t="s">
        <v>1700</v>
      </c>
      <c r="F265" s="3" t="s">
        <v>1701</v>
      </c>
      <c r="G265" s="3">
        <v>30100</v>
      </c>
      <c r="H265" s="3" t="s">
        <v>1702</v>
      </c>
      <c r="I265" s="3" t="s">
        <v>1700</v>
      </c>
      <c r="J265" s="3" t="s">
        <v>1703</v>
      </c>
      <c r="K265" s="3">
        <v>774416011</v>
      </c>
      <c r="L265" s="3" t="s">
        <v>61</v>
      </c>
      <c r="M265" s="6" t="s">
        <v>62</v>
      </c>
      <c r="N265" s="6" t="s">
        <v>63</v>
      </c>
      <c r="O265" s="3" t="s">
        <v>64</v>
      </c>
      <c r="Q265" s="6" t="str">
        <f>VLOOKUP(G265,seznampsc!A:B,2,FALSE)</f>
        <v>Plzeň-město</v>
      </c>
      <c r="R265" s="6" t="str">
        <f>VLOOKUP(G265,seznampsc!A:C,3,FALSE)</f>
        <v>Plzeňský kraj</v>
      </c>
      <c r="S265" s="6">
        <v>49.7721728</v>
      </c>
      <c r="T265" s="6">
        <v>13.361075</v>
      </c>
      <c r="U265" s="6"/>
      <c r="V265" s="6"/>
      <c r="W265" s="6"/>
      <c r="X265" s="6"/>
      <c r="Y265" s="6"/>
      <c r="Z265" s="6"/>
      <c r="AA265" s="6"/>
      <c r="AB265" s="6"/>
      <c r="AC265" s="6"/>
      <c r="AD265" s="6">
        <v>680</v>
      </c>
      <c r="AE265" s="6">
        <v>680</v>
      </c>
      <c r="AF265" s="6">
        <v>680</v>
      </c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>
        <v>10</v>
      </c>
      <c r="AR265" s="6"/>
      <c r="AS265" s="6"/>
      <c r="AT265" s="6"/>
      <c r="AV265" s="3">
        <v>100000</v>
      </c>
    </row>
    <row r="266" spans="1:48" ht="24" customHeight="1" x14ac:dyDescent="0.3">
      <c r="A266" s="6"/>
      <c r="B266" s="6" t="s">
        <v>65</v>
      </c>
      <c r="C266" s="6" t="s">
        <v>1704</v>
      </c>
      <c r="D266" s="6">
        <v>60713224</v>
      </c>
      <c r="E266" s="6" t="s">
        <v>1705</v>
      </c>
      <c r="F266" s="6" t="s">
        <v>1706</v>
      </c>
      <c r="G266" s="6">
        <v>68761</v>
      </c>
      <c r="H266" s="6" t="s">
        <v>1707</v>
      </c>
      <c r="I266" s="6" t="s">
        <v>1708</v>
      </c>
      <c r="J266" s="6" t="s">
        <v>1709</v>
      </c>
      <c r="K266" s="6" t="s">
        <v>1710</v>
      </c>
      <c r="L266" s="6" t="s">
        <v>586</v>
      </c>
      <c r="M266" s="6" t="s">
        <v>1711</v>
      </c>
      <c r="N266" s="6" t="s">
        <v>63</v>
      </c>
      <c r="O266" s="6" t="s">
        <v>804</v>
      </c>
      <c r="P266" s="6"/>
      <c r="Q266" s="6" t="str">
        <f>VLOOKUP(G266,seznampsc!A:B,2,FALSE)</f>
        <v>Uherské Hradiště</v>
      </c>
      <c r="R266" s="6" t="str">
        <f>VLOOKUP(G266,seznampsc!A:C,3,FALSE)</f>
        <v>Zlínský kraj</v>
      </c>
      <c r="S266" s="6" t="s">
        <v>1712</v>
      </c>
      <c r="T266" s="6" t="s">
        <v>1713</v>
      </c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3" t="s">
        <v>1714</v>
      </c>
      <c r="AV266" s="10">
        <v>200000</v>
      </c>
    </row>
    <row r="267" spans="1:48" ht="24" customHeight="1" x14ac:dyDescent="0.3">
      <c r="A267" s="6"/>
      <c r="B267" s="6" t="s">
        <v>65</v>
      </c>
      <c r="C267" s="6" t="s">
        <v>1704</v>
      </c>
      <c r="D267" s="6">
        <v>60713224</v>
      </c>
      <c r="E267" s="6" t="s">
        <v>1705</v>
      </c>
      <c r="F267" s="6" t="s">
        <v>1715</v>
      </c>
      <c r="G267" s="6">
        <v>68603</v>
      </c>
      <c r="H267" s="6" t="s">
        <v>1691</v>
      </c>
      <c r="I267" s="6" t="s">
        <v>1708</v>
      </c>
      <c r="J267" s="6" t="s">
        <v>1709</v>
      </c>
      <c r="K267" s="6" t="s">
        <v>1710</v>
      </c>
      <c r="L267" s="6" t="s">
        <v>586</v>
      </c>
      <c r="M267" s="6" t="s">
        <v>1711</v>
      </c>
      <c r="N267" s="6" t="s">
        <v>63</v>
      </c>
      <c r="O267" s="6" t="s">
        <v>804</v>
      </c>
      <c r="P267" s="6"/>
      <c r="Q267" s="6" t="str">
        <f>VLOOKUP(G267,seznampsc!A:B,2,FALSE)</f>
        <v>Uherské Hradiště</v>
      </c>
      <c r="R267" s="6" t="str">
        <f>VLOOKUP(G267,seznampsc!A:C,3,FALSE)</f>
        <v>Zlínský kraj</v>
      </c>
      <c r="S267" s="6" t="s">
        <v>1716</v>
      </c>
      <c r="T267" s="6" t="s">
        <v>1717</v>
      </c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3" t="s">
        <v>1714</v>
      </c>
      <c r="AV267" s="10">
        <v>200000</v>
      </c>
    </row>
    <row r="268" spans="1:48" ht="24" customHeight="1" x14ac:dyDescent="0.3">
      <c r="A268" s="6"/>
      <c r="B268" s="6" t="s">
        <v>65</v>
      </c>
      <c r="C268" s="6" t="s">
        <v>1704</v>
      </c>
      <c r="D268" s="6">
        <v>60713224</v>
      </c>
      <c r="E268" s="6" t="s">
        <v>1705</v>
      </c>
      <c r="F268" s="6" t="s">
        <v>1718</v>
      </c>
      <c r="G268" s="6">
        <v>68801</v>
      </c>
      <c r="H268" s="6" t="s">
        <v>1719</v>
      </c>
      <c r="I268" s="6" t="s">
        <v>1708</v>
      </c>
      <c r="J268" s="6" t="s">
        <v>1709</v>
      </c>
      <c r="K268" s="6" t="s">
        <v>1710</v>
      </c>
      <c r="L268" s="6" t="s">
        <v>586</v>
      </c>
      <c r="M268" s="6" t="s">
        <v>1711</v>
      </c>
      <c r="N268" s="6" t="s">
        <v>63</v>
      </c>
      <c r="O268" s="6" t="s">
        <v>804</v>
      </c>
      <c r="P268" s="6"/>
      <c r="Q268" s="6" t="str">
        <f>VLOOKUP(G268,seznampsc!A:B,2,FALSE)</f>
        <v>Uherské Hradiště</v>
      </c>
      <c r="R268" s="6" t="str">
        <f>VLOOKUP(G268,seznampsc!A:C,3,FALSE)</f>
        <v>Zlínský kraj</v>
      </c>
      <c r="S268" s="6" t="s">
        <v>1720</v>
      </c>
      <c r="T268" s="6" t="s">
        <v>1721</v>
      </c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V268" s="10"/>
    </row>
    <row r="269" spans="1:48" ht="24" customHeight="1" x14ac:dyDescent="0.3">
      <c r="A269" s="3" t="s">
        <v>53</v>
      </c>
      <c r="B269" s="3" t="s">
        <v>54</v>
      </c>
      <c r="C269" s="3" t="s">
        <v>55</v>
      </c>
      <c r="D269" s="3" t="s">
        <v>1722</v>
      </c>
      <c r="E269" s="3" t="s">
        <v>1723</v>
      </c>
      <c r="F269" s="3" t="s">
        <v>1724</v>
      </c>
      <c r="G269" s="3">
        <v>33027</v>
      </c>
      <c r="H269" s="3" t="s">
        <v>1725</v>
      </c>
      <c r="I269" s="3" t="s">
        <v>1726</v>
      </c>
      <c r="J269" s="3" t="s">
        <v>1727</v>
      </c>
      <c r="K269" s="3">
        <v>777228070</v>
      </c>
      <c r="L269" s="3" t="s">
        <v>61</v>
      </c>
      <c r="M269" s="6" t="s">
        <v>62</v>
      </c>
      <c r="N269" s="6" t="s">
        <v>63</v>
      </c>
      <c r="O269" s="3" t="s">
        <v>64</v>
      </c>
      <c r="Q269" s="6" t="str">
        <f>VLOOKUP(G269,seznampsc!A:B,2,FALSE)</f>
        <v>Plzeň-město</v>
      </c>
      <c r="R269" s="6" t="str">
        <f>VLOOKUP(G269,seznampsc!A:C,3,FALSE)</f>
        <v>Plzeňský kraj</v>
      </c>
      <c r="S269" s="6">
        <v>49.735159000000003</v>
      </c>
      <c r="T269" s="6">
        <v>13.2983668</v>
      </c>
      <c r="U269" s="6"/>
      <c r="V269" s="6"/>
      <c r="W269" s="6"/>
      <c r="X269" s="6"/>
      <c r="Y269" s="6"/>
      <c r="Z269" s="6"/>
      <c r="AA269" s="6"/>
      <c r="AB269" s="6"/>
      <c r="AC269" s="6"/>
      <c r="AD269" s="6">
        <v>680</v>
      </c>
      <c r="AE269" s="6">
        <v>680</v>
      </c>
      <c r="AF269" s="6">
        <v>680</v>
      </c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>
        <v>10</v>
      </c>
      <c r="AR269" s="6"/>
      <c r="AS269" s="6"/>
      <c r="AT269" s="6"/>
      <c r="AV269" s="3">
        <v>100000</v>
      </c>
    </row>
    <row r="270" spans="1:48" ht="24" customHeight="1" x14ac:dyDescent="0.3">
      <c r="B270" s="6" t="s">
        <v>65</v>
      </c>
      <c r="C270" s="6" t="s">
        <v>1288</v>
      </c>
      <c r="D270" s="6">
        <v>25208047</v>
      </c>
      <c r="E270" s="6" t="s">
        <v>1289</v>
      </c>
      <c r="F270" s="6" t="s">
        <v>1728</v>
      </c>
      <c r="G270" s="6">
        <v>31200</v>
      </c>
      <c r="H270" s="6" t="s">
        <v>385</v>
      </c>
      <c r="I270" s="6" t="s">
        <v>1729</v>
      </c>
      <c r="J270" s="6" t="s">
        <v>1730</v>
      </c>
      <c r="K270" s="6" t="s">
        <v>1731</v>
      </c>
      <c r="L270" s="6" t="s">
        <v>586</v>
      </c>
      <c r="M270" s="6" t="s">
        <v>1293</v>
      </c>
      <c r="N270" s="6" t="s">
        <v>63</v>
      </c>
      <c r="O270" s="6" t="s">
        <v>828</v>
      </c>
      <c r="P270" s="6"/>
      <c r="Q270" s="6" t="str">
        <f>VLOOKUP(G270,seznampsc!A:B,2,FALSE)</f>
        <v>Plzeň-město</v>
      </c>
      <c r="R270" s="6" t="str">
        <f>VLOOKUP(G270,seznampsc!A:C,3,FALSE)</f>
        <v>Plzeňský kraj</v>
      </c>
      <c r="S270" s="6" t="s">
        <v>1732</v>
      </c>
      <c r="T270" s="6" t="s">
        <v>1733</v>
      </c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8">
        <v>200000</v>
      </c>
    </row>
    <row r="271" spans="1:48" ht="24" customHeight="1" x14ac:dyDescent="0.3">
      <c r="A271" s="3" t="s">
        <v>53</v>
      </c>
      <c r="B271" s="3" t="s">
        <v>54</v>
      </c>
      <c r="C271" s="3" t="s">
        <v>55</v>
      </c>
      <c r="D271" s="3" t="s">
        <v>1734</v>
      </c>
      <c r="E271" s="3" t="s">
        <v>1735</v>
      </c>
      <c r="F271" s="3" t="s">
        <v>1736</v>
      </c>
      <c r="G271" s="3">
        <v>25228</v>
      </c>
      <c r="H271" s="3" t="s">
        <v>1737</v>
      </c>
      <c r="J271" s="3" t="s">
        <v>1738</v>
      </c>
      <c r="K271" s="3">
        <v>737579517</v>
      </c>
      <c r="L271" s="3" t="s">
        <v>61</v>
      </c>
      <c r="M271" s="6" t="s">
        <v>62</v>
      </c>
      <c r="N271" s="6" t="s">
        <v>63</v>
      </c>
      <c r="O271" s="3" t="s">
        <v>64</v>
      </c>
      <c r="Q271" s="6" t="str">
        <f>VLOOKUP(G271,seznampsc!A:B,2,FALSE)</f>
        <v>Praha-západ</v>
      </c>
      <c r="R271" s="6" t="str">
        <f>VLOOKUP(G271,seznampsc!A:C,3,FALSE)</f>
        <v>Středočeský kraj</v>
      </c>
      <c r="S271" s="6">
        <v>49.950233399999902</v>
      </c>
      <c r="T271" s="6">
        <v>14.314498199999999</v>
      </c>
      <c r="U271" s="6"/>
      <c r="V271" s="6"/>
      <c r="W271" s="6"/>
      <c r="X271" s="6"/>
      <c r="Y271" s="6"/>
      <c r="Z271" s="6"/>
      <c r="AA271" s="6"/>
      <c r="AB271" s="6"/>
      <c r="AC271" s="6"/>
      <c r="AD271" s="6">
        <v>680</v>
      </c>
      <c r="AE271" s="6">
        <v>680</v>
      </c>
      <c r="AF271" s="6">
        <v>680</v>
      </c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>
        <v>10</v>
      </c>
      <c r="AR271" s="6"/>
      <c r="AS271" s="6"/>
      <c r="AT271" s="6"/>
      <c r="AV271" s="3">
        <v>100000</v>
      </c>
    </row>
    <row r="272" spans="1:48" ht="24" customHeight="1" x14ac:dyDescent="0.3">
      <c r="A272" s="3" t="s">
        <v>53</v>
      </c>
      <c r="B272" s="3" t="s">
        <v>54</v>
      </c>
      <c r="C272" s="3" t="s">
        <v>55</v>
      </c>
      <c r="D272" s="3">
        <v>25183419</v>
      </c>
      <c r="E272" s="3" t="s">
        <v>1739</v>
      </c>
      <c r="F272" s="3" t="s">
        <v>1740</v>
      </c>
      <c r="G272" s="3">
        <v>38501</v>
      </c>
      <c r="H272" s="3" t="s">
        <v>1741</v>
      </c>
      <c r="I272" s="3" t="s">
        <v>1742</v>
      </c>
      <c r="J272" s="3" t="s">
        <v>1743</v>
      </c>
      <c r="K272" s="3">
        <v>777661772</v>
      </c>
      <c r="L272" s="3" t="s">
        <v>61</v>
      </c>
      <c r="M272" s="6" t="s">
        <v>62</v>
      </c>
      <c r="N272" s="6" t="s">
        <v>63</v>
      </c>
      <c r="O272" s="3" t="s">
        <v>64</v>
      </c>
      <c r="Q272" s="6" t="str">
        <f>VLOOKUP(G272,seznampsc!A:B,2,FALSE)</f>
        <v>Prachatice</v>
      </c>
      <c r="R272" s="6" t="str">
        <f>VLOOKUP(G272,seznampsc!A:C,3,FALSE)</f>
        <v>Jihočeský kraj</v>
      </c>
      <c r="S272" s="6">
        <v>49.052309999999999</v>
      </c>
      <c r="T272" s="6">
        <v>13.79218</v>
      </c>
      <c r="U272" s="6"/>
      <c r="V272" s="6"/>
      <c r="W272" s="6"/>
      <c r="X272" s="6"/>
      <c r="Y272" s="6"/>
      <c r="Z272" s="6"/>
      <c r="AA272" s="6"/>
      <c r="AB272" s="6"/>
      <c r="AC272" s="6"/>
      <c r="AD272" s="6">
        <v>680</v>
      </c>
      <c r="AE272" s="6">
        <v>680</v>
      </c>
      <c r="AF272" s="6">
        <v>680</v>
      </c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>
        <v>10</v>
      </c>
      <c r="AR272" s="6"/>
      <c r="AS272" s="6"/>
      <c r="AT272" s="6"/>
      <c r="AV272" s="3">
        <v>100000</v>
      </c>
    </row>
    <row r="273" spans="1:49" ht="24" customHeight="1" x14ac:dyDescent="0.3">
      <c r="A273" s="3" t="s">
        <v>53</v>
      </c>
      <c r="B273" s="3" t="s">
        <v>54</v>
      </c>
      <c r="C273" s="3" t="s">
        <v>55</v>
      </c>
      <c r="D273" s="3">
        <v>74887386</v>
      </c>
      <c r="E273" s="3" t="s">
        <v>1744</v>
      </c>
      <c r="F273" s="3" t="s">
        <v>1745</v>
      </c>
      <c r="G273" s="3">
        <v>38411</v>
      </c>
      <c r="H273" s="3" t="s">
        <v>1746</v>
      </c>
      <c r="I273" s="3" t="s">
        <v>1747</v>
      </c>
      <c r="J273" s="3" t="s">
        <v>1748</v>
      </c>
      <c r="K273" s="3">
        <v>777323941</v>
      </c>
      <c r="L273" s="3" t="s">
        <v>61</v>
      </c>
      <c r="M273" s="6" t="s">
        <v>62</v>
      </c>
      <c r="N273" s="6" t="s">
        <v>63</v>
      </c>
      <c r="O273" s="3" t="s">
        <v>64</v>
      </c>
      <c r="Q273" s="6" t="str">
        <f>VLOOKUP(G273,seznampsc!A:B,2,FALSE)</f>
        <v>Prachatice</v>
      </c>
      <c r="R273" s="6" t="str">
        <f>VLOOKUP(G273,seznampsc!A:C,3,FALSE)</f>
        <v>Jihočeský kraj</v>
      </c>
      <c r="S273" s="6" t="s">
        <v>1749</v>
      </c>
      <c r="T273" s="6" t="s">
        <v>1750</v>
      </c>
      <c r="U273" s="6"/>
      <c r="V273" s="6"/>
      <c r="W273" s="6"/>
      <c r="X273" s="6"/>
      <c r="Y273" s="6"/>
      <c r="Z273" s="6"/>
      <c r="AA273" s="6"/>
      <c r="AB273" s="6"/>
      <c r="AC273" s="6"/>
      <c r="AD273" s="6">
        <v>680</v>
      </c>
      <c r="AE273" s="6">
        <v>680</v>
      </c>
      <c r="AF273" s="6">
        <v>680</v>
      </c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>
        <v>10</v>
      </c>
      <c r="AR273" s="6"/>
      <c r="AS273" s="6"/>
      <c r="AT273" s="6"/>
      <c r="AU273" s="3" t="s">
        <v>1751</v>
      </c>
      <c r="AV273" s="3">
        <v>100000</v>
      </c>
    </row>
    <row r="274" spans="1:49" ht="24" customHeight="1" x14ac:dyDescent="0.3">
      <c r="A274" s="6"/>
      <c r="B274" s="6" t="s">
        <v>65</v>
      </c>
      <c r="C274" s="6" t="s">
        <v>1752</v>
      </c>
      <c r="D274" s="6" t="s">
        <v>1753</v>
      </c>
      <c r="E274" s="6" t="s">
        <v>1754</v>
      </c>
      <c r="F274" s="6" t="s">
        <v>1755</v>
      </c>
      <c r="G274" s="6">
        <v>79601</v>
      </c>
      <c r="H274" s="6" t="s">
        <v>1756</v>
      </c>
      <c r="I274" s="6" t="s">
        <v>1757</v>
      </c>
      <c r="J274" s="7" t="s">
        <v>1758</v>
      </c>
      <c r="K274" s="8">
        <v>723887036</v>
      </c>
      <c r="L274" s="6" t="s">
        <v>586</v>
      </c>
      <c r="M274" s="6" t="s">
        <v>84</v>
      </c>
      <c r="N274" s="6" t="s">
        <v>63</v>
      </c>
      <c r="O274" s="6" t="s">
        <v>1657</v>
      </c>
      <c r="P274" s="6"/>
      <c r="Q274" s="6" t="str">
        <f>VLOOKUP(G274,seznampsc!A:B,2,FALSE)</f>
        <v>Prostějov</v>
      </c>
      <c r="R274" s="6" t="str">
        <f>VLOOKUP(G274,seznampsc!A:C,3,FALSE)</f>
        <v>Olomoucký kraj</v>
      </c>
      <c r="S274" s="6">
        <v>49.463189999999997</v>
      </c>
      <c r="T274" s="6">
        <v>17.124690000000001</v>
      </c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V274" s="10">
        <v>200000</v>
      </c>
    </row>
    <row r="275" spans="1:49" ht="24" customHeight="1" x14ac:dyDescent="0.3">
      <c r="A275" s="3" t="s">
        <v>53</v>
      </c>
      <c r="B275" s="3" t="s">
        <v>54</v>
      </c>
      <c r="C275" s="3" t="s">
        <v>55</v>
      </c>
      <c r="D275" s="3" t="s">
        <v>1759</v>
      </c>
      <c r="E275" s="3" t="s">
        <v>1760</v>
      </c>
      <c r="F275" s="3" t="s">
        <v>1761</v>
      </c>
      <c r="G275" s="3">
        <v>75301</v>
      </c>
      <c r="H275" s="3" t="s">
        <v>1762</v>
      </c>
      <c r="I275" s="3" t="s">
        <v>1763</v>
      </c>
      <c r="J275" s="3" t="s">
        <v>1764</v>
      </c>
      <c r="K275" s="3">
        <v>603295985</v>
      </c>
      <c r="L275" s="3" t="s">
        <v>61</v>
      </c>
      <c r="M275" s="6" t="s">
        <v>62</v>
      </c>
      <c r="N275" s="6" t="s">
        <v>63</v>
      </c>
      <c r="O275" s="3" t="s">
        <v>64</v>
      </c>
      <c r="Q275" s="6" t="str">
        <f>VLOOKUP(G275,seznampsc!A:B,2,FALSE)</f>
        <v>Přerov</v>
      </c>
      <c r="R275" s="6" t="str">
        <f>VLOOKUP(G275,seznampsc!A:C,3,FALSE)</f>
        <v>Olomoucký kraj</v>
      </c>
      <c r="S275" s="6">
        <v>49.569867899999998</v>
      </c>
      <c r="T275" s="6">
        <v>17.719079300000001</v>
      </c>
      <c r="U275" s="6"/>
      <c r="V275" s="6"/>
      <c r="W275" s="6"/>
      <c r="X275" s="6"/>
      <c r="Y275" s="6"/>
      <c r="Z275" s="6"/>
      <c r="AA275" s="6"/>
      <c r="AB275" s="6"/>
      <c r="AC275" s="6"/>
      <c r="AD275" s="6">
        <v>680</v>
      </c>
      <c r="AE275" s="6">
        <v>680</v>
      </c>
      <c r="AF275" s="6">
        <v>680</v>
      </c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>
        <v>10</v>
      </c>
      <c r="AR275" s="6"/>
      <c r="AS275" s="6"/>
      <c r="AT275" s="6"/>
      <c r="AV275" s="3">
        <v>100000</v>
      </c>
    </row>
    <row r="276" spans="1:49" ht="24" customHeight="1" x14ac:dyDescent="0.3">
      <c r="A276" s="6"/>
      <c r="B276" s="6" t="s">
        <v>65</v>
      </c>
      <c r="C276" s="6" t="s">
        <v>1765</v>
      </c>
      <c r="D276" s="6" t="s">
        <v>1766</v>
      </c>
      <c r="E276" s="6" t="s">
        <v>1767</v>
      </c>
      <c r="F276" s="6" t="s">
        <v>1768</v>
      </c>
      <c r="G276" s="6">
        <v>75301</v>
      </c>
      <c r="H276" s="6" t="s">
        <v>1769</v>
      </c>
      <c r="I276" s="6" t="s">
        <v>1770</v>
      </c>
      <c r="J276" s="6" t="s">
        <v>1771</v>
      </c>
      <c r="K276" s="6">
        <v>724810036</v>
      </c>
      <c r="L276" s="6" t="s">
        <v>586</v>
      </c>
      <c r="M276" s="6" t="s">
        <v>84</v>
      </c>
      <c r="N276" s="6" t="s">
        <v>63</v>
      </c>
      <c r="O276" s="6" t="s">
        <v>1066</v>
      </c>
      <c r="P276" s="6"/>
      <c r="Q276" s="6" t="str">
        <f>VLOOKUP(G276,seznampsc!A:B,2,FALSE)</f>
        <v>Přerov</v>
      </c>
      <c r="R276" s="6" t="str">
        <f>VLOOKUP(G276,seznampsc!A:C,3,FALSE)</f>
        <v>Olomoucký kraj</v>
      </c>
      <c r="S276" s="6">
        <v>49.556049999999999</v>
      </c>
      <c r="T276" s="6">
        <v>17.73535</v>
      </c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V276" s="10">
        <v>200000</v>
      </c>
    </row>
    <row r="277" spans="1:49" ht="24" customHeight="1" x14ac:dyDescent="0.3">
      <c r="A277" s="1"/>
      <c r="B277" s="1" t="s">
        <v>65</v>
      </c>
      <c r="C277" s="1" t="s">
        <v>1772</v>
      </c>
      <c r="D277" s="1">
        <v>27766888</v>
      </c>
      <c r="E277" s="1" t="s">
        <v>1773</v>
      </c>
      <c r="F277" s="1" t="s">
        <v>1774</v>
      </c>
      <c r="G277" s="1">
        <v>73801</v>
      </c>
      <c r="H277" s="1" t="s">
        <v>1775</v>
      </c>
      <c r="I277" s="1" t="s">
        <v>1776</v>
      </c>
      <c r="J277" s="1" t="s">
        <v>1777</v>
      </c>
      <c r="K277" s="1">
        <v>777751725</v>
      </c>
      <c r="L277" s="1" t="s">
        <v>586</v>
      </c>
      <c r="M277" s="1" t="s">
        <v>1778</v>
      </c>
      <c r="N277" s="1" t="s">
        <v>63</v>
      </c>
      <c r="O277" s="1" t="s">
        <v>1779</v>
      </c>
      <c r="P277" s="6"/>
      <c r="Q277" s="6" t="str">
        <f>VLOOKUP(G277,seznampsc!A:B,2,FALSE)</f>
        <v>Frýdek-Místek</v>
      </c>
      <c r="R277" s="6" t="str">
        <f>VLOOKUP(G277,seznampsc!A:C,3,FALSE)</f>
        <v>Moravskoslezský kraj</v>
      </c>
      <c r="S277" s="1">
        <v>49.668570000000003</v>
      </c>
      <c r="T277" s="1">
        <v>18.323989999999998</v>
      </c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 t="s">
        <v>1780</v>
      </c>
      <c r="AV277" s="2">
        <v>200000</v>
      </c>
    </row>
    <row r="278" spans="1:49" ht="24" customHeight="1" x14ac:dyDescent="0.3">
      <c r="A278" s="1"/>
      <c r="B278" s="1" t="s">
        <v>65</v>
      </c>
      <c r="C278" s="1" t="s">
        <v>1781</v>
      </c>
      <c r="D278" s="1">
        <v>24819549</v>
      </c>
      <c r="E278" s="1" t="s">
        <v>1782</v>
      </c>
      <c r="F278" s="1" t="s">
        <v>1783</v>
      </c>
      <c r="G278" s="1">
        <v>73801</v>
      </c>
      <c r="H278" s="1" t="s">
        <v>1775</v>
      </c>
      <c r="I278" s="1" t="s">
        <v>1776</v>
      </c>
      <c r="J278" s="1" t="s">
        <v>1777</v>
      </c>
      <c r="K278" s="1">
        <v>777751725</v>
      </c>
      <c r="L278" s="1" t="s">
        <v>586</v>
      </c>
      <c r="M278" s="1" t="s">
        <v>1322</v>
      </c>
      <c r="N278" s="1" t="s">
        <v>63</v>
      </c>
      <c r="O278" s="1" t="s">
        <v>1234</v>
      </c>
      <c r="P278" s="6"/>
      <c r="Q278" s="6" t="str">
        <f>VLOOKUP(G278,seznampsc!A:B,2,FALSE)</f>
        <v>Frýdek-Místek</v>
      </c>
      <c r="R278" s="6" t="str">
        <f>VLOOKUP(G278,seznampsc!A:C,3,FALSE)</f>
        <v>Moravskoslezský kraj</v>
      </c>
      <c r="S278" s="1">
        <v>49.725850000000001</v>
      </c>
      <c r="T278" s="1">
        <v>18.385359999999999</v>
      </c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 t="s">
        <v>1784</v>
      </c>
      <c r="AV278" s="2">
        <v>200000</v>
      </c>
    </row>
    <row r="279" spans="1:49" ht="24" customHeight="1" x14ac:dyDescent="0.3">
      <c r="A279" s="6"/>
      <c r="B279" s="6" t="s">
        <v>65</v>
      </c>
      <c r="C279" s="6" t="s">
        <v>1785</v>
      </c>
      <c r="D279" s="6" t="s">
        <v>1786</v>
      </c>
      <c r="E279" s="6" t="s">
        <v>1787</v>
      </c>
      <c r="F279" s="6" t="s">
        <v>1788</v>
      </c>
      <c r="G279" s="6">
        <v>26901</v>
      </c>
      <c r="H279" s="6" t="s">
        <v>1789</v>
      </c>
      <c r="I279" s="6" t="s">
        <v>1790</v>
      </c>
      <c r="J279" s="6" t="s">
        <v>1791</v>
      </c>
      <c r="K279" s="6">
        <v>608333738</v>
      </c>
      <c r="L279" s="6" t="s">
        <v>586</v>
      </c>
      <c r="M279" s="6" t="s">
        <v>84</v>
      </c>
      <c r="N279" s="6" t="s">
        <v>63</v>
      </c>
      <c r="O279" s="6" t="s">
        <v>804</v>
      </c>
      <c r="P279" s="6"/>
      <c r="Q279" s="6" t="str">
        <f>VLOOKUP(G279,seznampsc!A:B,2,FALSE)</f>
        <v>Rakovník</v>
      </c>
      <c r="R279" s="6" t="str">
        <f>VLOOKUP(G279,seznampsc!A:C,3,FALSE)</f>
        <v>Středočeský kraj</v>
      </c>
      <c r="S279" s="6">
        <v>50.102119999999999</v>
      </c>
      <c r="T279" s="6">
        <v>13.74592</v>
      </c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V279" s="10">
        <v>200000</v>
      </c>
    </row>
    <row r="280" spans="1:49" ht="24" customHeight="1" x14ac:dyDescent="0.3">
      <c r="A280" s="6" t="s">
        <v>53</v>
      </c>
      <c r="B280" s="6" t="s">
        <v>65</v>
      </c>
      <c r="C280" s="6" t="s">
        <v>1523</v>
      </c>
      <c r="D280" s="9">
        <v>28737008</v>
      </c>
      <c r="E280" s="6" t="s">
        <v>1524</v>
      </c>
      <c r="F280" s="6" t="s">
        <v>1792</v>
      </c>
      <c r="G280" s="6">
        <v>46005</v>
      </c>
      <c r="H280" s="6" t="s">
        <v>1793</v>
      </c>
      <c r="I280" s="6" t="s">
        <v>1527</v>
      </c>
      <c r="J280" s="6" t="s">
        <v>1528</v>
      </c>
      <c r="K280" s="8">
        <v>777740076</v>
      </c>
      <c r="L280" s="6" t="s">
        <v>197</v>
      </c>
      <c r="M280" s="6" t="s">
        <v>62</v>
      </c>
      <c r="N280" s="6" t="s">
        <v>63</v>
      </c>
      <c r="O280" s="8" t="s">
        <v>804</v>
      </c>
      <c r="P280" s="6"/>
      <c r="Q280" s="6" t="str">
        <f>VLOOKUP(G280,seznampsc!A:B,2,FALSE)</f>
        <v>Liberec</v>
      </c>
      <c r="R280" s="6" t="str">
        <f>VLOOKUP(G280,seznampsc!A:C,3,FALSE)</f>
        <v>Liberecký kraj</v>
      </c>
      <c r="S280" s="6">
        <v>50.767130000000002</v>
      </c>
      <c r="T280" s="6">
        <v>15.069789999999999</v>
      </c>
      <c r="U280" s="6"/>
      <c r="V280" s="6"/>
      <c r="W280" s="6"/>
      <c r="X280" s="6"/>
      <c r="Y280" s="6"/>
      <c r="Z280" s="6"/>
      <c r="AA280" s="6"/>
      <c r="AB280" s="6"/>
      <c r="AC280" s="6"/>
      <c r="AD280" s="6">
        <v>670</v>
      </c>
      <c r="AE280" s="6">
        <v>670</v>
      </c>
      <c r="AF280" s="6">
        <v>670</v>
      </c>
      <c r="AG280" s="6"/>
      <c r="AH280" s="6"/>
      <c r="AI280" s="6"/>
      <c r="AJ280" s="6">
        <v>107</v>
      </c>
      <c r="AK280" s="6">
        <v>116</v>
      </c>
      <c r="AL280" s="6"/>
      <c r="AM280" s="6"/>
      <c r="AN280" s="6"/>
      <c r="AO280" s="6"/>
      <c r="AP280" s="6"/>
      <c r="AQ280" s="6">
        <v>10</v>
      </c>
      <c r="AR280" s="6"/>
      <c r="AS280" s="6"/>
      <c r="AT280" s="6"/>
      <c r="AV280" s="10">
        <v>200000</v>
      </c>
    </row>
    <row r="281" spans="1:49" ht="24" customHeight="1" x14ac:dyDescent="0.3">
      <c r="B281" s="6" t="s">
        <v>65</v>
      </c>
      <c r="C281" s="6" t="s">
        <v>1405</v>
      </c>
      <c r="D281" s="6">
        <v>12871117</v>
      </c>
      <c r="E281" s="6" t="s">
        <v>1406</v>
      </c>
      <c r="F281" s="6" t="s">
        <v>1794</v>
      </c>
      <c r="G281" s="6">
        <v>35601</v>
      </c>
      <c r="H281" s="6" t="s">
        <v>878</v>
      </c>
      <c r="I281" s="6" t="s">
        <v>1795</v>
      </c>
      <c r="J281" s="7" t="s">
        <v>1796</v>
      </c>
      <c r="K281" s="8">
        <v>352350929.35235</v>
      </c>
      <c r="L281" s="6" t="s">
        <v>586</v>
      </c>
      <c r="M281" s="6" t="s">
        <v>1797</v>
      </c>
      <c r="N281" s="6" t="s">
        <v>63</v>
      </c>
      <c r="O281" s="6" t="s">
        <v>804</v>
      </c>
      <c r="P281" s="6"/>
      <c r="Q281" s="6" t="str">
        <f>VLOOKUP(G281,seznampsc!A:B,2,FALSE)</f>
        <v>Sokolov</v>
      </c>
      <c r="R281" s="6" t="str">
        <f>VLOOKUP(G281,seznampsc!A:C,3,FALSE)</f>
        <v>Karlovarský kraj</v>
      </c>
      <c r="S281" s="6" t="s">
        <v>1798</v>
      </c>
      <c r="T281" s="6" t="s">
        <v>1799</v>
      </c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8"/>
      <c r="AW281" s="3">
        <v>620</v>
      </c>
    </row>
    <row r="282" spans="1:49" ht="24" customHeight="1" x14ac:dyDescent="0.3">
      <c r="A282" s="6" t="s">
        <v>53</v>
      </c>
      <c r="B282" s="6" t="s">
        <v>65</v>
      </c>
      <c r="C282" s="6" t="s">
        <v>1800</v>
      </c>
      <c r="D282" s="6">
        <v>25319256</v>
      </c>
      <c r="E282" s="6" t="s">
        <v>1801</v>
      </c>
      <c r="F282" s="6" t="s">
        <v>1802</v>
      </c>
      <c r="G282" s="6">
        <v>76317</v>
      </c>
      <c r="H282" s="6" t="s">
        <v>1803</v>
      </c>
      <c r="I282" s="6" t="s">
        <v>1804</v>
      </c>
      <c r="J282" s="6" t="s">
        <v>1805</v>
      </c>
      <c r="K282" s="6">
        <v>577911490</v>
      </c>
      <c r="L282" s="6" t="s">
        <v>73</v>
      </c>
      <c r="M282" s="6" t="s">
        <v>62</v>
      </c>
      <c r="N282" s="6" t="s">
        <v>63</v>
      </c>
      <c r="O282" s="6" t="s">
        <v>198</v>
      </c>
      <c r="P282" s="6"/>
      <c r="Q282" s="6" t="str">
        <f>VLOOKUP(G282,seznampsc!A:B,2,FALSE)</f>
        <v>Zlín</v>
      </c>
      <c r="R282" s="6" t="str">
        <f>VLOOKUP(G282,seznampsc!A:C,3,FALSE)</f>
        <v>Zlínský kraj</v>
      </c>
      <c r="S282" s="6" t="s">
        <v>1806</v>
      </c>
      <c r="T282" s="6" t="s">
        <v>1807</v>
      </c>
      <c r="U282" s="6"/>
      <c r="V282" s="6"/>
      <c r="W282" s="6"/>
      <c r="X282" s="6"/>
      <c r="Y282" s="6"/>
      <c r="Z282" s="6"/>
      <c r="AA282" s="6"/>
      <c r="AB282" s="6"/>
      <c r="AC282" s="6"/>
      <c r="AD282" s="6">
        <v>550</v>
      </c>
      <c r="AE282" s="6">
        <v>550</v>
      </c>
      <c r="AF282" s="6">
        <v>650</v>
      </c>
      <c r="AG282" s="6"/>
      <c r="AH282" s="6"/>
      <c r="AI282" s="6"/>
      <c r="AJ282" s="6">
        <v>107</v>
      </c>
      <c r="AK282" s="6">
        <v>116</v>
      </c>
      <c r="AL282" s="6"/>
      <c r="AM282" s="6"/>
      <c r="AN282" s="6"/>
      <c r="AO282" s="6"/>
      <c r="AP282" s="6"/>
      <c r="AQ282" s="6">
        <v>5</v>
      </c>
      <c r="AR282" s="6"/>
      <c r="AS282" s="6"/>
      <c r="AT282" s="6"/>
      <c r="AV282" s="3">
        <v>50000</v>
      </c>
    </row>
    <row r="283" spans="1:49" ht="24" customHeight="1" x14ac:dyDescent="0.3">
      <c r="A283" s="3" t="s">
        <v>53</v>
      </c>
      <c r="B283" s="3" t="s">
        <v>65</v>
      </c>
      <c r="C283" s="3" t="s">
        <v>1808</v>
      </c>
      <c r="D283" s="3">
        <v>28742249</v>
      </c>
      <c r="E283" s="3" t="s">
        <v>1809</v>
      </c>
      <c r="F283" s="3" t="s">
        <v>1810</v>
      </c>
      <c r="G283" s="3">
        <v>46802</v>
      </c>
      <c r="H283" s="3" t="s">
        <v>1811</v>
      </c>
      <c r="I283" s="3" t="s">
        <v>1812</v>
      </c>
      <c r="J283" s="3" t="s">
        <v>1813</v>
      </c>
      <c r="K283" s="3">
        <v>777199894</v>
      </c>
      <c r="L283" s="3" t="s">
        <v>73</v>
      </c>
      <c r="M283" s="3" t="s">
        <v>62</v>
      </c>
      <c r="N283" s="3" t="s">
        <v>63</v>
      </c>
      <c r="O283" s="3" t="s">
        <v>64</v>
      </c>
      <c r="Q283" s="6" t="str">
        <f>VLOOKUP(G283,seznampsc!A:B,2,FALSE)</f>
        <v>Jablonec nad Nisou</v>
      </c>
      <c r="R283" s="6" t="str">
        <f>VLOOKUP(G283,seznampsc!A:C,3,FALSE)</f>
        <v>Liberecký kraj</v>
      </c>
      <c r="S283" s="6">
        <v>50.692779999999999</v>
      </c>
      <c r="T283" s="6">
        <v>15.14733</v>
      </c>
      <c r="U283" s="6"/>
      <c r="V283" s="6"/>
      <c r="W283" s="6"/>
      <c r="X283" s="6"/>
      <c r="Y283" s="6"/>
      <c r="Z283" s="6"/>
      <c r="AA283" s="6"/>
      <c r="AB283" s="6"/>
      <c r="AC283" s="6"/>
      <c r="AD283" s="6">
        <v>600</v>
      </c>
      <c r="AE283" s="6">
        <v>600</v>
      </c>
      <c r="AF283" s="6">
        <v>680</v>
      </c>
      <c r="AG283" s="6"/>
      <c r="AH283" s="6"/>
      <c r="AI283" s="6"/>
      <c r="AJ283" s="6">
        <v>107</v>
      </c>
      <c r="AK283" s="6">
        <v>116</v>
      </c>
      <c r="AL283" s="6"/>
      <c r="AM283" s="6"/>
      <c r="AN283" s="6"/>
      <c r="AO283" s="6"/>
      <c r="AP283" s="6"/>
      <c r="AQ283" s="6">
        <v>8</v>
      </c>
      <c r="AR283" s="6"/>
      <c r="AS283" s="6"/>
      <c r="AT283" s="6"/>
      <c r="AV283" s="3">
        <v>100000</v>
      </c>
    </row>
    <row r="284" spans="1:49" ht="24" customHeight="1" x14ac:dyDescent="0.3">
      <c r="A284" s="3" t="s">
        <v>53</v>
      </c>
      <c r="B284" s="3" t="s">
        <v>54</v>
      </c>
      <c r="C284" s="3" t="s">
        <v>55</v>
      </c>
      <c r="D284" s="3" t="s">
        <v>1814</v>
      </c>
      <c r="E284" s="3" t="s">
        <v>1815</v>
      </c>
      <c r="F284" s="3" t="s">
        <v>1816</v>
      </c>
      <c r="G284" s="3">
        <v>38701</v>
      </c>
      <c r="H284" s="3" t="s">
        <v>1817</v>
      </c>
      <c r="I284" s="3" t="s">
        <v>1818</v>
      </c>
      <c r="J284" s="3" t="s">
        <v>1819</v>
      </c>
      <c r="K284" s="3">
        <v>724131650</v>
      </c>
      <c r="L284" s="3" t="s">
        <v>61</v>
      </c>
      <c r="M284" s="6" t="s">
        <v>62</v>
      </c>
      <c r="N284" s="6" t="s">
        <v>63</v>
      </c>
      <c r="O284" s="3" t="s">
        <v>64</v>
      </c>
      <c r="Q284" s="6" t="str">
        <f>VLOOKUP(G284,seznampsc!A:B,2,FALSE)</f>
        <v>Strakonice</v>
      </c>
      <c r="R284" s="6" t="str">
        <f>VLOOKUP(G284,seznampsc!A:C,3,FALSE)</f>
        <v>Jihočeský kraj</v>
      </c>
      <c r="S284" s="6" t="s">
        <v>1820</v>
      </c>
      <c r="T284" s="6" t="s">
        <v>1821</v>
      </c>
      <c r="U284" s="6"/>
      <c r="V284" s="6"/>
      <c r="W284" s="6"/>
      <c r="X284" s="6"/>
      <c r="Y284" s="6"/>
      <c r="Z284" s="6"/>
      <c r="AA284" s="6"/>
      <c r="AB284" s="6"/>
      <c r="AC284" s="6"/>
      <c r="AD284" s="6">
        <v>680</v>
      </c>
      <c r="AE284" s="6">
        <v>680</v>
      </c>
      <c r="AF284" s="6">
        <v>680</v>
      </c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>
        <v>10</v>
      </c>
      <c r="AR284" s="6"/>
      <c r="AS284" s="6"/>
      <c r="AT284" s="6"/>
      <c r="AV284" s="3">
        <v>100000</v>
      </c>
    </row>
    <row r="285" spans="1:49" ht="24" customHeight="1" x14ac:dyDescent="0.3">
      <c r="A285" s="6"/>
      <c r="B285" s="6" t="s">
        <v>65</v>
      </c>
      <c r="C285" s="6" t="s">
        <v>1822</v>
      </c>
      <c r="D285" s="6">
        <v>61055239</v>
      </c>
      <c r="E285" s="6" t="s">
        <v>1823</v>
      </c>
      <c r="F285" s="6" t="s">
        <v>1824</v>
      </c>
      <c r="G285" s="6">
        <v>38601</v>
      </c>
      <c r="H285" s="6" t="s">
        <v>1825</v>
      </c>
      <c r="I285" s="6"/>
      <c r="J285" s="6" t="s">
        <v>1826</v>
      </c>
      <c r="K285" s="6" t="s">
        <v>1827</v>
      </c>
      <c r="L285" s="6" t="s">
        <v>1630</v>
      </c>
      <c r="M285" s="6" t="s">
        <v>1828</v>
      </c>
      <c r="N285" s="6" t="s">
        <v>63</v>
      </c>
      <c r="O285" s="6" t="s">
        <v>1829</v>
      </c>
      <c r="P285" s="6"/>
      <c r="Q285" s="6" t="str">
        <f>VLOOKUP(G285,seznampsc!A:B,2,FALSE)</f>
        <v>Strakonice</v>
      </c>
      <c r="R285" s="6" t="str">
        <f>VLOOKUP(G285,seznampsc!A:C,3,FALSE)</f>
        <v>Jihočeský kraj</v>
      </c>
      <c r="S285" s="6" t="s">
        <v>1830</v>
      </c>
      <c r="T285" s="6" t="s">
        <v>1831</v>
      </c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V285" s="10">
        <v>200000</v>
      </c>
    </row>
    <row r="286" spans="1:49" ht="24" customHeight="1" x14ac:dyDescent="0.3">
      <c r="A286" s="6" t="s">
        <v>53</v>
      </c>
      <c r="B286" s="6" t="s">
        <v>65</v>
      </c>
      <c r="C286" s="6" t="s">
        <v>1832</v>
      </c>
      <c r="D286" s="6">
        <v>1679163</v>
      </c>
      <c r="E286" s="6" t="s">
        <v>1833</v>
      </c>
      <c r="F286" s="6" t="s">
        <v>1834</v>
      </c>
      <c r="G286" s="6">
        <v>28401</v>
      </c>
      <c r="H286" s="6" t="s">
        <v>1835</v>
      </c>
      <c r="I286" s="6" t="s">
        <v>1836</v>
      </c>
      <c r="J286" s="6" t="s">
        <v>1837</v>
      </c>
      <c r="K286" s="6">
        <v>728181181.60238695</v>
      </c>
      <c r="L286" s="6" t="s">
        <v>73</v>
      </c>
      <c r="M286" s="6" t="s">
        <v>62</v>
      </c>
      <c r="N286" s="6" t="s">
        <v>63</v>
      </c>
      <c r="O286" s="6" t="s">
        <v>1838</v>
      </c>
      <c r="Q286" s="6" t="str">
        <f>VLOOKUP(G286,seznampsc!A:B,2,FALSE)</f>
        <v>Kutná Hora</v>
      </c>
      <c r="R286" s="6" t="str">
        <f>VLOOKUP(G286,seznampsc!A:C,3,FALSE)</f>
        <v>Středočeský kraj</v>
      </c>
      <c r="S286" s="6">
        <v>49.951689999999999</v>
      </c>
      <c r="T286" s="6">
        <v>15.265980000000001</v>
      </c>
      <c r="U286" s="6">
        <v>10</v>
      </c>
      <c r="V286" s="6"/>
      <c r="W286" s="6"/>
      <c r="X286" s="6">
        <v>1500</v>
      </c>
      <c r="Y286" s="6">
        <v>800</v>
      </c>
      <c r="Z286" s="6">
        <v>1200</v>
      </c>
      <c r="AA286" s="6"/>
      <c r="AB286" s="6"/>
      <c r="AC286" s="6"/>
      <c r="AD286" s="6">
        <v>650</v>
      </c>
      <c r="AE286" s="6">
        <v>650</v>
      </c>
      <c r="AF286" s="6">
        <v>650</v>
      </c>
      <c r="AG286" s="6"/>
      <c r="AH286" s="6"/>
      <c r="AI286" s="6"/>
      <c r="AJ286" s="6">
        <v>107</v>
      </c>
      <c r="AK286" s="6">
        <v>116</v>
      </c>
      <c r="AL286" s="6"/>
      <c r="AM286" s="6"/>
      <c r="AN286" s="6"/>
      <c r="AO286" s="6"/>
      <c r="AP286" s="6"/>
      <c r="AQ286" s="6">
        <v>5</v>
      </c>
      <c r="AR286" s="6"/>
      <c r="AS286" s="6"/>
      <c r="AT286" s="6"/>
      <c r="AV286" s="3">
        <v>50000</v>
      </c>
    </row>
    <row r="287" spans="1:49" ht="24" customHeight="1" x14ac:dyDescent="0.3">
      <c r="A287" s="6"/>
      <c r="B287" s="6" t="s">
        <v>65</v>
      </c>
      <c r="C287" s="6" t="s">
        <v>1839</v>
      </c>
      <c r="D287" s="6">
        <v>25489402</v>
      </c>
      <c r="E287" s="6" t="s">
        <v>1840</v>
      </c>
      <c r="F287" s="6" t="s">
        <v>1841</v>
      </c>
      <c r="G287" s="6">
        <v>44001</v>
      </c>
      <c r="H287" s="6" t="s">
        <v>440</v>
      </c>
      <c r="I287" s="6" t="s">
        <v>1842</v>
      </c>
      <c r="J287" s="6" t="s">
        <v>1843</v>
      </c>
      <c r="K287" s="6" t="s">
        <v>1844</v>
      </c>
      <c r="L287" s="6" t="s">
        <v>586</v>
      </c>
      <c r="M287" s="6" t="s">
        <v>1845</v>
      </c>
      <c r="N287" s="6" t="s">
        <v>63</v>
      </c>
      <c r="O287" s="6" t="s">
        <v>1846</v>
      </c>
      <c r="P287" s="6"/>
      <c r="Q287" s="6" t="str">
        <f>VLOOKUP(G287,seznampsc!A:B,2,FALSE)</f>
        <v>Louny</v>
      </c>
      <c r="R287" s="6" t="str">
        <f>VLOOKUP(G287,seznampsc!A:C,3,FALSE)</f>
        <v>Ústecký kraj</v>
      </c>
      <c r="S287" s="6">
        <v>50.411520000000003</v>
      </c>
      <c r="T287" s="6">
        <v>14.17409</v>
      </c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V287" s="10">
        <v>200000</v>
      </c>
    </row>
    <row r="288" spans="1:49" ht="24" customHeight="1" x14ac:dyDescent="0.3">
      <c r="A288" s="6"/>
      <c r="B288" s="6" t="s">
        <v>65</v>
      </c>
      <c r="C288" s="6" t="s">
        <v>1847</v>
      </c>
      <c r="D288" s="6">
        <v>25951815</v>
      </c>
      <c r="E288" s="6" t="s">
        <v>1848</v>
      </c>
      <c r="F288" s="6" t="s">
        <v>1849</v>
      </c>
      <c r="G288" s="6">
        <v>51243</v>
      </c>
      <c r="H288" s="6" t="s">
        <v>1850</v>
      </c>
      <c r="I288" s="6" t="s">
        <v>1851</v>
      </c>
      <c r="J288" s="6" t="s">
        <v>1852</v>
      </c>
      <c r="K288" s="6">
        <v>481591058</v>
      </c>
      <c r="L288" s="6" t="s">
        <v>586</v>
      </c>
      <c r="M288" s="6" t="s">
        <v>1853</v>
      </c>
      <c r="N288" s="6" t="s">
        <v>63</v>
      </c>
      <c r="O288" s="6" t="s">
        <v>1854</v>
      </c>
      <c r="P288" s="6"/>
      <c r="Q288" s="6" t="str">
        <f>VLOOKUP(G288,seznampsc!A:B,2,FALSE)</f>
        <v>Semily</v>
      </c>
      <c r="R288" s="6" t="str">
        <f>VLOOKUP(G288,seznampsc!A:C,3,FALSE)</f>
        <v>Liberecký kraj</v>
      </c>
      <c r="S288" s="6">
        <v>50.69999</v>
      </c>
      <c r="T288" s="6">
        <v>15.433680000000001</v>
      </c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V288" s="10">
        <v>200000</v>
      </c>
    </row>
    <row r="289" spans="1:48" ht="24" customHeight="1" x14ac:dyDescent="0.3">
      <c r="B289" s="6" t="s">
        <v>65</v>
      </c>
      <c r="C289" s="6" t="s">
        <v>1855</v>
      </c>
      <c r="D289" s="6">
        <v>25997289</v>
      </c>
      <c r="E289" s="6" t="s">
        <v>1856</v>
      </c>
      <c r="F289" s="6" t="s">
        <v>1857</v>
      </c>
      <c r="G289" s="6">
        <v>54401</v>
      </c>
      <c r="H289" s="6" t="s">
        <v>1858</v>
      </c>
      <c r="I289" s="6" t="s">
        <v>149</v>
      </c>
      <c r="J289" s="6" t="s">
        <v>1859</v>
      </c>
      <c r="K289" s="8">
        <v>606181840</v>
      </c>
      <c r="L289" s="6" t="s">
        <v>151</v>
      </c>
      <c r="M289" s="6" t="s">
        <v>134</v>
      </c>
      <c r="N289" s="3" t="s">
        <v>63</v>
      </c>
      <c r="P289" s="6"/>
      <c r="Q289" s="6" t="str">
        <f>VLOOKUP(G289,seznampsc!A:B,2,FALSE)</f>
        <v>Trutnov</v>
      </c>
      <c r="R289" s="6" t="str">
        <f>VLOOKUP(G289,seznampsc!A:C,3,FALSE)</f>
        <v>Královéhradecký kraj</v>
      </c>
      <c r="AU289" s="6"/>
    </row>
    <row r="290" spans="1:48" ht="24" customHeight="1" x14ac:dyDescent="0.3">
      <c r="A290" s="6"/>
      <c r="B290" s="6" t="s">
        <v>65</v>
      </c>
      <c r="C290" s="6" t="s">
        <v>1855</v>
      </c>
      <c r="D290" s="6">
        <v>25997289</v>
      </c>
      <c r="E290" s="6" t="s">
        <v>1856</v>
      </c>
      <c r="F290" s="6" t="s">
        <v>1857</v>
      </c>
      <c r="G290" s="6">
        <v>54401</v>
      </c>
      <c r="H290" s="6" t="s">
        <v>1858</v>
      </c>
      <c r="I290" s="6" t="s">
        <v>1860</v>
      </c>
      <c r="J290" s="6" t="s">
        <v>1859</v>
      </c>
      <c r="K290" s="6">
        <v>606181840</v>
      </c>
      <c r="L290" s="6" t="s">
        <v>586</v>
      </c>
      <c r="M290" s="6" t="s">
        <v>1861</v>
      </c>
      <c r="N290" s="6" t="s">
        <v>63</v>
      </c>
      <c r="O290" s="6" t="s">
        <v>1862</v>
      </c>
      <c r="P290" s="6"/>
      <c r="Q290" s="6" t="str">
        <f>VLOOKUP(G290,seznampsc!A:B,2,FALSE)</f>
        <v>Trutnov</v>
      </c>
      <c r="R290" s="6" t="str">
        <f>VLOOKUP(G290,seznampsc!A:C,3,FALSE)</f>
        <v>Královéhradecký kraj</v>
      </c>
      <c r="S290" s="6">
        <v>50.429319999999997</v>
      </c>
      <c r="T290" s="6">
        <v>15.818429999999999</v>
      </c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V290" s="10">
        <v>200000</v>
      </c>
    </row>
    <row r="291" spans="1:48" ht="24" customHeight="1" x14ac:dyDescent="0.3">
      <c r="A291" s="3" t="s">
        <v>53</v>
      </c>
      <c r="B291" s="3" t="s">
        <v>65</v>
      </c>
      <c r="C291" s="6" t="s">
        <v>1863</v>
      </c>
      <c r="D291" s="6">
        <v>8521158</v>
      </c>
      <c r="E291" s="6" t="s">
        <v>1864</v>
      </c>
      <c r="F291" s="6" t="s">
        <v>1865</v>
      </c>
      <c r="G291" s="6">
        <v>66434</v>
      </c>
      <c r="H291" s="6" t="s">
        <v>1866</v>
      </c>
      <c r="I291" s="6" t="s">
        <v>1867</v>
      </c>
      <c r="J291" s="7" t="s">
        <v>1868</v>
      </c>
      <c r="K291" s="8">
        <v>602707444</v>
      </c>
      <c r="L291" s="3" t="s">
        <v>73</v>
      </c>
      <c r="M291" s="3" t="s">
        <v>62</v>
      </c>
      <c r="N291" s="6" t="s">
        <v>63</v>
      </c>
      <c r="O291" s="6" t="s">
        <v>804</v>
      </c>
      <c r="Q291" s="6" t="str">
        <f>VLOOKUP(G291,seznampsc!A:B,2,FALSE)</f>
        <v>Brno-město</v>
      </c>
      <c r="R291" s="6" t="str">
        <f>VLOOKUP(G291,seznampsc!A:C,3,FALSE)</f>
        <v>Jihomoravský kraj</v>
      </c>
      <c r="S291" s="6">
        <v>49.916049999999998</v>
      </c>
      <c r="T291" s="6">
        <v>15.797090000000001</v>
      </c>
      <c r="U291" s="6"/>
      <c r="V291" s="6"/>
      <c r="W291" s="6"/>
      <c r="X291" s="6"/>
      <c r="Y291" s="6"/>
      <c r="Z291" s="6"/>
      <c r="AA291" s="6"/>
      <c r="AB291" s="6"/>
      <c r="AC291" s="6"/>
      <c r="AD291" s="6">
        <v>850</v>
      </c>
      <c r="AE291" s="6">
        <v>850</v>
      </c>
      <c r="AF291" s="6">
        <v>850</v>
      </c>
      <c r="AG291" s="6"/>
      <c r="AH291" s="6">
        <v>107</v>
      </c>
      <c r="AI291" s="6">
        <v>116</v>
      </c>
      <c r="AJ291" s="6"/>
      <c r="AK291" s="6"/>
      <c r="AL291" s="6"/>
      <c r="AM291" s="6"/>
      <c r="AN291" s="6"/>
      <c r="AO291" s="6"/>
      <c r="AP291" s="6">
        <v>5</v>
      </c>
      <c r="AQ291" s="6">
        <v>3</v>
      </c>
      <c r="AR291" s="6">
        <v>5</v>
      </c>
      <c r="AS291" s="6"/>
      <c r="AT291" s="6"/>
      <c r="AV291" s="3">
        <v>100000</v>
      </c>
    </row>
    <row r="292" spans="1:48" ht="24" customHeight="1" x14ac:dyDescent="0.3">
      <c r="A292" s="6"/>
      <c r="B292" s="6" t="s">
        <v>65</v>
      </c>
      <c r="C292" s="6" t="s">
        <v>1869</v>
      </c>
      <c r="D292" s="6">
        <v>27752747</v>
      </c>
      <c r="E292" s="6" t="s">
        <v>1870</v>
      </c>
      <c r="F292" s="6" t="s">
        <v>1865</v>
      </c>
      <c r="G292" s="6">
        <v>66434</v>
      </c>
      <c r="H292" s="6" t="s">
        <v>1866</v>
      </c>
      <c r="I292" s="6" t="s">
        <v>1867</v>
      </c>
      <c r="J292" s="7" t="s">
        <v>1868</v>
      </c>
      <c r="K292" s="8">
        <v>602707444</v>
      </c>
      <c r="L292" s="6" t="s">
        <v>586</v>
      </c>
      <c r="M292" s="6" t="s">
        <v>349</v>
      </c>
      <c r="N292" s="6" t="s">
        <v>63</v>
      </c>
      <c r="O292" s="6" t="s">
        <v>804</v>
      </c>
      <c r="P292" s="6"/>
      <c r="Q292" s="6" t="str">
        <f>VLOOKUP(G292,seznampsc!A:B,2,FALSE)</f>
        <v>Brno-město</v>
      </c>
      <c r="R292" s="6" t="str">
        <f>VLOOKUP(G292,seznampsc!A:C,3,FALSE)</f>
        <v>Jihomoravský kraj</v>
      </c>
      <c r="S292" s="6">
        <v>49.193399999999997</v>
      </c>
      <c r="T292" s="6">
        <v>16.843820000000001</v>
      </c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V292" s="10">
        <v>200000</v>
      </c>
    </row>
    <row r="293" spans="1:48" ht="24" customHeight="1" x14ac:dyDescent="0.3">
      <c r="A293" s="6"/>
      <c r="B293" s="6" t="s">
        <v>65</v>
      </c>
      <c r="C293" s="6" t="s">
        <v>1871</v>
      </c>
      <c r="D293" s="6">
        <v>44015208</v>
      </c>
      <c r="E293" s="6" t="s">
        <v>1872</v>
      </c>
      <c r="F293" s="6" t="s">
        <v>1873</v>
      </c>
      <c r="G293" s="6">
        <v>62800</v>
      </c>
      <c r="H293" s="6" t="s">
        <v>272</v>
      </c>
      <c r="I293" s="6" t="s">
        <v>1874</v>
      </c>
      <c r="J293" s="6" t="s">
        <v>1875</v>
      </c>
      <c r="K293" s="6">
        <v>602139307.54442406</v>
      </c>
      <c r="L293" s="6" t="s">
        <v>586</v>
      </c>
      <c r="M293" s="6" t="s">
        <v>134</v>
      </c>
      <c r="N293" s="6" t="s">
        <v>63</v>
      </c>
      <c r="O293" s="6" t="s">
        <v>1876</v>
      </c>
      <c r="P293" s="6"/>
      <c r="Q293" s="6" t="str">
        <f>VLOOKUP(G293,seznampsc!A:B,2,FALSE)</f>
        <v>Brno-město</v>
      </c>
      <c r="R293" s="6" t="str">
        <f>VLOOKUP(G293,seznampsc!A:C,3,FALSE)</f>
        <v>Jihomoravský kraj</v>
      </c>
      <c r="S293" s="6">
        <v>49.14911</v>
      </c>
      <c r="T293" s="6">
        <v>16.58766</v>
      </c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V293" s="10">
        <v>200000</v>
      </c>
    </row>
    <row r="294" spans="1:48" ht="24" customHeight="1" x14ac:dyDescent="0.3">
      <c r="A294" s="6"/>
      <c r="B294" s="6" t="s">
        <v>65</v>
      </c>
      <c r="C294" s="6" t="s">
        <v>1871</v>
      </c>
      <c r="D294" s="6">
        <v>44015208</v>
      </c>
      <c r="E294" s="6" t="s">
        <v>1872</v>
      </c>
      <c r="F294" s="6" t="s">
        <v>1877</v>
      </c>
      <c r="G294" s="6">
        <v>68001</v>
      </c>
      <c r="H294" s="6" t="s">
        <v>1878</v>
      </c>
      <c r="I294" s="6" t="s">
        <v>1879</v>
      </c>
      <c r="J294" s="6" t="s">
        <v>1880</v>
      </c>
      <c r="K294" s="6">
        <v>777703753</v>
      </c>
      <c r="L294" s="6" t="s">
        <v>586</v>
      </c>
      <c r="M294" s="6" t="s">
        <v>134</v>
      </c>
      <c r="N294" s="6" t="s">
        <v>63</v>
      </c>
      <c r="O294" s="6" t="s">
        <v>1876</v>
      </c>
      <c r="P294" s="6"/>
      <c r="Q294" s="6" t="str">
        <f>VLOOKUP(G294,seznampsc!A:B,2,FALSE)</f>
        <v>Blansko</v>
      </c>
      <c r="R294" s="6" t="str">
        <f>VLOOKUP(G294,seznampsc!A:C,3,FALSE)</f>
        <v>Jihomoravský kraj</v>
      </c>
      <c r="S294" s="6" t="s">
        <v>1881</v>
      </c>
      <c r="T294" s="6" t="s">
        <v>1882</v>
      </c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V294" s="10">
        <v>200000</v>
      </c>
    </row>
    <row r="295" spans="1:48" ht="24" customHeight="1" x14ac:dyDescent="0.3">
      <c r="A295" s="6" t="s">
        <v>53</v>
      </c>
      <c r="B295" s="6" t="s">
        <v>65</v>
      </c>
      <c r="C295" s="6" t="s">
        <v>1883</v>
      </c>
      <c r="D295" s="6" t="s">
        <v>1884</v>
      </c>
      <c r="E295" s="6" t="s">
        <v>1885</v>
      </c>
      <c r="F295" s="6" t="s">
        <v>1886</v>
      </c>
      <c r="G295" s="6">
        <v>14000</v>
      </c>
      <c r="H295" s="6" t="s">
        <v>1887</v>
      </c>
      <c r="I295" s="6" t="s">
        <v>1888</v>
      </c>
      <c r="J295" s="6" t="s">
        <v>1889</v>
      </c>
      <c r="K295" s="6">
        <v>777232469</v>
      </c>
      <c r="L295" s="6" t="s">
        <v>73</v>
      </c>
      <c r="M295" s="6" t="s">
        <v>62</v>
      </c>
      <c r="N295" s="6" t="s">
        <v>63</v>
      </c>
      <c r="O295" s="6" t="s">
        <v>1890</v>
      </c>
      <c r="Q295" s="6" t="str">
        <f>VLOOKUP(G295,seznampsc!A:B,2,FALSE)</f>
        <v>Hlavní město Praha</v>
      </c>
      <c r="R295" s="6" t="str">
        <f>VLOOKUP(G295,seznampsc!A:C,3,FALSE)</f>
        <v>Hlavní město Praha</v>
      </c>
      <c r="S295" s="6">
        <v>50.095370000000003</v>
      </c>
      <c r="T295" s="6">
        <v>14.49485</v>
      </c>
      <c r="U295" s="6"/>
      <c r="V295" s="6"/>
      <c r="W295" s="6"/>
      <c r="X295" s="6"/>
      <c r="Y295" s="6"/>
      <c r="Z295" s="6"/>
      <c r="AA295" s="6"/>
      <c r="AB295" s="6"/>
      <c r="AC295" s="6"/>
      <c r="AD295" s="6">
        <v>700</v>
      </c>
      <c r="AE295" s="6">
        <v>730</v>
      </c>
      <c r="AF295" s="6">
        <v>730</v>
      </c>
      <c r="AG295" s="6"/>
      <c r="AH295" s="6"/>
      <c r="AI295" s="6"/>
      <c r="AJ295" s="6">
        <v>107</v>
      </c>
      <c r="AK295" s="6">
        <v>107</v>
      </c>
      <c r="AL295" s="6"/>
      <c r="AM295" s="6"/>
      <c r="AN295" s="6"/>
      <c r="AO295" s="6"/>
      <c r="AP295" s="6">
        <v>0</v>
      </c>
      <c r="AQ295" s="6">
        <v>5</v>
      </c>
      <c r="AR295" s="6"/>
      <c r="AS295" s="6"/>
      <c r="AT295" s="6"/>
      <c r="AV295" s="3">
        <v>100000</v>
      </c>
    </row>
    <row r="296" spans="1:48" ht="24" customHeight="1" x14ac:dyDescent="0.3">
      <c r="A296" s="6"/>
      <c r="B296" s="6" t="s">
        <v>65</v>
      </c>
      <c r="C296" s="6" t="s">
        <v>1891</v>
      </c>
      <c r="D296" s="6" t="s">
        <v>1892</v>
      </c>
      <c r="E296" s="6" t="s">
        <v>1893</v>
      </c>
      <c r="F296" s="6" t="s">
        <v>1894</v>
      </c>
      <c r="G296" s="6">
        <v>25001</v>
      </c>
      <c r="H296" s="6" t="s">
        <v>1895</v>
      </c>
      <c r="I296" s="6" t="s">
        <v>1896</v>
      </c>
      <c r="J296" s="6" t="s">
        <v>1897</v>
      </c>
      <c r="K296" s="6">
        <v>602525989</v>
      </c>
      <c r="L296" s="6" t="s">
        <v>586</v>
      </c>
      <c r="M296" s="6" t="s">
        <v>1861</v>
      </c>
      <c r="N296" s="6" t="s">
        <v>63</v>
      </c>
      <c r="O296" s="6" t="s">
        <v>1052</v>
      </c>
      <c r="P296" s="6"/>
      <c r="Q296" s="6" t="str">
        <f>VLOOKUP(G296,seznampsc!A:B,2,FALSE)</f>
        <v>Praha-východ</v>
      </c>
      <c r="R296" s="6" t="str">
        <f>VLOOKUP(G296,seznampsc!A:C,3,FALSE)</f>
        <v>Středočeský kraj</v>
      </c>
      <c r="S296" s="6">
        <v>50.174230000000001</v>
      </c>
      <c r="T296" s="6">
        <v>14.64944</v>
      </c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V296" s="10">
        <v>200000</v>
      </c>
    </row>
    <row r="297" spans="1:48" ht="24" customHeight="1" x14ac:dyDescent="0.3">
      <c r="A297" s="6"/>
      <c r="B297" s="6" t="s">
        <v>65</v>
      </c>
      <c r="C297" s="6" t="s">
        <v>1891</v>
      </c>
      <c r="D297" s="6" t="s">
        <v>1892</v>
      </c>
      <c r="E297" s="6" t="s">
        <v>1893</v>
      </c>
      <c r="F297" s="6" t="s">
        <v>1898</v>
      </c>
      <c r="G297" s="6">
        <v>25001</v>
      </c>
      <c r="H297" s="6" t="s">
        <v>1895</v>
      </c>
      <c r="I297" s="6" t="s">
        <v>1899</v>
      </c>
      <c r="J297" s="6" t="s">
        <v>1900</v>
      </c>
      <c r="K297" s="6">
        <v>725025296</v>
      </c>
      <c r="L297" s="6" t="s">
        <v>586</v>
      </c>
      <c r="M297" s="6" t="s">
        <v>1901</v>
      </c>
      <c r="N297" s="6" t="s">
        <v>63</v>
      </c>
      <c r="O297" s="6" t="s">
        <v>1052</v>
      </c>
      <c r="P297" s="6"/>
      <c r="Q297" s="6" t="str">
        <f>VLOOKUP(G297,seznampsc!A:B,2,FALSE)</f>
        <v>Praha-východ</v>
      </c>
      <c r="R297" s="6" t="str">
        <f>VLOOKUP(G297,seznampsc!A:C,3,FALSE)</f>
        <v>Středočeský kraj</v>
      </c>
      <c r="S297" s="6">
        <v>50.175400000000003</v>
      </c>
      <c r="T297" s="6">
        <v>14.649929999999999</v>
      </c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V297" s="10">
        <v>200000</v>
      </c>
    </row>
    <row r="298" spans="1:48" ht="24" customHeight="1" x14ac:dyDescent="0.3">
      <c r="A298" s="6"/>
      <c r="B298" s="6" t="s">
        <v>65</v>
      </c>
      <c r="C298" s="6" t="s">
        <v>1902</v>
      </c>
      <c r="D298" s="6">
        <v>27489582</v>
      </c>
      <c r="E298" s="6" t="s">
        <v>1903</v>
      </c>
      <c r="F298" s="6" t="s">
        <v>1904</v>
      </c>
      <c r="G298" s="6">
        <v>54101</v>
      </c>
      <c r="H298" s="6" t="s">
        <v>1905</v>
      </c>
      <c r="I298" s="6" t="s">
        <v>1906</v>
      </c>
      <c r="J298" s="6" t="s">
        <v>1907</v>
      </c>
      <c r="K298" s="6">
        <v>775774734</v>
      </c>
      <c r="L298" s="6" t="s">
        <v>586</v>
      </c>
      <c r="M298" s="6" t="s">
        <v>134</v>
      </c>
      <c r="N298" s="6" t="s">
        <v>63</v>
      </c>
      <c r="O298" s="6" t="s">
        <v>804</v>
      </c>
      <c r="P298" s="6"/>
      <c r="Q298" s="6" t="str">
        <f>VLOOKUP(G298,seznampsc!A:B,2,FALSE)</f>
        <v>Trutnov</v>
      </c>
      <c r="R298" s="6" t="str">
        <f>VLOOKUP(G298,seznampsc!A:C,3,FALSE)</f>
        <v>Královéhradecký kraj</v>
      </c>
      <c r="S298" s="6">
        <v>50.571480000000001</v>
      </c>
      <c r="T298" s="6">
        <v>15.72747</v>
      </c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V298" s="10">
        <v>200000</v>
      </c>
    </row>
    <row r="299" spans="1:48" ht="24" customHeight="1" x14ac:dyDescent="0.3">
      <c r="A299" s="3" t="s">
        <v>53</v>
      </c>
      <c r="B299" s="3" t="s">
        <v>54</v>
      </c>
      <c r="C299" s="3" t="s">
        <v>55</v>
      </c>
      <c r="D299" s="3" t="s">
        <v>1189</v>
      </c>
      <c r="E299" s="3" t="s">
        <v>1908</v>
      </c>
      <c r="F299" s="3" t="s">
        <v>1909</v>
      </c>
      <c r="G299" s="3">
        <v>39201</v>
      </c>
      <c r="H299" s="3" t="s">
        <v>1910</v>
      </c>
      <c r="J299" s="3" t="s">
        <v>1911</v>
      </c>
      <c r="K299" s="3">
        <v>727863811</v>
      </c>
      <c r="L299" s="3" t="s">
        <v>61</v>
      </c>
      <c r="M299" s="6" t="s">
        <v>62</v>
      </c>
      <c r="N299" s="6" t="s">
        <v>63</v>
      </c>
      <c r="O299" s="3" t="s">
        <v>64</v>
      </c>
      <c r="Q299" s="6" t="str">
        <f>VLOOKUP(G299,seznampsc!A:B,2,FALSE)</f>
        <v>Tábor</v>
      </c>
      <c r="R299" s="6" t="str">
        <f>VLOOKUP(G299,seznampsc!A:C,3,FALSE)</f>
        <v>Jihočeský kraj</v>
      </c>
      <c r="S299" s="6">
        <v>49.280553599999998</v>
      </c>
      <c r="T299" s="6">
        <v>14.7161229</v>
      </c>
      <c r="U299" s="6"/>
      <c r="V299" s="6"/>
      <c r="W299" s="6"/>
      <c r="X299" s="6"/>
      <c r="Y299" s="6"/>
      <c r="Z299" s="6"/>
      <c r="AA299" s="6"/>
      <c r="AB299" s="6"/>
      <c r="AC299" s="6"/>
      <c r="AD299" s="6">
        <v>680</v>
      </c>
      <c r="AE299" s="6">
        <v>680</v>
      </c>
      <c r="AF299" s="6">
        <v>680</v>
      </c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>
        <v>10</v>
      </c>
      <c r="AR299" s="6"/>
      <c r="AS299" s="6"/>
      <c r="AT299" s="6"/>
      <c r="AV299" s="3">
        <v>100000</v>
      </c>
    </row>
    <row r="300" spans="1:48" ht="24" customHeight="1" x14ac:dyDescent="0.3">
      <c r="B300" s="6" t="s">
        <v>65</v>
      </c>
      <c r="C300" s="6" t="s">
        <v>1912</v>
      </c>
      <c r="D300" s="6">
        <v>25895443</v>
      </c>
      <c r="E300" s="6" t="s">
        <v>1913</v>
      </c>
      <c r="F300" s="6" t="s">
        <v>1914</v>
      </c>
      <c r="G300" s="6">
        <v>78701</v>
      </c>
      <c r="H300" s="6" t="s">
        <v>261</v>
      </c>
      <c r="I300" s="6" t="s">
        <v>149</v>
      </c>
      <c r="J300" s="6" t="s">
        <v>1915</v>
      </c>
      <c r="K300" s="8">
        <v>605248751</v>
      </c>
      <c r="L300" s="6" t="s">
        <v>151</v>
      </c>
      <c r="M300" s="6" t="s">
        <v>134</v>
      </c>
      <c r="N300" s="3" t="s">
        <v>63</v>
      </c>
      <c r="P300" s="6"/>
      <c r="Q300" s="6" t="str">
        <f>VLOOKUP(G300,seznampsc!A:B,2,FALSE)</f>
        <v>Šumperk</v>
      </c>
      <c r="R300" s="6" t="str">
        <f>VLOOKUP(G300,seznampsc!A:C,3,FALSE)</f>
        <v>Olomoucký kraj</v>
      </c>
      <c r="AU300" s="6"/>
    </row>
    <row r="301" spans="1:48" ht="24" customHeight="1" x14ac:dyDescent="0.3">
      <c r="B301" s="6" t="s">
        <v>65</v>
      </c>
      <c r="C301" s="6" t="s">
        <v>1912</v>
      </c>
      <c r="D301" s="6">
        <v>25895443</v>
      </c>
      <c r="E301" s="6" t="s">
        <v>1913</v>
      </c>
      <c r="F301" s="6" t="s">
        <v>1916</v>
      </c>
      <c r="G301" s="6">
        <v>77200</v>
      </c>
      <c r="H301" s="6" t="s">
        <v>265</v>
      </c>
      <c r="I301" s="6" t="s">
        <v>149</v>
      </c>
      <c r="J301" s="6" t="s">
        <v>1917</v>
      </c>
      <c r="K301" s="8">
        <v>605245836</v>
      </c>
      <c r="L301" s="6" t="s">
        <v>151</v>
      </c>
      <c r="M301" s="6" t="s">
        <v>134</v>
      </c>
      <c r="N301" s="3" t="s">
        <v>63</v>
      </c>
      <c r="P301" s="6"/>
      <c r="Q301" s="6" t="str">
        <f>VLOOKUP(G301,seznampsc!A:B,2,FALSE)</f>
        <v>Olomouc</v>
      </c>
      <c r="R301" s="6" t="str">
        <f>VLOOKUP(G301,seznampsc!A:C,3,FALSE)</f>
        <v>Olomoucký kraj</v>
      </c>
      <c r="AU301" s="6"/>
    </row>
    <row r="302" spans="1:48" ht="24" customHeight="1" x14ac:dyDescent="0.3">
      <c r="A302" s="6"/>
      <c r="B302" s="6" t="s">
        <v>65</v>
      </c>
      <c r="C302" s="6" t="s">
        <v>1912</v>
      </c>
      <c r="D302" s="6">
        <v>25895443</v>
      </c>
      <c r="E302" s="6" t="s">
        <v>1913</v>
      </c>
      <c r="F302" s="6" t="s">
        <v>1914</v>
      </c>
      <c r="G302" s="6">
        <v>78701</v>
      </c>
      <c r="H302" s="6" t="s">
        <v>261</v>
      </c>
      <c r="I302" s="6" t="s">
        <v>1918</v>
      </c>
      <c r="J302" s="6" t="s">
        <v>1915</v>
      </c>
      <c r="K302" s="6">
        <v>605248751</v>
      </c>
      <c r="L302" s="6" t="s">
        <v>586</v>
      </c>
      <c r="M302" s="6" t="s">
        <v>134</v>
      </c>
      <c r="N302" s="6" t="s">
        <v>63</v>
      </c>
      <c r="O302" s="6" t="s">
        <v>1919</v>
      </c>
      <c r="P302" s="6"/>
      <c r="Q302" s="6" t="str">
        <f>VLOOKUP(G302,seznampsc!A:B,2,FALSE)</f>
        <v>Šumperk</v>
      </c>
      <c r="R302" s="6" t="str">
        <f>VLOOKUP(G302,seznampsc!A:C,3,FALSE)</f>
        <v>Olomoucký kraj</v>
      </c>
      <c r="S302" s="6" t="s">
        <v>1920</v>
      </c>
      <c r="T302" s="6" t="s">
        <v>1921</v>
      </c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7" t="s">
        <v>1915</v>
      </c>
      <c r="AV302" s="10">
        <v>200000</v>
      </c>
    </row>
    <row r="303" spans="1:48" ht="24" customHeight="1" x14ac:dyDescent="0.3">
      <c r="A303" s="6"/>
      <c r="B303" s="6" t="s">
        <v>65</v>
      </c>
      <c r="C303" s="6" t="s">
        <v>1912</v>
      </c>
      <c r="D303" s="6">
        <v>25895443</v>
      </c>
      <c r="E303" s="6" t="s">
        <v>1913</v>
      </c>
      <c r="F303" s="6" t="s">
        <v>1916</v>
      </c>
      <c r="G303" s="6">
        <v>77200</v>
      </c>
      <c r="H303" s="6" t="s">
        <v>265</v>
      </c>
      <c r="I303" s="6" t="s">
        <v>1922</v>
      </c>
      <c r="J303" s="6" t="s">
        <v>1917</v>
      </c>
      <c r="K303" s="6">
        <v>605248755</v>
      </c>
      <c r="L303" s="6" t="s">
        <v>586</v>
      </c>
      <c r="M303" s="6" t="s">
        <v>134</v>
      </c>
      <c r="N303" s="6" t="s">
        <v>63</v>
      </c>
      <c r="O303" s="6" t="s">
        <v>1919</v>
      </c>
      <c r="P303" s="6"/>
      <c r="Q303" s="6" t="str">
        <f>VLOOKUP(G303,seznampsc!A:B,2,FALSE)</f>
        <v>Olomouc</v>
      </c>
      <c r="R303" s="6" t="str">
        <f>VLOOKUP(G303,seznampsc!A:C,3,FALSE)</f>
        <v>Olomoucký kraj</v>
      </c>
      <c r="S303" s="6" t="s">
        <v>1923</v>
      </c>
      <c r="T303" s="6" t="s">
        <v>1924</v>
      </c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7" t="s">
        <v>1917</v>
      </c>
      <c r="AV303" s="10">
        <v>200000</v>
      </c>
    </row>
    <row r="304" spans="1:48" ht="24" customHeight="1" x14ac:dyDescent="0.3">
      <c r="A304" s="6"/>
      <c r="B304" s="6" t="s">
        <v>65</v>
      </c>
      <c r="C304" s="6" t="s">
        <v>1925</v>
      </c>
      <c r="D304" s="6">
        <v>14614812</v>
      </c>
      <c r="E304" s="6" t="s">
        <v>1926</v>
      </c>
      <c r="F304" s="6" t="s">
        <v>1927</v>
      </c>
      <c r="G304" s="6">
        <v>74242</v>
      </c>
      <c r="H304" s="6" t="s">
        <v>1928</v>
      </c>
      <c r="I304" s="6" t="s">
        <v>1929</v>
      </c>
      <c r="J304" s="6" t="s">
        <v>1930</v>
      </c>
      <c r="K304" s="6" t="s">
        <v>1931</v>
      </c>
      <c r="L304" s="6" t="s">
        <v>586</v>
      </c>
      <c r="M304" s="6" t="s">
        <v>134</v>
      </c>
      <c r="N304" s="6" t="s">
        <v>63</v>
      </c>
      <c r="O304" s="6" t="s">
        <v>1932</v>
      </c>
      <c r="P304" s="6"/>
      <c r="Q304" s="6" t="str">
        <f>VLOOKUP(G304,seznampsc!A:B,2,FALSE)</f>
        <v>Nový Jičín</v>
      </c>
      <c r="R304" s="6" t="str">
        <f>VLOOKUP(G304,seznampsc!A:C,3,FALSE)</f>
        <v>Moravskoslezský kraj</v>
      </c>
      <c r="S304" s="6">
        <v>49.863430000000001</v>
      </c>
      <c r="T304" s="6">
        <v>18.363849999999999</v>
      </c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V304" s="10">
        <v>200000</v>
      </c>
    </row>
    <row r="305" spans="1:48" ht="24" customHeight="1" x14ac:dyDescent="0.3">
      <c r="A305" s="6"/>
      <c r="B305" s="6" t="s">
        <v>65</v>
      </c>
      <c r="C305" s="6" t="s">
        <v>1925</v>
      </c>
      <c r="D305" s="6">
        <v>14614812</v>
      </c>
      <c r="E305" s="6" t="s">
        <v>1926</v>
      </c>
      <c r="F305" s="6" t="s">
        <v>1933</v>
      </c>
      <c r="G305" s="6">
        <v>73801</v>
      </c>
      <c r="H305" s="6" t="s">
        <v>477</v>
      </c>
      <c r="I305" s="6" t="s">
        <v>1929</v>
      </c>
      <c r="J305" s="6" t="s">
        <v>1930</v>
      </c>
      <c r="K305" s="6" t="s">
        <v>1931</v>
      </c>
      <c r="L305" s="6" t="s">
        <v>586</v>
      </c>
      <c r="M305" s="6" t="s">
        <v>134</v>
      </c>
      <c r="N305" s="6" t="s">
        <v>63</v>
      </c>
      <c r="O305" s="6" t="s">
        <v>1932</v>
      </c>
      <c r="P305" s="6"/>
      <c r="Q305" s="6" t="str">
        <f>VLOOKUP(G305,seznampsc!A:B,2,FALSE)</f>
        <v>Frýdek-Místek</v>
      </c>
      <c r="R305" s="6" t="str">
        <f>VLOOKUP(G305,seznampsc!A:C,3,FALSE)</f>
        <v>Moravskoslezský kraj</v>
      </c>
      <c r="S305" s="6">
        <v>49.659399999999998</v>
      </c>
      <c r="T305" s="6">
        <v>18.394069999999999</v>
      </c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V305" s="10">
        <v>200000</v>
      </c>
    </row>
    <row r="306" spans="1:48" ht="24" customHeight="1" x14ac:dyDescent="0.3">
      <c r="A306" s="6"/>
      <c r="B306" s="6" t="s">
        <v>65</v>
      </c>
      <c r="C306" s="6" t="s">
        <v>1925</v>
      </c>
      <c r="D306" s="6">
        <v>14614812</v>
      </c>
      <c r="E306" s="6" t="s">
        <v>1926</v>
      </c>
      <c r="F306" s="6" t="s">
        <v>1934</v>
      </c>
      <c r="G306" s="6">
        <v>70800</v>
      </c>
      <c r="H306" s="6" t="s">
        <v>1935</v>
      </c>
      <c r="I306" s="6" t="s">
        <v>1929</v>
      </c>
      <c r="J306" s="6" t="s">
        <v>1930</v>
      </c>
      <c r="K306" s="6" t="s">
        <v>1931</v>
      </c>
      <c r="L306" s="6" t="s">
        <v>586</v>
      </c>
      <c r="M306" s="6" t="s">
        <v>134</v>
      </c>
      <c r="N306" s="6" t="s">
        <v>63</v>
      </c>
      <c r="O306" s="6" t="s">
        <v>1932</v>
      </c>
      <c r="P306" s="6"/>
      <c r="Q306" s="6" t="str">
        <f>VLOOKUP(G306,seznampsc!A:B,2,FALSE)</f>
        <v>Ostrava-město</v>
      </c>
      <c r="R306" s="6" t="str">
        <f>VLOOKUP(G306,seznampsc!A:C,3,FALSE)</f>
        <v>Moravskoslezský kraj</v>
      </c>
      <c r="S306" s="6">
        <v>49.851039999999998</v>
      </c>
      <c r="T306" s="6">
        <v>18.226520000000001</v>
      </c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V306" s="10">
        <v>200000</v>
      </c>
    </row>
    <row r="307" spans="1:48" ht="24" customHeight="1" x14ac:dyDescent="0.3">
      <c r="A307" s="6"/>
      <c r="B307" s="6" t="s">
        <v>65</v>
      </c>
      <c r="C307" s="6" t="s">
        <v>1936</v>
      </c>
      <c r="D307" s="6">
        <v>49358260</v>
      </c>
      <c r="E307" s="6" t="s">
        <v>1937</v>
      </c>
      <c r="F307" s="6" t="s">
        <v>1938</v>
      </c>
      <c r="G307" s="6">
        <v>19600</v>
      </c>
      <c r="H307" s="6" t="s">
        <v>1939</v>
      </c>
      <c r="I307" s="6" t="s">
        <v>1940</v>
      </c>
      <c r="J307" s="7" t="s">
        <v>1941</v>
      </c>
      <c r="K307" s="6">
        <v>283932020</v>
      </c>
      <c r="L307" s="6" t="s">
        <v>586</v>
      </c>
      <c r="M307" s="6" t="s">
        <v>1942</v>
      </c>
      <c r="N307" s="6" t="s">
        <v>63</v>
      </c>
      <c r="O307" s="6" t="s">
        <v>1943</v>
      </c>
      <c r="P307" s="6"/>
      <c r="Q307" s="6" t="str">
        <f>VLOOKUP(G307,seznampsc!A:B,2,FALSE)</f>
        <v>Hlavní město Praha</v>
      </c>
      <c r="R307" s="6" t="str">
        <f>VLOOKUP(G307,seznampsc!A:C,3,FALSE)</f>
        <v>Hlavní město Praha</v>
      </c>
      <c r="S307" s="6" t="s">
        <v>1944</v>
      </c>
      <c r="T307" s="6" t="s">
        <v>1945</v>
      </c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V307" s="10">
        <v>200000</v>
      </c>
    </row>
    <row r="308" spans="1:48" ht="24" customHeight="1" x14ac:dyDescent="0.3">
      <c r="A308" s="6" t="s">
        <v>53</v>
      </c>
      <c r="B308" s="6" t="s">
        <v>65</v>
      </c>
      <c r="C308" s="6" t="s">
        <v>1946</v>
      </c>
      <c r="D308" s="6">
        <v>62652753</v>
      </c>
      <c r="E308" s="6" t="s">
        <v>1947</v>
      </c>
      <c r="F308" s="6" t="s">
        <v>1948</v>
      </c>
      <c r="G308" s="6">
        <v>36401</v>
      </c>
      <c r="H308" s="6" t="s">
        <v>1949</v>
      </c>
      <c r="I308" s="6" t="s">
        <v>1950</v>
      </c>
      <c r="J308" s="7" t="s">
        <v>1951</v>
      </c>
      <c r="K308" s="6">
        <v>602130366</v>
      </c>
      <c r="L308" s="6" t="s">
        <v>197</v>
      </c>
      <c r="M308" s="6" t="s">
        <v>62</v>
      </c>
      <c r="N308" s="6" t="s">
        <v>63</v>
      </c>
      <c r="O308" s="6" t="s">
        <v>198</v>
      </c>
      <c r="P308" s="6"/>
      <c r="Q308" s="6" t="str">
        <f>VLOOKUP(G308,seznampsc!A:B,2,FALSE)</f>
        <v>Karlovy Vary</v>
      </c>
      <c r="R308" s="6" t="str">
        <f>VLOOKUP(G308,seznampsc!A:C,3,FALSE)</f>
        <v>Karlovarský kraj</v>
      </c>
      <c r="S308" s="6" t="s">
        <v>1952</v>
      </c>
      <c r="T308" s="6" t="s">
        <v>1953</v>
      </c>
      <c r="U308" s="6"/>
      <c r="V308" s="6"/>
      <c r="W308" s="6"/>
      <c r="X308" s="6"/>
      <c r="Y308" s="6"/>
      <c r="Z308" s="6"/>
      <c r="AA308" s="6"/>
      <c r="AB308" s="6"/>
      <c r="AC308" s="6"/>
      <c r="AD308" s="6">
        <v>670</v>
      </c>
      <c r="AE308" s="6">
        <v>670</v>
      </c>
      <c r="AF308" s="6">
        <v>720</v>
      </c>
      <c r="AG308" s="6"/>
      <c r="AH308" s="6"/>
      <c r="AI308" s="6"/>
      <c r="AJ308" s="6">
        <v>107</v>
      </c>
      <c r="AK308" s="6">
        <v>107</v>
      </c>
      <c r="AL308" s="6"/>
      <c r="AM308" s="6"/>
      <c r="AN308" s="6"/>
      <c r="AO308" s="6"/>
      <c r="AP308" s="6"/>
      <c r="AQ308" s="6">
        <v>5</v>
      </c>
      <c r="AR308" s="6"/>
      <c r="AS308" s="6"/>
      <c r="AT308" s="6"/>
      <c r="AU308" s="6"/>
      <c r="AV308" s="6">
        <v>200000</v>
      </c>
    </row>
    <row r="309" spans="1:48" ht="24" customHeight="1" x14ac:dyDescent="0.3">
      <c r="A309" s="3" t="s">
        <v>53</v>
      </c>
      <c r="B309" s="3" t="s">
        <v>65</v>
      </c>
      <c r="C309" s="3" t="s">
        <v>1954</v>
      </c>
      <c r="D309" s="3">
        <v>25245899</v>
      </c>
      <c r="E309" s="3" t="s">
        <v>1955</v>
      </c>
      <c r="F309" s="3" t="s">
        <v>1956</v>
      </c>
      <c r="G309" s="3">
        <v>34601</v>
      </c>
      <c r="H309" s="3" t="s">
        <v>522</v>
      </c>
      <c r="I309" s="3" t="s">
        <v>1906</v>
      </c>
      <c r="J309" s="3" t="s">
        <v>1957</v>
      </c>
      <c r="K309" s="3">
        <v>777272323</v>
      </c>
      <c r="L309" s="3" t="s">
        <v>73</v>
      </c>
      <c r="M309" s="3" t="s">
        <v>62</v>
      </c>
      <c r="N309" s="3" t="s">
        <v>63</v>
      </c>
      <c r="O309" s="3" t="s">
        <v>1577</v>
      </c>
      <c r="Q309" s="6" t="str">
        <f>VLOOKUP(G309,seznampsc!A:B,2,FALSE)</f>
        <v>Domažlice</v>
      </c>
      <c r="R309" s="6" t="str">
        <f>VLOOKUP(G309,seznampsc!A:C,3,FALSE)</f>
        <v>Plzeňský kraj</v>
      </c>
      <c r="S309" s="6">
        <v>49.52657</v>
      </c>
      <c r="T309" s="6">
        <v>12.941890000000001</v>
      </c>
      <c r="U309" s="6"/>
      <c r="V309" s="6"/>
      <c r="W309" s="6"/>
      <c r="X309" s="6"/>
      <c r="Y309" s="6"/>
      <c r="Z309" s="6"/>
      <c r="AA309" s="6"/>
      <c r="AB309" s="6"/>
      <c r="AC309" s="6"/>
      <c r="AD309" s="6">
        <v>640</v>
      </c>
      <c r="AE309" s="6">
        <v>640</v>
      </c>
      <c r="AF309" s="6">
        <v>640</v>
      </c>
      <c r="AG309" s="6"/>
      <c r="AH309" s="6"/>
      <c r="AI309" s="6"/>
      <c r="AJ309" s="6">
        <v>107</v>
      </c>
      <c r="AK309" s="6">
        <v>107</v>
      </c>
      <c r="AL309" s="6"/>
      <c r="AM309" s="6"/>
      <c r="AN309" s="6"/>
      <c r="AO309" s="6"/>
      <c r="AP309" s="6"/>
      <c r="AQ309" s="6">
        <v>5</v>
      </c>
      <c r="AR309" s="6"/>
      <c r="AS309" s="6"/>
      <c r="AT309" s="6"/>
      <c r="AV309" s="3">
        <v>100000</v>
      </c>
    </row>
    <row r="310" spans="1:48" ht="24" customHeight="1" x14ac:dyDescent="0.3">
      <c r="A310" s="6"/>
      <c r="B310" s="6" t="s">
        <v>65</v>
      </c>
      <c r="C310" s="6" t="s">
        <v>1958</v>
      </c>
      <c r="D310" s="6">
        <v>26217996</v>
      </c>
      <c r="E310" s="6" t="s">
        <v>1959</v>
      </c>
      <c r="F310" s="6" t="s">
        <v>1960</v>
      </c>
      <c r="G310" s="6">
        <v>69501</v>
      </c>
      <c r="H310" s="6" t="s">
        <v>1207</v>
      </c>
      <c r="I310" s="6" t="s">
        <v>1961</v>
      </c>
      <c r="J310" s="6" t="s">
        <v>1962</v>
      </c>
      <c r="K310" s="6">
        <v>720037530</v>
      </c>
      <c r="L310" s="6" t="s">
        <v>586</v>
      </c>
      <c r="M310" s="6" t="s">
        <v>1861</v>
      </c>
      <c r="N310" s="6" t="s">
        <v>63</v>
      </c>
      <c r="O310" s="6" t="s">
        <v>1963</v>
      </c>
      <c r="P310" s="6"/>
      <c r="Q310" s="6" t="str">
        <f>VLOOKUP(G310,seznampsc!A:B,2,FALSE)</f>
        <v>Hodonín</v>
      </c>
      <c r="R310" s="6" t="str">
        <f>VLOOKUP(G310,seznampsc!A:C,3,FALSE)</f>
        <v>Jihomoravský kraj</v>
      </c>
      <c r="S310" s="6">
        <v>49.097619999999999</v>
      </c>
      <c r="T310" s="6">
        <v>16.770219999999998</v>
      </c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V310" s="10">
        <v>200000</v>
      </c>
    </row>
    <row r="311" spans="1:48" ht="24" customHeight="1" x14ac:dyDescent="0.3">
      <c r="A311" s="3" t="s">
        <v>53</v>
      </c>
      <c r="B311" s="3" t="s">
        <v>54</v>
      </c>
      <c r="C311" s="3" t="s">
        <v>55</v>
      </c>
      <c r="D311" s="3" t="s">
        <v>1189</v>
      </c>
      <c r="E311" s="3" t="s">
        <v>1908</v>
      </c>
      <c r="F311" s="3" t="s">
        <v>1964</v>
      </c>
      <c r="G311" s="3">
        <v>39181</v>
      </c>
      <c r="H311" s="3" t="s">
        <v>1965</v>
      </c>
      <c r="K311" s="3">
        <v>601559569</v>
      </c>
      <c r="L311" s="3" t="s">
        <v>61</v>
      </c>
      <c r="M311" s="6" t="s">
        <v>62</v>
      </c>
      <c r="N311" s="6" t="s">
        <v>63</v>
      </c>
      <c r="O311" s="3" t="s">
        <v>64</v>
      </c>
      <c r="Q311" s="6" t="str">
        <f>VLOOKUP(G311,seznampsc!A:B,2,FALSE)</f>
        <v>Tábor</v>
      </c>
      <c r="R311" s="6" t="str">
        <f>VLOOKUP(G311,seznampsc!A:C,3,FALSE)</f>
        <v>Jihočeský kraj</v>
      </c>
      <c r="S311" s="6">
        <v>49.190474999999999</v>
      </c>
      <c r="T311" s="6">
        <v>14.7141678</v>
      </c>
      <c r="U311" s="6"/>
      <c r="V311" s="6"/>
      <c r="W311" s="6"/>
      <c r="X311" s="6"/>
      <c r="Y311" s="6"/>
      <c r="Z311" s="6"/>
      <c r="AA311" s="6"/>
      <c r="AB311" s="6"/>
      <c r="AC311" s="6"/>
      <c r="AD311" s="6">
        <v>680</v>
      </c>
      <c r="AE311" s="6">
        <v>680</v>
      </c>
      <c r="AF311" s="6">
        <v>680</v>
      </c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>
        <v>10</v>
      </c>
      <c r="AR311" s="6"/>
      <c r="AS311" s="6"/>
      <c r="AT311" s="6"/>
      <c r="AV311" s="3">
        <v>100000</v>
      </c>
    </row>
    <row r="312" spans="1:48" ht="24" customHeight="1" x14ac:dyDescent="0.3">
      <c r="A312" s="6"/>
      <c r="B312" s="6" t="s">
        <v>65</v>
      </c>
      <c r="C312" s="6" t="s">
        <v>1235</v>
      </c>
      <c r="D312" s="9">
        <v>26031868</v>
      </c>
      <c r="E312" s="6" t="s">
        <v>1236</v>
      </c>
      <c r="F312" s="6" t="s">
        <v>1966</v>
      </c>
      <c r="G312" s="6">
        <v>39005</v>
      </c>
      <c r="H312" s="6" t="s">
        <v>106</v>
      </c>
      <c r="I312" s="6" t="s">
        <v>1967</v>
      </c>
      <c r="J312" s="6" t="s">
        <v>1968</v>
      </c>
      <c r="K312" s="6">
        <v>777470771</v>
      </c>
      <c r="L312" s="6" t="s">
        <v>197</v>
      </c>
      <c r="M312" s="6" t="s">
        <v>1240</v>
      </c>
      <c r="N312" s="6" t="s">
        <v>63</v>
      </c>
      <c r="O312" s="6" t="s">
        <v>1052</v>
      </c>
      <c r="P312" s="6"/>
      <c r="Q312" s="6" t="str">
        <f>VLOOKUP(G312,seznampsc!A:B,2,FALSE)</f>
        <v>Tábor</v>
      </c>
      <c r="R312" s="6" t="str">
        <f>VLOOKUP(G312,seznampsc!A:C,3,FALSE)</f>
        <v>Jihočeský kraj</v>
      </c>
      <c r="S312" s="6">
        <v>49.395539999999997</v>
      </c>
      <c r="T312" s="6" t="s">
        <v>1969</v>
      </c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V312" s="10">
        <v>200000</v>
      </c>
    </row>
    <row r="313" spans="1:48" ht="24" customHeight="1" x14ac:dyDescent="0.3">
      <c r="A313" s="6" t="s">
        <v>53</v>
      </c>
      <c r="B313" s="6" t="s">
        <v>65</v>
      </c>
      <c r="C313" s="6" t="s">
        <v>1970</v>
      </c>
      <c r="D313" s="6">
        <v>74463721</v>
      </c>
      <c r="E313" s="6" t="s">
        <v>1971</v>
      </c>
      <c r="F313" s="6" t="s">
        <v>1972</v>
      </c>
      <c r="G313" s="6">
        <v>39201</v>
      </c>
      <c r="H313" s="6" t="s">
        <v>1973</v>
      </c>
      <c r="I313" s="6" t="s">
        <v>1974</v>
      </c>
      <c r="J313" s="6" t="s">
        <v>1975</v>
      </c>
      <c r="K313" s="6">
        <v>776015850</v>
      </c>
      <c r="L313" s="6" t="s">
        <v>73</v>
      </c>
      <c r="M313" s="6" t="s">
        <v>62</v>
      </c>
      <c r="N313" s="6" t="s">
        <v>63</v>
      </c>
      <c r="O313" s="6" t="s">
        <v>1976</v>
      </c>
      <c r="P313" s="6"/>
      <c r="Q313" s="6" t="str">
        <f>VLOOKUP(G313,seznampsc!A:B,2,FALSE)</f>
        <v>Tábor</v>
      </c>
      <c r="R313" s="6" t="str">
        <f>VLOOKUP(G313,seznampsc!A:C,3,FALSE)</f>
        <v>Jihočeský kraj</v>
      </c>
      <c r="S313" s="6" t="s">
        <v>1977</v>
      </c>
      <c r="T313" s="6" t="s">
        <v>1978</v>
      </c>
      <c r="U313" s="6"/>
      <c r="V313" s="6"/>
      <c r="W313" s="6"/>
      <c r="X313" s="6"/>
      <c r="Y313" s="6"/>
      <c r="Z313" s="6"/>
      <c r="AA313" s="6"/>
      <c r="AB313" s="6"/>
      <c r="AC313" s="6"/>
      <c r="AD313" s="6">
        <v>570</v>
      </c>
      <c r="AE313" s="6">
        <v>570</v>
      </c>
      <c r="AF313" s="6">
        <v>570</v>
      </c>
      <c r="AG313" s="6"/>
      <c r="AH313" s="6"/>
      <c r="AI313" s="6"/>
      <c r="AJ313" s="6">
        <v>107</v>
      </c>
      <c r="AK313" s="6">
        <v>116</v>
      </c>
      <c r="AL313" s="6"/>
      <c r="AM313" s="6"/>
      <c r="AN313" s="6"/>
      <c r="AO313" s="6"/>
      <c r="AP313" s="6"/>
      <c r="AQ313" s="6">
        <v>10</v>
      </c>
      <c r="AR313" s="6"/>
      <c r="AS313" s="6"/>
      <c r="AT313" s="6"/>
      <c r="AV313" s="3">
        <v>50000</v>
      </c>
    </row>
    <row r="314" spans="1:48" ht="24" customHeight="1" x14ac:dyDescent="0.3">
      <c r="A314" s="6"/>
      <c r="B314" s="6" t="s">
        <v>65</v>
      </c>
      <c r="C314" s="6" t="s">
        <v>1979</v>
      </c>
      <c r="D314" s="6">
        <v>653667</v>
      </c>
      <c r="E314" s="6" t="s">
        <v>1980</v>
      </c>
      <c r="F314" s="6" t="s">
        <v>1981</v>
      </c>
      <c r="G314" s="6">
        <v>56601</v>
      </c>
      <c r="H314" s="6" t="s">
        <v>1982</v>
      </c>
      <c r="I314" s="6" t="s">
        <v>1983</v>
      </c>
      <c r="J314" s="6" t="s">
        <v>1984</v>
      </c>
      <c r="K314" s="6" t="s">
        <v>1985</v>
      </c>
      <c r="L314" s="6" t="s">
        <v>586</v>
      </c>
      <c r="M314" s="6" t="s">
        <v>1986</v>
      </c>
      <c r="N314" s="6" t="s">
        <v>63</v>
      </c>
      <c r="O314" s="6" t="s">
        <v>804</v>
      </c>
      <c r="P314" s="6"/>
      <c r="Q314" s="6" t="str">
        <f>VLOOKUP(G314,seznampsc!A:B,2,FALSE)</f>
        <v>Ústí nad Orlicí</v>
      </c>
      <c r="R314" s="6" t="str">
        <f>VLOOKUP(G314,seznampsc!A:C,3,FALSE)</f>
        <v>Pardubický kraj</v>
      </c>
      <c r="S314" s="6">
        <v>50.096899999999998</v>
      </c>
      <c r="T314" s="6">
        <v>16.391950000000001</v>
      </c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V314" s="10">
        <v>200000</v>
      </c>
    </row>
    <row r="315" spans="1:48" ht="24" customHeight="1" x14ac:dyDescent="0.3">
      <c r="A315" s="6"/>
      <c r="B315" s="6" t="s">
        <v>65</v>
      </c>
      <c r="C315" s="6" t="s">
        <v>1987</v>
      </c>
      <c r="D315" s="6">
        <v>6565743</v>
      </c>
      <c r="E315" s="6" t="s">
        <v>1988</v>
      </c>
      <c r="F315" s="6" t="s">
        <v>1989</v>
      </c>
      <c r="G315" s="6">
        <v>37008</v>
      </c>
      <c r="H315" s="6" t="s">
        <v>460</v>
      </c>
      <c r="I315" s="6" t="s">
        <v>1990</v>
      </c>
      <c r="J315" s="6" t="s">
        <v>1991</v>
      </c>
      <c r="K315" s="6">
        <v>774882470</v>
      </c>
      <c r="L315" s="6" t="s">
        <v>197</v>
      </c>
      <c r="M315" s="6" t="s">
        <v>1992</v>
      </c>
      <c r="N315" s="6" t="s">
        <v>158</v>
      </c>
      <c r="O315" s="6" t="s">
        <v>1993</v>
      </c>
      <c r="P315" s="6"/>
      <c r="Q315" s="6" t="str">
        <f>VLOOKUP(G315,seznampsc!A:B,2,FALSE)</f>
        <v>České Budějovice</v>
      </c>
      <c r="R315" s="6" t="str">
        <f>VLOOKUP(G315,seznampsc!A:C,3,FALSE)</f>
        <v>Jihočeský kraj</v>
      </c>
      <c r="S315" s="6">
        <v>49.060479999999998</v>
      </c>
      <c r="T315" s="6">
        <v>14.35948</v>
      </c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3" t="s">
        <v>1994</v>
      </c>
      <c r="AV315" s="10">
        <v>200000</v>
      </c>
    </row>
    <row r="316" spans="1:48" ht="24" customHeight="1" x14ac:dyDescent="0.3">
      <c r="A316" s="6"/>
      <c r="B316" s="6" t="s">
        <v>65</v>
      </c>
      <c r="C316" s="6" t="s">
        <v>1987</v>
      </c>
      <c r="D316" s="6">
        <v>6565743</v>
      </c>
      <c r="E316" s="6" t="s">
        <v>1988</v>
      </c>
      <c r="F316" s="6" t="s">
        <v>1989</v>
      </c>
      <c r="G316" s="6">
        <v>37008</v>
      </c>
      <c r="H316" s="6" t="s">
        <v>460</v>
      </c>
      <c r="I316" s="6" t="s">
        <v>1990</v>
      </c>
      <c r="J316" s="6" t="s">
        <v>1991</v>
      </c>
      <c r="K316" s="6">
        <v>774882470</v>
      </c>
      <c r="L316" s="6" t="s">
        <v>586</v>
      </c>
      <c r="M316" s="6" t="s">
        <v>1992</v>
      </c>
      <c r="N316" s="6" t="s">
        <v>63</v>
      </c>
      <c r="O316" s="6" t="s">
        <v>1993</v>
      </c>
      <c r="P316" s="6"/>
      <c r="Q316" s="6" t="str">
        <f>VLOOKUP(G316,seznampsc!A:B,2,FALSE)</f>
        <v>České Budějovice</v>
      </c>
      <c r="R316" s="6" t="str">
        <f>VLOOKUP(G316,seznampsc!A:C,3,FALSE)</f>
        <v>Jihočeský kraj</v>
      </c>
      <c r="S316" s="6">
        <v>49.060479999999998</v>
      </c>
      <c r="T316" s="6">
        <v>14.35948</v>
      </c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3" t="s">
        <v>1995</v>
      </c>
      <c r="AV316" s="10">
        <v>200000</v>
      </c>
    </row>
    <row r="317" spans="1:48" ht="24" customHeight="1" x14ac:dyDescent="0.3">
      <c r="A317" s="6"/>
      <c r="B317" s="6" t="s">
        <v>65</v>
      </c>
      <c r="C317" s="6" t="s">
        <v>1996</v>
      </c>
      <c r="D317" s="6">
        <v>7699832</v>
      </c>
      <c r="E317" s="6" t="s">
        <v>1997</v>
      </c>
      <c r="F317" s="6" t="s">
        <v>1998</v>
      </c>
      <c r="G317" s="6">
        <v>17000</v>
      </c>
      <c r="H317" s="6" t="s">
        <v>1999</v>
      </c>
      <c r="I317" s="6" t="s">
        <v>2000</v>
      </c>
      <c r="J317" s="6" t="s">
        <v>2001</v>
      </c>
      <c r="K317" s="6" t="s">
        <v>2002</v>
      </c>
      <c r="L317" s="6" t="s">
        <v>586</v>
      </c>
      <c r="M317" s="6" t="s">
        <v>2003</v>
      </c>
      <c r="N317" s="6" t="s">
        <v>63</v>
      </c>
      <c r="O317" s="6" t="s">
        <v>2004</v>
      </c>
      <c r="P317" s="6"/>
      <c r="Q317" s="6" t="str">
        <f>VLOOKUP(G317,seznampsc!A:B,2,FALSE)</f>
        <v>Hlavní město Praha</v>
      </c>
      <c r="R317" s="6" t="str">
        <f>VLOOKUP(G317,seznampsc!A:C,3,FALSE)</f>
        <v>Hlavní město Praha</v>
      </c>
      <c r="S317" s="6" t="s">
        <v>2005</v>
      </c>
      <c r="T317" s="6" t="s">
        <v>2006</v>
      </c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V317" s="10">
        <v>200000</v>
      </c>
    </row>
    <row r="318" spans="1:48" ht="24" customHeight="1" x14ac:dyDescent="0.3">
      <c r="B318" s="6" t="s">
        <v>65</v>
      </c>
      <c r="C318" s="6" t="s">
        <v>1996</v>
      </c>
      <c r="D318" s="6">
        <v>7699832</v>
      </c>
      <c r="E318" s="6" t="s">
        <v>1997</v>
      </c>
      <c r="F318" s="6" t="s">
        <v>1998</v>
      </c>
      <c r="G318" s="6">
        <v>17000</v>
      </c>
      <c r="H318" s="6" t="s">
        <v>1999</v>
      </c>
      <c r="I318" s="6" t="s">
        <v>2000</v>
      </c>
      <c r="J318" s="6" t="s">
        <v>2001</v>
      </c>
      <c r="K318" s="6" t="s">
        <v>2002</v>
      </c>
      <c r="L318" s="3" t="s">
        <v>73</v>
      </c>
      <c r="M318" s="3" t="s">
        <v>62</v>
      </c>
      <c r="N318" s="6" t="s">
        <v>63</v>
      </c>
      <c r="O318" s="6" t="s">
        <v>2004</v>
      </c>
      <c r="Q318" s="6" t="str">
        <f>VLOOKUP(G318,seznampsc!A:B,2,FALSE)</f>
        <v>Hlavní město Praha</v>
      </c>
      <c r="R318" s="6" t="str">
        <f>VLOOKUP(G318,seznampsc!A:C,3,FALSE)</f>
        <v>Hlavní město Praha</v>
      </c>
      <c r="S318" s="6">
        <v>50.099580000000003</v>
      </c>
      <c r="T318" s="6">
        <v>14.677759999999999</v>
      </c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</row>
    <row r="319" spans="1:48" ht="24" customHeight="1" x14ac:dyDescent="0.3">
      <c r="A319" s="1"/>
      <c r="B319" s="1" t="s">
        <v>65</v>
      </c>
      <c r="C319" s="1" t="s">
        <v>2007</v>
      </c>
      <c r="D319" s="1">
        <v>66416817</v>
      </c>
      <c r="E319" s="1" t="s">
        <v>2008</v>
      </c>
      <c r="F319" s="1" t="s">
        <v>2009</v>
      </c>
      <c r="G319" s="1">
        <v>29448</v>
      </c>
      <c r="H319" s="1" t="s">
        <v>1579</v>
      </c>
      <c r="I319" s="1" t="s">
        <v>2008</v>
      </c>
      <c r="J319" s="1" t="s">
        <v>2010</v>
      </c>
      <c r="K319" s="1">
        <v>721108367</v>
      </c>
      <c r="L319" s="1" t="s">
        <v>73</v>
      </c>
      <c r="M319" s="1" t="s">
        <v>62</v>
      </c>
      <c r="N319" s="1" t="s">
        <v>63</v>
      </c>
      <c r="O319" s="1" t="s">
        <v>198</v>
      </c>
      <c r="P319" s="1"/>
      <c r="Q319" s="6" t="str">
        <f>VLOOKUP(G319,seznampsc!A:B,2,FALSE)</f>
        <v>Mladá Boleslav</v>
      </c>
      <c r="R319" s="6" t="str">
        <f>VLOOKUP(G319,seznampsc!A:C,3,FALSE)</f>
        <v>Středočeský kraj</v>
      </c>
      <c r="S319" s="1" t="s">
        <v>2011</v>
      </c>
      <c r="T319" s="1" t="s">
        <v>2012</v>
      </c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 t="s">
        <v>2013</v>
      </c>
      <c r="AV319" s="1"/>
    </row>
    <row r="320" spans="1:48" ht="24" customHeight="1" x14ac:dyDescent="0.3">
      <c r="A320" s="6" t="s">
        <v>53</v>
      </c>
      <c r="B320" s="6" t="s">
        <v>65</v>
      </c>
      <c r="C320" s="6" t="s">
        <v>2014</v>
      </c>
      <c r="D320" s="6">
        <v>10415513</v>
      </c>
      <c r="E320" s="6" t="s">
        <v>2015</v>
      </c>
      <c r="F320" s="6" t="s">
        <v>2016</v>
      </c>
      <c r="G320" s="6">
        <v>43001</v>
      </c>
      <c r="H320" s="6" t="s">
        <v>2017</v>
      </c>
      <c r="I320" s="6" t="s">
        <v>2015</v>
      </c>
      <c r="J320" s="7" t="s">
        <v>2018</v>
      </c>
      <c r="K320" s="6">
        <v>739408122</v>
      </c>
      <c r="L320" s="6" t="s">
        <v>73</v>
      </c>
      <c r="M320" s="6" t="s">
        <v>62</v>
      </c>
      <c r="N320" s="6" t="s">
        <v>63</v>
      </c>
      <c r="O320" s="6" t="s">
        <v>787</v>
      </c>
      <c r="P320" s="6"/>
      <c r="Q320" s="6" t="str">
        <f>VLOOKUP(G320,seznampsc!A:B,2,FALSE)</f>
        <v>Chomutov</v>
      </c>
      <c r="R320" s="6" t="str">
        <f>VLOOKUP(G320,seznampsc!A:C,3,FALSE)</f>
        <v>Ústecký kraj</v>
      </c>
      <c r="S320" s="6" t="s">
        <v>2019</v>
      </c>
      <c r="T320" s="6" t="s">
        <v>2020</v>
      </c>
      <c r="U320" s="6"/>
      <c r="V320" s="6"/>
      <c r="W320" s="6"/>
      <c r="X320" s="6"/>
      <c r="Y320" s="6"/>
      <c r="Z320" s="6"/>
      <c r="AA320" s="6"/>
      <c r="AB320" s="6"/>
      <c r="AC320" s="6"/>
      <c r="AD320" s="6">
        <v>500</v>
      </c>
      <c r="AE320" s="6">
        <v>500</v>
      </c>
      <c r="AF320" s="6">
        <v>550</v>
      </c>
      <c r="AG320" s="6"/>
      <c r="AH320" s="6"/>
      <c r="AI320" s="6"/>
      <c r="AJ320" s="6">
        <v>107</v>
      </c>
      <c r="AK320" s="6">
        <v>116</v>
      </c>
      <c r="AL320" s="6"/>
      <c r="AM320" s="6"/>
      <c r="AN320" s="6"/>
      <c r="AO320" s="6"/>
      <c r="AP320" s="6">
        <v>5</v>
      </c>
      <c r="AQ320" s="6">
        <v>7</v>
      </c>
      <c r="AR320" s="6"/>
      <c r="AS320" s="6"/>
      <c r="AT320" s="6"/>
      <c r="AV320" s="3">
        <v>50000</v>
      </c>
    </row>
    <row r="321" spans="1:48" ht="24" customHeight="1" x14ac:dyDescent="0.3">
      <c r="A321" s="1"/>
      <c r="B321" s="1" t="s">
        <v>65</v>
      </c>
      <c r="C321" s="1" t="s">
        <v>2021</v>
      </c>
      <c r="D321" s="1">
        <v>7910908</v>
      </c>
      <c r="E321" s="1" t="s">
        <v>2022</v>
      </c>
      <c r="F321" s="1" t="s">
        <v>940</v>
      </c>
      <c r="G321" s="1">
        <v>74714</v>
      </c>
      <c r="H321" s="1" t="s">
        <v>2023</v>
      </c>
      <c r="I321" s="1" t="s">
        <v>939</v>
      </c>
      <c r="J321" s="1" t="s">
        <v>2024</v>
      </c>
      <c r="K321" s="1">
        <v>775393136</v>
      </c>
      <c r="L321" s="1" t="s">
        <v>73</v>
      </c>
      <c r="M321" s="1" t="s">
        <v>62</v>
      </c>
      <c r="N321" s="1" t="s">
        <v>63</v>
      </c>
      <c r="O321" s="1" t="s">
        <v>787</v>
      </c>
      <c r="P321" s="1"/>
      <c r="Q321" s="6" t="str">
        <f>VLOOKUP(G321,seznampsc!A:B,2,FALSE)</f>
        <v>Opava</v>
      </c>
      <c r="R321" s="6" t="str">
        <f>VLOOKUP(G321,seznampsc!A:C,3,FALSE)</f>
        <v>Moravskoslezský kraj</v>
      </c>
      <c r="S321" s="1" t="s">
        <v>2025</v>
      </c>
      <c r="T321" s="1" t="s">
        <v>2026</v>
      </c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 t="s">
        <v>2027</v>
      </c>
      <c r="AV321" s="1"/>
    </row>
    <row r="322" spans="1:48" ht="24" customHeight="1" x14ac:dyDescent="0.3">
      <c r="A322" s="6"/>
      <c r="B322" s="6" t="s">
        <v>65</v>
      </c>
      <c r="C322" s="6" t="s">
        <v>2028</v>
      </c>
      <c r="D322" s="6">
        <v>63073188</v>
      </c>
      <c r="E322" s="6" t="s">
        <v>2029</v>
      </c>
      <c r="F322" s="6" t="s">
        <v>2030</v>
      </c>
      <c r="G322" s="6">
        <v>16200</v>
      </c>
      <c r="H322" s="6" t="s">
        <v>2031</v>
      </c>
      <c r="I322" s="6" t="s">
        <v>2032</v>
      </c>
      <c r="J322" s="6" t="s">
        <v>2033</v>
      </c>
      <c r="K322" s="6">
        <v>724164671</v>
      </c>
      <c r="L322" s="6" t="s">
        <v>586</v>
      </c>
      <c r="M322" s="6" t="s">
        <v>2034</v>
      </c>
      <c r="N322" s="6" t="s">
        <v>63</v>
      </c>
      <c r="O322" s="6" t="s">
        <v>2035</v>
      </c>
      <c r="P322" s="6"/>
      <c r="Q322" s="6" t="str">
        <f>VLOOKUP(G322,seznampsc!A:B,2,FALSE)</f>
        <v>Hlavní město Praha</v>
      </c>
      <c r="R322" s="6" t="str">
        <f>VLOOKUP(G322,seznampsc!A:C,3,FALSE)</f>
        <v>Hlavní město Praha</v>
      </c>
      <c r="S322" s="6" t="s">
        <v>2036</v>
      </c>
      <c r="T322" s="6" t="s">
        <v>2037</v>
      </c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V322" s="10">
        <v>200000</v>
      </c>
    </row>
    <row r="323" spans="1:48" ht="24" customHeight="1" x14ac:dyDescent="0.3">
      <c r="A323" s="6"/>
      <c r="B323" s="6" t="s">
        <v>65</v>
      </c>
      <c r="C323" s="6" t="s">
        <v>2028</v>
      </c>
      <c r="D323" s="6">
        <v>63073188</v>
      </c>
      <c r="E323" s="6" t="s">
        <v>2029</v>
      </c>
      <c r="F323" s="6" t="s">
        <v>2038</v>
      </c>
      <c r="G323" s="6">
        <v>17000</v>
      </c>
      <c r="H323" s="6" t="s">
        <v>1999</v>
      </c>
      <c r="I323" s="6" t="s">
        <v>2039</v>
      </c>
      <c r="J323" s="6" t="s">
        <v>2040</v>
      </c>
      <c r="K323" s="6">
        <v>725980876</v>
      </c>
      <c r="L323" s="6" t="s">
        <v>586</v>
      </c>
      <c r="M323" s="6" t="s">
        <v>2034</v>
      </c>
      <c r="N323" s="6" t="s">
        <v>63</v>
      </c>
      <c r="O323" s="6" t="s">
        <v>2041</v>
      </c>
      <c r="P323" s="6"/>
      <c r="Q323" s="6" t="str">
        <f>VLOOKUP(G323,seznampsc!A:B,2,FALSE)</f>
        <v>Hlavní město Praha</v>
      </c>
      <c r="R323" s="6" t="str">
        <f>VLOOKUP(G323,seznampsc!A:C,3,FALSE)</f>
        <v>Hlavní město Praha</v>
      </c>
      <c r="S323" s="6" t="s">
        <v>2042</v>
      </c>
      <c r="T323" s="6" t="s">
        <v>2043</v>
      </c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V323" s="10">
        <v>200000</v>
      </c>
    </row>
    <row r="324" spans="1:48" ht="24" customHeight="1" x14ac:dyDescent="0.3">
      <c r="A324" s="3" t="s">
        <v>53</v>
      </c>
      <c r="B324" s="3" t="s">
        <v>54</v>
      </c>
      <c r="C324" s="3" t="s">
        <v>55</v>
      </c>
      <c r="D324" s="3" t="s">
        <v>2044</v>
      </c>
      <c r="E324" s="3" t="s">
        <v>2045</v>
      </c>
      <c r="F324" s="3" t="s">
        <v>2046</v>
      </c>
      <c r="G324" s="3">
        <v>34701</v>
      </c>
      <c r="H324" s="3" t="s">
        <v>2047</v>
      </c>
      <c r="I324" s="3" t="s">
        <v>2045</v>
      </c>
      <c r="J324" s="3" t="s">
        <v>2048</v>
      </c>
      <c r="K324" s="3">
        <v>602651442</v>
      </c>
      <c r="L324" s="3" t="s">
        <v>61</v>
      </c>
      <c r="M324" s="6" t="s">
        <v>62</v>
      </c>
      <c r="N324" s="6" t="s">
        <v>63</v>
      </c>
      <c r="O324" s="3" t="s">
        <v>64</v>
      </c>
      <c r="Q324" s="6" t="str">
        <f>VLOOKUP(G324,seznampsc!A:B,2,FALSE)</f>
        <v>Tachov</v>
      </c>
      <c r="R324" s="6" t="str">
        <f>VLOOKUP(G324,seznampsc!A:C,3,FALSE)</f>
        <v>Plzeňský kraj</v>
      </c>
      <c r="S324" s="6">
        <v>49.798780000000001</v>
      </c>
      <c r="T324" s="6">
        <v>12.636189999999999</v>
      </c>
      <c r="U324" s="6"/>
      <c r="V324" s="6"/>
      <c r="W324" s="6"/>
      <c r="X324" s="6"/>
      <c r="Y324" s="6"/>
      <c r="Z324" s="6"/>
      <c r="AA324" s="6"/>
      <c r="AB324" s="6"/>
      <c r="AC324" s="6"/>
      <c r="AD324" s="6">
        <v>680</v>
      </c>
      <c r="AE324" s="6">
        <v>680</v>
      </c>
      <c r="AF324" s="6">
        <v>680</v>
      </c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>
        <v>10</v>
      </c>
      <c r="AR324" s="6"/>
      <c r="AS324" s="6"/>
      <c r="AT324" s="6"/>
      <c r="AV324" s="3">
        <v>100000</v>
      </c>
    </row>
    <row r="325" spans="1:48" ht="24" customHeight="1" x14ac:dyDescent="0.3">
      <c r="A325" s="6" t="s">
        <v>53</v>
      </c>
      <c r="B325" s="6" t="s">
        <v>65</v>
      </c>
      <c r="C325" s="6" t="s">
        <v>2049</v>
      </c>
      <c r="D325" s="16">
        <v>48138533</v>
      </c>
      <c r="E325" s="6" t="s">
        <v>2050</v>
      </c>
      <c r="F325" s="6" t="s">
        <v>2051</v>
      </c>
      <c r="G325" s="6">
        <v>54401</v>
      </c>
      <c r="H325" s="6" t="s">
        <v>1858</v>
      </c>
      <c r="I325" s="6" t="s">
        <v>2050</v>
      </c>
      <c r="J325" s="6" t="s">
        <v>2052</v>
      </c>
      <c r="K325" s="6">
        <v>777943916</v>
      </c>
      <c r="L325" s="6" t="s">
        <v>1676</v>
      </c>
      <c r="M325" s="6" t="s">
        <v>62</v>
      </c>
      <c r="N325" s="6" t="s">
        <v>63</v>
      </c>
      <c r="O325" s="6" t="s">
        <v>787</v>
      </c>
      <c r="P325" s="6"/>
      <c r="Q325" s="6" t="str">
        <f>VLOOKUP(G325,seznampsc!A:B,2,FALSE)</f>
        <v>Trutnov</v>
      </c>
      <c r="R325" s="6" t="str">
        <f>VLOOKUP(G325,seznampsc!A:C,3,FALSE)</f>
        <v>Královéhradecký kraj</v>
      </c>
      <c r="U325" s="29">
        <v>0.05</v>
      </c>
      <c r="V325" s="29">
        <v>0.05</v>
      </c>
      <c r="W325" s="29">
        <v>0.05</v>
      </c>
      <c r="X325" s="3">
        <v>1500</v>
      </c>
      <c r="Y325" s="3">
        <v>800</v>
      </c>
      <c r="AU325" s="6"/>
      <c r="AV325" s="3">
        <v>50000</v>
      </c>
    </row>
    <row r="326" spans="1:48" ht="24" customHeight="1" x14ac:dyDescent="0.3">
      <c r="A326" s="6"/>
      <c r="B326" s="6" t="s">
        <v>65</v>
      </c>
      <c r="C326" s="6" t="s">
        <v>2053</v>
      </c>
      <c r="D326" s="6">
        <v>25536214</v>
      </c>
      <c r="E326" s="6" t="s">
        <v>2054</v>
      </c>
      <c r="F326" s="6" t="s">
        <v>2055</v>
      </c>
      <c r="G326" s="6">
        <v>76701</v>
      </c>
      <c r="H326" s="6" t="s">
        <v>567</v>
      </c>
      <c r="I326" s="6" t="s">
        <v>2056</v>
      </c>
      <c r="J326" s="6" t="s">
        <v>2057</v>
      </c>
      <c r="K326" s="6">
        <v>602289438</v>
      </c>
      <c r="L326" s="6" t="s">
        <v>586</v>
      </c>
      <c r="M326" s="6" t="s">
        <v>134</v>
      </c>
      <c r="N326" s="6" t="s">
        <v>63</v>
      </c>
      <c r="O326" s="6" t="s">
        <v>531</v>
      </c>
      <c r="P326" s="6"/>
      <c r="Q326" s="6" t="str">
        <f>VLOOKUP(G326,seznampsc!A:B,2,FALSE)</f>
        <v>Kroměříž</v>
      </c>
      <c r="R326" s="6" t="str">
        <f>VLOOKUP(G326,seznampsc!A:C,3,FALSE)</f>
        <v>Zlínský kraj</v>
      </c>
      <c r="S326" s="6" t="s">
        <v>2058</v>
      </c>
      <c r="T326" s="6" t="s">
        <v>2059</v>
      </c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V326" s="10">
        <v>200000</v>
      </c>
    </row>
    <row r="327" spans="1:48" ht="24" customHeight="1" x14ac:dyDescent="0.3">
      <c r="A327" s="6"/>
      <c r="B327" s="6" t="s">
        <v>65</v>
      </c>
      <c r="C327" s="6" t="s">
        <v>2053</v>
      </c>
      <c r="D327" s="6">
        <v>25536214</v>
      </c>
      <c r="E327" s="6" t="s">
        <v>2054</v>
      </c>
      <c r="F327" s="6" t="s">
        <v>2055</v>
      </c>
      <c r="G327" s="6">
        <v>76701</v>
      </c>
      <c r="H327" s="6" t="s">
        <v>567</v>
      </c>
      <c r="I327" s="6" t="s">
        <v>2056</v>
      </c>
      <c r="J327" s="6" t="s">
        <v>2057</v>
      </c>
      <c r="K327" s="6">
        <v>602289438</v>
      </c>
      <c r="L327" s="6" t="s">
        <v>73</v>
      </c>
      <c r="M327" s="3" t="s">
        <v>62</v>
      </c>
      <c r="N327" s="6" t="s">
        <v>63</v>
      </c>
      <c r="O327" s="6" t="s">
        <v>531</v>
      </c>
      <c r="P327" s="6"/>
      <c r="Q327" s="6" t="str">
        <f>VLOOKUP(G327,seznampsc!A:B,2,FALSE)</f>
        <v>Kroměříž</v>
      </c>
      <c r="R327" s="6" t="str">
        <f>VLOOKUP(G327,seznampsc!A:C,3,FALSE)</f>
        <v>Zlínský kraj</v>
      </c>
      <c r="S327" s="6">
        <v>49.371070000000003</v>
      </c>
      <c r="T327" s="6">
        <v>17.4529</v>
      </c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</row>
    <row r="328" spans="1:48" ht="24" customHeight="1" x14ac:dyDescent="0.3">
      <c r="A328" s="6"/>
      <c r="B328" s="6" t="s">
        <v>65</v>
      </c>
      <c r="C328" s="6" t="s">
        <v>2060</v>
      </c>
      <c r="D328" s="6">
        <v>19774290</v>
      </c>
      <c r="E328" s="6" t="s">
        <v>2061</v>
      </c>
      <c r="F328" s="6" t="s">
        <v>2062</v>
      </c>
      <c r="G328" s="6">
        <v>50003</v>
      </c>
      <c r="H328" s="6" t="s">
        <v>330</v>
      </c>
      <c r="I328" s="6" t="s">
        <v>2063</v>
      </c>
      <c r="J328" s="7" t="s">
        <v>2064</v>
      </c>
      <c r="K328" s="6">
        <v>495733712</v>
      </c>
      <c r="L328" s="6" t="s">
        <v>586</v>
      </c>
      <c r="M328" s="6" t="s">
        <v>2065</v>
      </c>
      <c r="N328" s="6" t="s">
        <v>63</v>
      </c>
      <c r="O328" s="6" t="s">
        <v>2066</v>
      </c>
      <c r="P328" s="6"/>
      <c r="Q328" s="6" t="str">
        <f>VLOOKUP(G328,seznampsc!A:B,2,FALSE)</f>
        <v>Hradec Králové</v>
      </c>
      <c r="R328" s="6" t="str">
        <f>VLOOKUP(G328,seznampsc!A:C,3,FALSE)</f>
        <v>Královéhradecký kraj</v>
      </c>
      <c r="S328" s="6" t="s">
        <v>2067</v>
      </c>
      <c r="T328" s="6" t="s">
        <v>2068</v>
      </c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3" t="s">
        <v>2069</v>
      </c>
      <c r="AV328" s="10">
        <v>200000</v>
      </c>
    </row>
    <row r="329" spans="1:48" ht="24" customHeight="1" x14ac:dyDescent="0.3">
      <c r="A329" s="6"/>
      <c r="B329" s="6" t="s">
        <v>65</v>
      </c>
      <c r="C329" s="6" t="s">
        <v>2060</v>
      </c>
      <c r="D329" s="6">
        <v>19774290</v>
      </c>
      <c r="E329" s="6" t="s">
        <v>2061</v>
      </c>
      <c r="F329" s="6" t="s">
        <v>2070</v>
      </c>
      <c r="G329" s="6">
        <v>53333</v>
      </c>
      <c r="H329" s="6" t="s">
        <v>2071</v>
      </c>
      <c r="I329" s="6" t="s">
        <v>2072</v>
      </c>
      <c r="J329" s="7" t="s">
        <v>2073</v>
      </c>
      <c r="K329" s="6">
        <v>725845122</v>
      </c>
      <c r="L329" s="6" t="s">
        <v>586</v>
      </c>
      <c r="M329" s="6" t="s">
        <v>2074</v>
      </c>
      <c r="N329" s="6" t="s">
        <v>63</v>
      </c>
      <c r="O329" s="6" t="s">
        <v>2075</v>
      </c>
      <c r="P329" s="6"/>
      <c r="Q329" s="6" t="str">
        <f>VLOOKUP(G329,seznampsc!A:B,2,FALSE)</f>
        <v>Pardubice</v>
      </c>
      <c r="R329" s="6" t="str">
        <f>VLOOKUP(G329,seznampsc!A:C,3,FALSE)</f>
        <v>Pardubický kraj</v>
      </c>
      <c r="S329" s="6" t="s">
        <v>2076</v>
      </c>
      <c r="T329" s="6" t="s">
        <v>2077</v>
      </c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3" t="s">
        <v>2069</v>
      </c>
      <c r="AV329" s="10">
        <v>200000</v>
      </c>
    </row>
    <row r="330" spans="1:48" ht="24" customHeight="1" x14ac:dyDescent="0.3">
      <c r="A330" s="6"/>
      <c r="B330" s="6" t="s">
        <v>65</v>
      </c>
      <c r="C330" s="6" t="s">
        <v>2060</v>
      </c>
      <c r="D330" s="6">
        <v>19774290</v>
      </c>
      <c r="E330" s="6" t="s">
        <v>2061</v>
      </c>
      <c r="F330" s="6" t="s">
        <v>2078</v>
      </c>
      <c r="G330" s="6">
        <v>19000</v>
      </c>
      <c r="H330" s="6" t="s">
        <v>978</v>
      </c>
      <c r="I330" s="6" t="s">
        <v>2079</v>
      </c>
      <c r="J330" s="7" t="s">
        <v>2080</v>
      </c>
      <c r="K330" s="6">
        <v>720963402</v>
      </c>
      <c r="L330" s="6" t="s">
        <v>586</v>
      </c>
      <c r="M330" s="6" t="s">
        <v>2065</v>
      </c>
      <c r="N330" s="6" t="s">
        <v>63</v>
      </c>
      <c r="O330" s="6" t="s">
        <v>2081</v>
      </c>
      <c r="P330" s="6"/>
      <c r="Q330" s="6" t="str">
        <f>VLOOKUP(G330,seznampsc!A:B,2,FALSE)</f>
        <v>Hlavní město Praha</v>
      </c>
      <c r="R330" s="6" t="str">
        <f>VLOOKUP(G330,seznampsc!A:C,3,FALSE)</f>
        <v>Hlavní město Praha</v>
      </c>
      <c r="S330" s="6" t="s">
        <v>2082</v>
      </c>
      <c r="T330" s="6" t="s">
        <v>2083</v>
      </c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3" t="s">
        <v>2069</v>
      </c>
      <c r="AV330" s="10">
        <v>200000</v>
      </c>
    </row>
    <row r="331" spans="1:48" ht="24" customHeight="1" x14ac:dyDescent="0.3">
      <c r="A331" s="6"/>
      <c r="B331" s="6" t="s">
        <v>65</v>
      </c>
      <c r="C331" s="6" t="s">
        <v>2084</v>
      </c>
      <c r="D331" s="6">
        <v>26435713</v>
      </c>
      <c r="E331" s="6" t="s">
        <v>2085</v>
      </c>
      <c r="F331" s="6" t="s">
        <v>2086</v>
      </c>
      <c r="G331" s="6">
        <v>16000</v>
      </c>
      <c r="H331" s="6" t="s">
        <v>2087</v>
      </c>
      <c r="I331" s="6" t="s">
        <v>2088</v>
      </c>
      <c r="J331" s="6" t="s">
        <v>2089</v>
      </c>
      <c r="K331" s="6" t="s">
        <v>2090</v>
      </c>
      <c r="L331" s="6" t="s">
        <v>586</v>
      </c>
      <c r="M331" s="6" t="s">
        <v>919</v>
      </c>
      <c r="N331" s="6" t="s">
        <v>63</v>
      </c>
      <c r="O331" s="6" t="s">
        <v>1943</v>
      </c>
      <c r="P331" s="6"/>
      <c r="Q331" s="6" t="str">
        <f>VLOOKUP(G331,seznampsc!A:B,2,FALSE)</f>
        <v>Hlavní město Praha</v>
      </c>
      <c r="R331" s="6" t="str">
        <f>VLOOKUP(G331,seznampsc!A:C,3,FALSE)</f>
        <v>Hlavní město Praha</v>
      </c>
      <c r="S331" s="6" t="s">
        <v>2091</v>
      </c>
      <c r="T331" s="6" t="s">
        <v>2092</v>
      </c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V331" s="10">
        <v>200000</v>
      </c>
    </row>
    <row r="332" spans="1:48" ht="24" customHeight="1" x14ac:dyDescent="0.3">
      <c r="A332" s="6"/>
      <c r="B332" s="6" t="s">
        <v>65</v>
      </c>
      <c r="C332" s="6" t="s">
        <v>2084</v>
      </c>
      <c r="D332" s="6">
        <v>26435713</v>
      </c>
      <c r="E332" s="6" t="s">
        <v>2085</v>
      </c>
      <c r="F332" s="6" t="s">
        <v>2093</v>
      </c>
      <c r="G332" s="6">
        <v>15200</v>
      </c>
      <c r="H332" s="6" t="s">
        <v>2094</v>
      </c>
      <c r="I332" s="6" t="s">
        <v>2095</v>
      </c>
      <c r="J332" s="6" t="s">
        <v>2096</v>
      </c>
      <c r="K332" s="6">
        <v>602958601</v>
      </c>
      <c r="L332" s="6" t="s">
        <v>586</v>
      </c>
      <c r="M332" s="6" t="s">
        <v>84</v>
      </c>
      <c r="N332" s="6" t="s">
        <v>63</v>
      </c>
      <c r="O332" s="6" t="s">
        <v>1943</v>
      </c>
      <c r="P332" s="6"/>
      <c r="Q332" s="6" t="str">
        <f>VLOOKUP(G332,seznampsc!A:B,2,FALSE)</f>
        <v>Hlavní město Praha</v>
      </c>
      <c r="R332" s="6" t="str">
        <f>VLOOKUP(G332,seznampsc!A:C,3,FALSE)</f>
        <v>Hlavní město Praha</v>
      </c>
      <c r="S332" s="6" t="s">
        <v>2097</v>
      </c>
      <c r="T332" s="6" t="s">
        <v>2098</v>
      </c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V332" s="10">
        <v>200000</v>
      </c>
    </row>
    <row r="333" spans="1:48" ht="24" customHeight="1" x14ac:dyDescent="0.3">
      <c r="A333" s="1"/>
      <c r="B333" s="1" t="s">
        <v>65</v>
      </c>
      <c r="C333" s="1" t="s">
        <v>2099</v>
      </c>
      <c r="D333" s="1">
        <v>47715804</v>
      </c>
      <c r="E333" s="1" t="s">
        <v>2100</v>
      </c>
      <c r="F333" s="1" t="s">
        <v>526</v>
      </c>
      <c r="G333" s="1">
        <v>33901</v>
      </c>
      <c r="H333" s="1" t="s">
        <v>527</v>
      </c>
      <c r="I333" s="1" t="s">
        <v>528</v>
      </c>
      <c r="J333" s="1" t="s">
        <v>2101</v>
      </c>
      <c r="K333" s="1">
        <v>702209919</v>
      </c>
      <c r="L333" s="1" t="s">
        <v>586</v>
      </c>
      <c r="M333" s="1" t="s">
        <v>2102</v>
      </c>
      <c r="N333" s="1" t="s">
        <v>63</v>
      </c>
      <c r="O333" s="1" t="s">
        <v>531</v>
      </c>
      <c r="P333" s="6"/>
      <c r="Q333" s="6" t="str">
        <f>VLOOKUP(G333,seznampsc!A:B,2,FALSE)</f>
        <v>Klatovy</v>
      </c>
      <c r="R333" s="6" t="str">
        <f>VLOOKUP(G333,seznampsc!A:C,3,FALSE)</f>
        <v>Plzeňský kraj</v>
      </c>
      <c r="S333" s="1" t="s">
        <v>2103</v>
      </c>
      <c r="T333" s="1" t="s">
        <v>2104</v>
      </c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 t="s">
        <v>2105</v>
      </c>
      <c r="AV333" s="10">
        <v>200000</v>
      </c>
    </row>
    <row r="334" spans="1:48" ht="24" customHeight="1" x14ac:dyDescent="0.3">
      <c r="A334" s="6"/>
      <c r="B334" s="6" t="s">
        <v>65</v>
      </c>
      <c r="C334" s="6" t="s">
        <v>2106</v>
      </c>
      <c r="D334" s="6">
        <v>25611381</v>
      </c>
      <c r="E334" s="6" t="s">
        <v>2107</v>
      </c>
      <c r="F334" s="6" t="s">
        <v>2108</v>
      </c>
      <c r="G334" s="6">
        <v>28401</v>
      </c>
      <c r="H334" s="6" t="s">
        <v>1835</v>
      </c>
      <c r="I334" s="6" t="s">
        <v>2109</v>
      </c>
      <c r="J334" s="6" t="s">
        <v>2110</v>
      </c>
      <c r="K334" s="6">
        <v>606741029</v>
      </c>
      <c r="L334" s="6" t="s">
        <v>586</v>
      </c>
      <c r="M334" s="6" t="s">
        <v>134</v>
      </c>
      <c r="N334" s="6" t="s">
        <v>63</v>
      </c>
      <c r="O334" s="6" t="s">
        <v>2111</v>
      </c>
      <c r="P334" s="6"/>
      <c r="Q334" s="6" t="str">
        <f>VLOOKUP(G334,seznampsc!A:B,2,FALSE)</f>
        <v>Kutná Hora</v>
      </c>
      <c r="R334" s="6" t="str">
        <f>VLOOKUP(G334,seznampsc!A:C,3,FALSE)</f>
        <v>Středočeský kraj</v>
      </c>
      <c r="S334" s="6" t="s">
        <v>2112</v>
      </c>
      <c r="T334" s="6" t="s">
        <v>2113</v>
      </c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V334" s="10">
        <v>200000</v>
      </c>
    </row>
    <row r="335" spans="1:48" ht="24" customHeight="1" x14ac:dyDescent="0.3">
      <c r="A335" s="6"/>
      <c r="B335" s="6" t="s">
        <v>65</v>
      </c>
      <c r="C335" s="6" t="s">
        <v>2114</v>
      </c>
      <c r="D335" s="6">
        <v>25163051</v>
      </c>
      <c r="E335" s="6" t="s">
        <v>2115</v>
      </c>
      <c r="F335" s="6" t="s">
        <v>2116</v>
      </c>
      <c r="G335" s="6">
        <v>37367</v>
      </c>
      <c r="H335" s="6" t="s">
        <v>1129</v>
      </c>
      <c r="I335" s="6" t="s">
        <v>2117</v>
      </c>
      <c r="J335" s="7" t="s">
        <v>2118</v>
      </c>
      <c r="K335" s="6">
        <v>731009719</v>
      </c>
      <c r="L335" s="6" t="s">
        <v>586</v>
      </c>
      <c r="M335" s="6" t="s">
        <v>134</v>
      </c>
      <c r="N335" s="6" t="s">
        <v>63</v>
      </c>
      <c r="O335" s="6" t="s">
        <v>2119</v>
      </c>
      <c r="P335" s="6"/>
      <c r="Q335" s="6" t="str">
        <f>VLOOKUP(G335,seznampsc!A:B,2,FALSE)</f>
        <v>České Budějovice</v>
      </c>
      <c r="R335" s="6" t="str">
        <f>VLOOKUP(G335,seznampsc!A:C,3,FALSE)</f>
        <v>Jihočeský kraj</v>
      </c>
      <c r="S335" s="6" t="s">
        <v>2120</v>
      </c>
      <c r="T335" s="6" t="s">
        <v>2121</v>
      </c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V335" s="10">
        <v>200000</v>
      </c>
    </row>
    <row r="336" spans="1:48" ht="24" customHeight="1" x14ac:dyDescent="0.3">
      <c r="A336" s="6"/>
      <c r="B336" s="6" t="s">
        <v>65</v>
      </c>
      <c r="C336" s="6" t="s">
        <v>2122</v>
      </c>
      <c r="D336" s="6">
        <v>26078848</v>
      </c>
      <c r="E336" s="6" t="s">
        <v>2123</v>
      </c>
      <c r="F336" s="6" t="s">
        <v>2124</v>
      </c>
      <c r="G336" s="6">
        <v>37701</v>
      </c>
      <c r="H336" s="6" t="s">
        <v>2125</v>
      </c>
      <c r="I336" s="6" t="s">
        <v>2126</v>
      </c>
      <c r="J336" s="6" t="s">
        <v>2127</v>
      </c>
      <c r="K336" s="6" t="s">
        <v>2128</v>
      </c>
      <c r="L336" s="6" t="s">
        <v>586</v>
      </c>
      <c r="M336" s="6" t="s">
        <v>2129</v>
      </c>
      <c r="N336" s="6" t="s">
        <v>63</v>
      </c>
      <c r="O336" s="6" t="s">
        <v>2130</v>
      </c>
      <c r="P336" s="6"/>
      <c r="Q336" s="6" t="str">
        <f>VLOOKUP(G336,seznampsc!A:B,2,FALSE)</f>
        <v>Jindřichův Hradec</v>
      </c>
      <c r="R336" s="6" t="str">
        <f>VLOOKUP(G336,seznampsc!A:C,3,FALSE)</f>
        <v>Jihočeský kraj</v>
      </c>
      <c r="S336" s="6" t="s">
        <v>2131</v>
      </c>
      <c r="T336" s="6" t="s">
        <v>2132</v>
      </c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  <c r="AV336" s="10">
        <v>200000</v>
      </c>
    </row>
    <row r="337" spans="1:48" ht="24" customHeight="1" x14ac:dyDescent="0.3">
      <c r="A337" s="6"/>
      <c r="B337" s="6" t="s">
        <v>65</v>
      </c>
      <c r="C337" s="6" t="s">
        <v>2122</v>
      </c>
      <c r="D337" s="6">
        <v>26078848</v>
      </c>
      <c r="E337" s="6" t="s">
        <v>2123</v>
      </c>
      <c r="F337" s="6" t="s">
        <v>2124</v>
      </c>
      <c r="G337" s="6">
        <v>37701</v>
      </c>
      <c r="H337" s="6" t="s">
        <v>2125</v>
      </c>
      <c r="I337" s="6" t="s">
        <v>2126</v>
      </c>
      <c r="J337" s="6" t="s">
        <v>2127</v>
      </c>
      <c r="K337" s="6" t="s">
        <v>2128</v>
      </c>
      <c r="L337" s="6" t="s">
        <v>73</v>
      </c>
      <c r="M337" s="3" t="s">
        <v>62</v>
      </c>
      <c r="N337" s="6" t="s">
        <v>63</v>
      </c>
      <c r="O337" s="6" t="s">
        <v>2130</v>
      </c>
      <c r="P337" s="6"/>
      <c r="Q337" s="6" t="str">
        <f>VLOOKUP(G337,seznampsc!A:B,2,FALSE)</f>
        <v>Jindřichův Hradec</v>
      </c>
      <c r="R337" s="6" t="str">
        <f>VLOOKUP(G337,seznampsc!A:C,3,FALSE)</f>
        <v>Jihočeský kraj</v>
      </c>
      <c r="S337" s="6">
        <v>49.170490000000001</v>
      </c>
      <c r="T337" s="6">
        <v>15.041399999999999</v>
      </c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</row>
    <row r="338" spans="1:48" ht="24" customHeight="1" x14ac:dyDescent="0.3">
      <c r="A338" s="6" t="s">
        <v>53</v>
      </c>
      <c r="B338" s="6" t="s">
        <v>65</v>
      </c>
      <c r="C338" s="6" t="s">
        <v>2133</v>
      </c>
      <c r="D338" s="6">
        <v>4349547</v>
      </c>
      <c r="E338" s="6" t="s">
        <v>2134</v>
      </c>
      <c r="F338" s="6" t="s">
        <v>2135</v>
      </c>
      <c r="G338" s="6">
        <v>26223</v>
      </c>
      <c r="H338" s="6" t="s">
        <v>2136</v>
      </c>
      <c r="I338" s="6" t="s">
        <v>2137</v>
      </c>
      <c r="J338" s="6" t="s">
        <v>2138</v>
      </c>
      <c r="K338" s="6">
        <v>602603899</v>
      </c>
      <c r="L338" s="6" t="s">
        <v>73</v>
      </c>
      <c r="M338" s="6" t="s">
        <v>62</v>
      </c>
      <c r="N338" s="6" t="s">
        <v>63</v>
      </c>
      <c r="O338" s="6" t="s">
        <v>2139</v>
      </c>
      <c r="P338" s="6"/>
      <c r="Q338" s="6" t="str">
        <f>VLOOKUP(G338,seznampsc!A:B,2,FALSE)</f>
        <v>Příbram</v>
      </c>
      <c r="R338" s="6" t="str">
        <f>VLOOKUP(G338,seznampsc!A:C,3,FALSE)</f>
        <v>Středočeský kraj</v>
      </c>
      <c r="S338" s="6">
        <v>49.822899999999997</v>
      </c>
      <c r="T338" s="6">
        <v>13.99722</v>
      </c>
      <c r="U338" s="6"/>
      <c r="V338" s="6"/>
      <c r="W338" s="6"/>
      <c r="X338" s="6"/>
      <c r="Y338" s="6"/>
      <c r="Z338" s="6"/>
      <c r="AA338" s="6"/>
      <c r="AB338" s="6"/>
      <c r="AC338" s="6"/>
      <c r="AD338" s="6">
        <v>660</v>
      </c>
      <c r="AE338" s="6">
        <v>660</v>
      </c>
      <c r="AF338" s="6">
        <v>700</v>
      </c>
      <c r="AG338" s="6"/>
      <c r="AH338" s="6"/>
      <c r="AI338" s="6"/>
      <c r="AJ338" s="6">
        <v>107</v>
      </c>
      <c r="AK338" s="6">
        <v>107</v>
      </c>
      <c r="AL338" s="6"/>
      <c r="AM338" s="6"/>
      <c r="AN338" s="6"/>
      <c r="AO338" s="6"/>
      <c r="AP338" s="6">
        <v>0</v>
      </c>
      <c r="AQ338" s="6">
        <v>0</v>
      </c>
      <c r="AR338" s="6"/>
      <c r="AS338" s="6"/>
      <c r="AT338" s="6"/>
      <c r="AV338" s="3">
        <v>100000</v>
      </c>
    </row>
    <row r="339" spans="1:48" ht="24" customHeight="1" x14ac:dyDescent="0.3">
      <c r="B339" s="6" t="s">
        <v>65</v>
      </c>
      <c r="C339" s="6" t="s">
        <v>2140</v>
      </c>
      <c r="D339" s="6">
        <v>28009321</v>
      </c>
      <c r="E339" s="6" t="s">
        <v>2141</v>
      </c>
      <c r="F339" s="6" t="s">
        <v>2142</v>
      </c>
      <c r="G339" s="6">
        <v>33017</v>
      </c>
      <c r="H339" s="6" t="s">
        <v>2143</v>
      </c>
      <c r="I339" s="6" t="s">
        <v>2144</v>
      </c>
      <c r="J339" s="6" t="s">
        <v>2145</v>
      </c>
      <c r="K339" s="6">
        <v>725783060</v>
      </c>
      <c r="L339" s="6" t="s">
        <v>586</v>
      </c>
      <c r="M339" s="6" t="s">
        <v>830</v>
      </c>
      <c r="N339" s="6" t="s">
        <v>63</v>
      </c>
      <c r="O339" s="6" t="s">
        <v>2146</v>
      </c>
      <c r="P339" s="6"/>
      <c r="Q339" s="6" t="str">
        <f>VLOOKUP(G339,seznampsc!A:B,2,FALSE)</f>
        <v>Plzeň-sever</v>
      </c>
      <c r="R339" s="6" t="str">
        <f>VLOOKUP(G339,seznampsc!A:C,3,FALSE)</f>
        <v>Plzeňský kraj</v>
      </c>
      <c r="S339" s="6" t="s">
        <v>2147</v>
      </c>
      <c r="T339" s="6" t="s">
        <v>2148</v>
      </c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8">
        <v>100000</v>
      </c>
    </row>
    <row r="340" spans="1:48" ht="24" customHeight="1" x14ac:dyDescent="0.3">
      <c r="A340" s="6"/>
      <c r="B340" s="6" t="s">
        <v>65</v>
      </c>
      <c r="C340" s="6" t="s">
        <v>2140</v>
      </c>
      <c r="D340" s="6">
        <v>28009321</v>
      </c>
      <c r="E340" s="6" t="s">
        <v>2141</v>
      </c>
      <c r="F340" s="6" t="s">
        <v>2142</v>
      </c>
      <c r="G340" s="6">
        <v>33017</v>
      </c>
      <c r="H340" s="6" t="s">
        <v>2143</v>
      </c>
      <c r="I340" s="6" t="s">
        <v>2144</v>
      </c>
      <c r="J340" s="6" t="s">
        <v>2145</v>
      </c>
      <c r="K340" s="6">
        <v>725783060</v>
      </c>
      <c r="L340" s="6" t="s">
        <v>73</v>
      </c>
      <c r="M340" s="6" t="s">
        <v>2149</v>
      </c>
      <c r="N340" s="6" t="s">
        <v>63</v>
      </c>
      <c r="O340" s="6" t="s">
        <v>2146</v>
      </c>
      <c r="P340" s="6"/>
      <c r="Q340" s="6" t="str">
        <f>VLOOKUP(G340,seznampsc!A:B,2,FALSE)</f>
        <v>Plzeň-sever</v>
      </c>
      <c r="R340" s="6" t="str">
        <f>VLOOKUP(G340,seznampsc!A:C,3,FALSE)</f>
        <v>Plzeňský kraj</v>
      </c>
      <c r="S340" s="6" t="s">
        <v>2147</v>
      </c>
      <c r="T340" s="6" t="s">
        <v>2148</v>
      </c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</row>
    <row r="341" spans="1:48" ht="24" customHeight="1" x14ac:dyDescent="0.3">
      <c r="A341" s="6"/>
      <c r="B341" s="6" t="s">
        <v>65</v>
      </c>
      <c r="C341" s="6" t="s">
        <v>2150</v>
      </c>
      <c r="D341" s="6">
        <v>48207322</v>
      </c>
      <c r="E341" s="6" t="s">
        <v>2151</v>
      </c>
      <c r="F341" s="6" t="s">
        <v>2152</v>
      </c>
      <c r="G341" s="6">
        <v>37011</v>
      </c>
      <c r="H341" s="6" t="s">
        <v>460</v>
      </c>
      <c r="I341" s="6" t="s">
        <v>2153</v>
      </c>
      <c r="J341" s="6" t="s">
        <v>2154</v>
      </c>
      <c r="K341" s="6" t="s">
        <v>2155</v>
      </c>
      <c r="L341" s="6" t="s">
        <v>586</v>
      </c>
      <c r="M341" s="6" t="s">
        <v>1942</v>
      </c>
      <c r="N341" s="6" t="s">
        <v>63</v>
      </c>
      <c r="O341" s="6" t="s">
        <v>1919</v>
      </c>
      <c r="P341" s="6"/>
      <c r="Q341" s="6" t="str">
        <f>VLOOKUP(G341,seznampsc!A:B,2,FALSE)</f>
        <v>České Budějovice</v>
      </c>
      <c r="R341" s="6" t="str">
        <f>VLOOKUP(G341,seznampsc!A:C,3,FALSE)</f>
        <v>Jihočeský kraj</v>
      </c>
      <c r="S341" s="6" t="s">
        <v>2156</v>
      </c>
      <c r="T341" s="6" t="s">
        <v>2157</v>
      </c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V341" s="10">
        <v>200000</v>
      </c>
    </row>
    <row r="342" spans="1:48" ht="24" customHeight="1" x14ac:dyDescent="0.3">
      <c r="A342" s="6"/>
      <c r="B342" s="6" t="s">
        <v>65</v>
      </c>
      <c r="C342" s="6" t="s">
        <v>2150</v>
      </c>
      <c r="D342" s="6">
        <v>48207322</v>
      </c>
      <c r="E342" s="6" t="s">
        <v>2151</v>
      </c>
      <c r="F342" s="6" t="s">
        <v>2158</v>
      </c>
      <c r="G342" s="6">
        <v>38601</v>
      </c>
      <c r="H342" s="6" t="s">
        <v>2159</v>
      </c>
      <c r="I342" s="6" t="s">
        <v>2160</v>
      </c>
      <c r="J342" s="6" t="s">
        <v>2161</v>
      </c>
      <c r="K342" s="6" t="s">
        <v>2162</v>
      </c>
      <c r="L342" s="6" t="s">
        <v>586</v>
      </c>
      <c r="M342" s="6" t="s">
        <v>1942</v>
      </c>
      <c r="N342" s="6" t="s">
        <v>63</v>
      </c>
      <c r="O342" s="6" t="s">
        <v>2163</v>
      </c>
      <c r="P342" s="6"/>
      <c r="Q342" s="6" t="str">
        <f>VLOOKUP(G342,seznampsc!A:B,2,FALSE)</f>
        <v>Strakonice</v>
      </c>
      <c r="R342" s="6" t="str">
        <f>VLOOKUP(G342,seznampsc!A:C,3,FALSE)</f>
        <v>Jihočeský kraj</v>
      </c>
      <c r="S342" s="6" t="s">
        <v>2164</v>
      </c>
      <c r="T342" s="6" t="s">
        <v>2165</v>
      </c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V342" s="10">
        <v>200000</v>
      </c>
    </row>
    <row r="343" spans="1:48" ht="24" customHeight="1" x14ac:dyDescent="0.3">
      <c r="A343" s="6"/>
      <c r="B343" s="6" t="s">
        <v>65</v>
      </c>
      <c r="C343" s="6" t="s">
        <v>2150</v>
      </c>
      <c r="D343" s="6">
        <v>48207322</v>
      </c>
      <c r="E343" s="6" t="s">
        <v>2151</v>
      </c>
      <c r="F343" s="6" t="s">
        <v>2166</v>
      </c>
      <c r="G343" s="6">
        <v>38301</v>
      </c>
      <c r="H343" s="6" t="s">
        <v>2167</v>
      </c>
      <c r="I343" s="6" t="s">
        <v>2168</v>
      </c>
      <c r="J343" s="6" t="s">
        <v>2169</v>
      </c>
      <c r="K343" s="6" t="s">
        <v>2170</v>
      </c>
      <c r="L343" s="6" t="s">
        <v>586</v>
      </c>
      <c r="M343" s="6" t="s">
        <v>1942</v>
      </c>
      <c r="N343" s="6" t="s">
        <v>63</v>
      </c>
      <c r="O343" s="6" t="s">
        <v>2163</v>
      </c>
      <c r="P343" s="6"/>
      <c r="Q343" s="6" t="str">
        <f>VLOOKUP(G343,seznampsc!A:B,2,FALSE)</f>
        <v>Prachatice</v>
      </c>
      <c r="R343" s="6" t="str">
        <f>VLOOKUP(G343,seznampsc!A:C,3,FALSE)</f>
        <v>Jihočeský kraj</v>
      </c>
      <c r="S343" s="6" t="s">
        <v>2171</v>
      </c>
      <c r="T343" s="6" t="s">
        <v>2172</v>
      </c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V343" s="10">
        <v>200000</v>
      </c>
    </row>
    <row r="344" spans="1:48" ht="24" customHeight="1" x14ac:dyDescent="0.3">
      <c r="A344" s="6"/>
      <c r="B344" s="6" t="s">
        <v>65</v>
      </c>
      <c r="C344" s="6" t="s">
        <v>2150</v>
      </c>
      <c r="D344" s="6">
        <v>48207322</v>
      </c>
      <c r="E344" s="6" t="s">
        <v>2151</v>
      </c>
      <c r="F344" s="6" t="s">
        <v>2173</v>
      </c>
      <c r="G344" s="6">
        <v>38901</v>
      </c>
      <c r="H344" s="6" t="s">
        <v>2174</v>
      </c>
      <c r="I344" s="6" t="s">
        <v>2175</v>
      </c>
      <c r="J344" s="6" t="s">
        <v>2176</v>
      </c>
      <c r="K344" s="6" t="s">
        <v>2177</v>
      </c>
      <c r="L344" s="6" t="s">
        <v>586</v>
      </c>
      <c r="M344" s="6" t="s">
        <v>1942</v>
      </c>
      <c r="N344" s="6" t="s">
        <v>63</v>
      </c>
      <c r="O344" s="6" t="s">
        <v>2163</v>
      </c>
      <c r="P344" s="6"/>
      <c r="Q344" s="6" t="str">
        <f>VLOOKUP(G344,seznampsc!A:B,2,FALSE)</f>
        <v>Strakonice</v>
      </c>
      <c r="R344" s="6" t="str">
        <f>VLOOKUP(G344,seznampsc!A:C,3,FALSE)</f>
        <v>Jihočeský kraj</v>
      </c>
      <c r="S344" s="6" t="s">
        <v>2178</v>
      </c>
      <c r="T344" s="6" t="s">
        <v>2179</v>
      </c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V344" s="10">
        <v>200000</v>
      </c>
    </row>
    <row r="345" spans="1:48" ht="24" customHeight="1" x14ac:dyDescent="0.3">
      <c r="A345" s="6"/>
      <c r="B345" s="6" t="s">
        <v>65</v>
      </c>
      <c r="C345" s="6" t="s">
        <v>2150</v>
      </c>
      <c r="D345" s="6">
        <v>48207322</v>
      </c>
      <c r="E345" s="6" t="s">
        <v>2151</v>
      </c>
      <c r="F345" s="6" t="s">
        <v>2180</v>
      </c>
      <c r="G345" s="6">
        <v>38501</v>
      </c>
      <c r="H345" s="6" t="s">
        <v>1741</v>
      </c>
      <c r="I345" s="6" t="s">
        <v>2181</v>
      </c>
      <c r="J345" s="6" t="s">
        <v>2182</v>
      </c>
      <c r="K345" s="6">
        <v>725051545</v>
      </c>
      <c r="L345" s="6" t="s">
        <v>586</v>
      </c>
      <c r="M345" s="6" t="s">
        <v>1942</v>
      </c>
      <c r="N345" s="6" t="s">
        <v>63</v>
      </c>
      <c r="O345" s="6" t="s">
        <v>2183</v>
      </c>
      <c r="P345" s="6"/>
      <c r="Q345" s="6" t="str">
        <f>VLOOKUP(G345,seznampsc!A:B,2,FALSE)</f>
        <v>Prachatice</v>
      </c>
      <c r="R345" s="6" t="str">
        <f>VLOOKUP(G345,seznampsc!A:C,3,FALSE)</f>
        <v>Jihočeský kraj</v>
      </c>
      <c r="S345" s="6" t="s">
        <v>2184</v>
      </c>
      <c r="T345" s="6" t="s">
        <v>2185</v>
      </c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V345" s="10">
        <v>200000</v>
      </c>
    </row>
    <row r="346" spans="1:48" ht="24" customHeight="1" x14ac:dyDescent="0.3">
      <c r="A346" s="6"/>
      <c r="B346" s="6" t="s">
        <v>65</v>
      </c>
      <c r="C346" s="6" t="s">
        <v>2186</v>
      </c>
      <c r="D346" s="6">
        <v>25622633</v>
      </c>
      <c r="E346" s="6" t="s">
        <v>2187</v>
      </c>
      <c r="F346" s="6" t="s">
        <v>2188</v>
      </c>
      <c r="G346" s="6">
        <v>26101</v>
      </c>
      <c r="H346" s="6" t="s">
        <v>2189</v>
      </c>
      <c r="I346" s="6" t="s">
        <v>2190</v>
      </c>
      <c r="J346" s="6" t="s">
        <v>2191</v>
      </c>
      <c r="K346" s="6" t="s">
        <v>2192</v>
      </c>
      <c r="L346" s="6" t="s">
        <v>586</v>
      </c>
      <c r="M346" s="6" t="s">
        <v>2193</v>
      </c>
      <c r="N346" s="6" t="s">
        <v>63</v>
      </c>
      <c r="O346" s="6" t="s">
        <v>2194</v>
      </c>
      <c r="P346" s="6"/>
      <c r="Q346" s="6" t="str">
        <f>VLOOKUP(G346,seznampsc!A:B,2,FALSE)</f>
        <v>Příbram</v>
      </c>
      <c r="R346" s="6" t="str">
        <f>VLOOKUP(G346,seznampsc!A:C,3,FALSE)</f>
        <v>Středočeský kraj</v>
      </c>
      <c r="S346" s="6" t="s">
        <v>2195</v>
      </c>
      <c r="T346" s="6" t="s">
        <v>2196</v>
      </c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V346" s="10">
        <v>200000</v>
      </c>
    </row>
    <row r="347" spans="1:48" ht="24" customHeight="1" x14ac:dyDescent="0.3">
      <c r="A347" s="6"/>
      <c r="B347" s="6" t="s">
        <v>65</v>
      </c>
      <c r="C347" s="6" t="s">
        <v>2186</v>
      </c>
      <c r="D347" s="6">
        <v>25622633</v>
      </c>
      <c r="E347" s="6" t="s">
        <v>2187</v>
      </c>
      <c r="F347" s="6" t="s">
        <v>2197</v>
      </c>
      <c r="G347" s="6">
        <v>37011</v>
      </c>
      <c r="H347" s="6" t="s">
        <v>460</v>
      </c>
      <c r="I347" s="6" t="s">
        <v>2198</v>
      </c>
      <c r="J347" s="6" t="s">
        <v>2199</v>
      </c>
      <c r="K347" s="6" t="s">
        <v>2200</v>
      </c>
      <c r="L347" s="6" t="s">
        <v>586</v>
      </c>
      <c r="M347" s="6" t="s">
        <v>2193</v>
      </c>
      <c r="N347" s="6" t="s">
        <v>63</v>
      </c>
      <c r="O347" s="6" t="s">
        <v>2194</v>
      </c>
      <c r="P347" s="6"/>
      <c r="Q347" s="6" t="str">
        <f>VLOOKUP(G347,seznampsc!A:B,2,FALSE)</f>
        <v>České Budějovice</v>
      </c>
      <c r="R347" s="6" t="str">
        <f>VLOOKUP(G347,seznampsc!A:C,3,FALSE)</f>
        <v>Jihočeský kraj</v>
      </c>
      <c r="S347" s="6" t="s">
        <v>2201</v>
      </c>
      <c r="T347" s="6" t="s">
        <v>2202</v>
      </c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V347" s="10">
        <v>200000</v>
      </c>
    </row>
    <row r="348" spans="1:48" ht="24" customHeight="1" x14ac:dyDescent="0.3">
      <c r="A348" s="6"/>
      <c r="B348" s="6" t="s">
        <v>65</v>
      </c>
      <c r="C348" s="6" t="s">
        <v>2186</v>
      </c>
      <c r="D348" s="6">
        <v>25622633</v>
      </c>
      <c r="E348" s="6" t="s">
        <v>2187</v>
      </c>
      <c r="F348" s="6" t="s">
        <v>2203</v>
      </c>
      <c r="G348" s="6">
        <v>39002</v>
      </c>
      <c r="H348" s="6" t="s">
        <v>106</v>
      </c>
      <c r="I348" s="6" t="s">
        <v>2204</v>
      </c>
      <c r="J348" s="6" t="s">
        <v>2205</v>
      </c>
      <c r="K348" s="6" t="s">
        <v>2206</v>
      </c>
      <c r="L348" s="6" t="s">
        <v>586</v>
      </c>
      <c r="M348" s="6" t="s">
        <v>2193</v>
      </c>
      <c r="N348" s="6" t="s">
        <v>63</v>
      </c>
      <c r="O348" s="6" t="s">
        <v>2194</v>
      </c>
      <c r="P348" s="6"/>
      <c r="Q348" s="6" t="str">
        <f>VLOOKUP(G348,seznampsc!A:B,2,FALSE)</f>
        <v>Tábor</v>
      </c>
      <c r="R348" s="6" t="str">
        <f>VLOOKUP(G348,seznampsc!A:C,3,FALSE)</f>
        <v>Jihočeský kraj</v>
      </c>
      <c r="S348" s="6" t="s">
        <v>2207</v>
      </c>
      <c r="T348" s="6" t="s">
        <v>2208</v>
      </c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V348" s="10">
        <v>200000</v>
      </c>
    </row>
    <row r="349" spans="1:48" ht="24" customHeight="1" x14ac:dyDescent="0.3">
      <c r="A349" s="6"/>
      <c r="B349" s="6" t="s">
        <v>65</v>
      </c>
      <c r="C349" s="6" t="s">
        <v>2186</v>
      </c>
      <c r="D349" s="6">
        <v>25622633</v>
      </c>
      <c r="E349" s="6" t="s">
        <v>2187</v>
      </c>
      <c r="F349" s="6" t="s">
        <v>2209</v>
      </c>
      <c r="G349" s="6">
        <v>39701</v>
      </c>
      <c r="H349" s="6" t="s">
        <v>1180</v>
      </c>
      <c r="I349" s="6" t="s">
        <v>2210</v>
      </c>
      <c r="J349" s="7" t="s">
        <v>2211</v>
      </c>
      <c r="K349" s="6" t="s">
        <v>2212</v>
      </c>
      <c r="L349" s="6" t="s">
        <v>586</v>
      </c>
      <c r="M349" s="6" t="s">
        <v>2193</v>
      </c>
      <c r="N349" s="6" t="s">
        <v>63</v>
      </c>
      <c r="O349" s="6" t="s">
        <v>2194</v>
      </c>
      <c r="P349" s="6"/>
      <c r="Q349" s="6" t="str">
        <f>VLOOKUP(G349,seznampsc!A:B,2,FALSE)</f>
        <v>Písek</v>
      </c>
      <c r="R349" s="6" t="str">
        <f>VLOOKUP(G349,seznampsc!A:C,3,FALSE)</f>
        <v>Jihočeský kraj</v>
      </c>
      <c r="S349" s="6" t="s">
        <v>2213</v>
      </c>
      <c r="T349" s="6" t="s">
        <v>2214</v>
      </c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V349" s="10">
        <v>200000</v>
      </c>
    </row>
    <row r="350" spans="1:48" ht="24" customHeight="1" x14ac:dyDescent="0.3">
      <c r="A350" s="6"/>
      <c r="B350" s="6" t="s">
        <v>65</v>
      </c>
      <c r="C350" s="6" t="s">
        <v>2186</v>
      </c>
      <c r="D350" s="6">
        <v>25622633</v>
      </c>
      <c r="E350" s="6" t="s">
        <v>2187</v>
      </c>
      <c r="F350" s="6" t="s">
        <v>2215</v>
      </c>
      <c r="G350" s="6">
        <v>30100</v>
      </c>
      <c r="H350" s="6" t="s">
        <v>2216</v>
      </c>
      <c r="I350" s="6" t="s">
        <v>2217</v>
      </c>
      <c r="J350" s="6" t="s">
        <v>2218</v>
      </c>
      <c r="K350" s="6" t="s">
        <v>2219</v>
      </c>
      <c r="L350" s="6" t="s">
        <v>586</v>
      </c>
      <c r="M350" s="6" t="s">
        <v>2193</v>
      </c>
      <c r="N350" s="6" t="s">
        <v>63</v>
      </c>
      <c r="O350" s="6" t="s">
        <v>2194</v>
      </c>
      <c r="P350" s="6"/>
      <c r="Q350" s="6" t="str">
        <f>VLOOKUP(G350,seznampsc!A:B,2,FALSE)</f>
        <v>Plzeň-město</v>
      </c>
      <c r="R350" s="6" t="str">
        <f>VLOOKUP(G350,seznampsc!A:C,3,FALSE)</f>
        <v>Plzeňský kraj</v>
      </c>
      <c r="S350" s="6" t="s">
        <v>2220</v>
      </c>
      <c r="T350" s="6" t="s">
        <v>2221</v>
      </c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V350" s="10">
        <v>200000</v>
      </c>
    </row>
    <row r="351" spans="1:48" ht="24" customHeight="1" x14ac:dyDescent="0.3">
      <c r="A351" s="6" t="s">
        <v>53</v>
      </c>
      <c r="B351" s="6" t="s">
        <v>65</v>
      </c>
      <c r="C351" s="6" t="s">
        <v>2222</v>
      </c>
      <c r="D351" s="6">
        <v>60740965</v>
      </c>
      <c r="E351" s="6" t="s">
        <v>2223</v>
      </c>
      <c r="F351" s="6" t="s">
        <v>2224</v>
      </c>
      <c r="G351" s="6">
        <v>68601</v>
      </c>
      <c r="H351" s="6" t="s">
        <v>1684</v>
      </c>
      <c r="I351" s="6" t="s">
        <v>2225</v>
      </c>
      <c r="J351" s="7" t="s">
        <v>2226</v>
      </c>
      <c r="K351" s="6">
        <v>777166773</v>
      </c>
      <c r="L351" s="6" t="s">
        <v>73</v>
      </c>
      <c r="M351" s="6" t="s">
        <v>62</v>
      </c>
      <c r="N351" s="6" t="s">
        <v>63</v>
      </c>
      <c r="O351" s="6" t="s">
        <v>531</v>
      </c>
      <c r="P351" s="6"/>
      <c r="Q351" s="6" t="str">
        <f>VLOOKUP(G351,seznampsc!A:B,2,FALSE)</f>
        <v>Uherské Hradiště</v>
      </c>
      <c r="R351" s="6" t="str">
        <f>VLOOKUP(G351,seznampsc!A:C,3,FALSE)</f>
        <v>Zlínský kraj</v>
      </c>
      <c r="S351" s="6" t="s">
        <v>2227</v>
      </c>
      <c r="T351" s="6" t="s">
        <v>2228</v>
      </c>
      <c r="U351" s="6"/>
      <c r="V351" s="6"/>
      <c r="W351" s="6"/>
      <c r="X351" s="6"/>
      <c r="Y351" s="6"/>
      <c r="Z351" s="6"/>
      <c r="AA351" s="6"/>
      <c r="AB351" s="6"/>
      <c r="AC351" s="6"/>
      <c r="AD351" s="6">
        <v>650</v>
      </c>
      <c r="AE351" s="6">
        <v>650</v>
      </c>
      <c r="AF351" s="6">
        <v>650</v>
      </c>
      <c r="AG351" s="6"/>
      <c r="AH351" s="6"/>
      <c r="AI351" s="6"/>
      <c r="AJ351" s="6">
        <v>107</v>
      </c>
      <c r="AK351" s="6">
        <v>116</v>
      </c>
      <c r="AL351" s="6"/>
      <c r="AM351" s="6"/>
      <c r="AN351" s="6"/>
      <c r="AO351" s="6"/>
      <c r="AP351" s="6">
        <v>3</v>
      </c>
      <c r="AQ351" s="6"/>
      <c r="AR351" s="6"/>
      <c r="AS351" s="6"/>
      <c r="AT351" s="6"/>
    </row>
    <row r="352" spans="1:48" ht="24" customHeight="1" x14ac:dyDescent="0.3">
      <c r="A352" s="6"/>
      <c r="B352" s="6" t="s">
        <v>65</v>
      </c>
      <c r="C352" s="6" t="s">
        <v>2229</v>
      </c>
      <c r="D352" s="6">
        <v>26375478</v>
      </c>
      <c r="E352" s="6" t="s">
        <v>2230</v>
      </c>
      <c r="F352" s="6" t="s">
        <v>2231</v>
      </c>
      <c r="G352" s="6">
        <v>34401</v>
      </c>
      <c r="H352" s="6" t="s">
        <v>2232</v>
      </c>
      <c r="I352" s="6" t="s">
        <v>2233</v>
      </c>
      <c r="J352" s="6" t="s">
        <v>2234</v>
      </c>
      <c r="K352" s="6">
        <v>777305499</v>
      </c>
      <c r="L352" s="6" t="s">
        <v>586</v>
      </c>
      <c r="M352" s="6" t="s">
        <v>134</v>
      </c>
      <c r="N352" s="6" t="s">
        <v>63</v>
      </c>
      <c r="O352" s="6" t="s">
        <v>2235</v>
      </c>
      <c r="P352" s="6"/>
      <c r="Q352" s="6" t="str">
        <f>VLOOKUP(G352,seznampsc!A:B,2,FALSE)</f>
        <v>Domažlice</v>
      </c>
      <c r="R352" s="6" t="str">
        <f>VLOOKUP(G352,seznampsc!A:C,3,FALSE)</f>
        <v>Plzeňský kraj</v>
      </c>
      <c r="S352" s="6" t="s">
        <v>2236</v>
      </c>
      <c r="T352" s="6" t="s">
        <v>2237</v>
      </c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V352" s="10">
        <v>200000</v>
      </c>
    </row>
    <row r="353" spans="1:48" ht="24" customHeight="1" x14ac:dyDescent="0.3">
      <c r="A353" s="1"/>
      <c r="B353" s="1" t="s">
        <v>65</v>
      </c>
      <c r="C353" s="1" t="s">
        <v>2238</v>
      </c>
      <c r="D353" s="1">
        <v>26362660</v>
      </c>
      <c r="E353" s="1" t="s">
        <v>2239</v>
      </c>
      <c r="F353" s="1" t="s">
        <v>526</v>
      </c>
      <c r="G353" s="1">
        <v>33901</v>
      </c>
      <c r="H353" s="1" t="s">
        <v>527</v>
      </c>
      <c r="I353" s="1" t="s">
        <v>528</v>
      </c>
      <c r="J353" s="1" t="s">
        <v>2101</v>
      </c>
      <c r="K353" s="1">
        <v>702209919</v>
      </c>
      <c r="L353" s="1" t="s">
        <v>586</v>
      </c>
      <c r="M353" s="1" t="s">
        <v>120</v>
      </c>
      <c r="N353" s="1" t="s">
        <v>63</v>
      </c>
      <c r="O353" s="1" t="s">
        <v>531</v>
      </c>
      <c r="P353" s="6"/>
      <c r="Q353" s="6" t="str">
        <f>VLOOKUP(G353,seznampsc!A:B,2,FALSE)</f>
        <v>Klatovy</v>
      </c>
      <c r="R353" s="6" t="str">
        <f>VLOOKUP(G353,seznampsc!A:C,3,FALSE)</f>
        <v>Plzeňský kraj</v>
      </c>
      <c r="S353" s="1" t="s">
        <v>2103</v>
      </c>
      <c r="T353" s="1" t="s">
        <v>2104</v>
      </c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 t="s">
        <v>2240</v>
      </c>
      <c r="AV353" s="10">
        <v>200000</v>
      </c>
    </row>
    <row r="354" spans="1:48" ht="24" customHeight="1" x14ac:dyDescent="0.3">
      <c r="A354" s="6"/>
      <c r="B354" s="6" t="s">
        <v>65</v>
      </c>
      <c r="C354" s="6" t="s">
        <v>2241</v>
      </c>
      <c r="D354" s="6">
        <v>10876472</v>
      </c>
      <c r="E354" s="6" t="s">
        <v>2242</v>
      </c>
      <c r="F354" s="6" t="s">
        <v>2243</v>
      </c>
      <c r="G354" s="6">
        <v>39002</v>
      </c>
      <c r="H354" s="6" t="s">
        <v>106</v>
      </c>
      <c r="I354" s="6" t="s">
        <v>1974</v>
      </c>
      <c r="J354" s="6" t="s">
        <v>1975</v>
      </c>
      <c r="K354" s="6">
        <v>607772231</v>
      </c>
      <c r="L354" s="6" t="s">
        <v>586</v>
      </c>
      <c r="M354" s="6" t="s">
        <v>2244</v>
      </c>
      <c r="N354" s="6" t="s">
        <v>63</v>
      </c>
      <c r="O354" s="6" t="s">
        <v>2245</v>
      </c>
      <c r="P354" s="6"/>
      <c r="Q354" s="6" t="str">
        <f>VLOOKUP(G354,seznampsc!A:B,2,FALSE)</f>
        <v>Tábor</v>
      </c>
      <c r="R354" s="6" t="str">
        <f>VLOOKUP(G354,seznampsc!A:C,3,FALSE)</f>
        <v>Jihočeský kraj</v>
      </c>
      <c r="S354" s="6" t="s">
        <v>2246</v>
      </c>
      <c r="T354" s="6" t="s">
        <v>2247</v>
      </c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 t="s">
        <v>2248</v>
      </c>
      <c r="AV354" s="10">
        <v>200000</v>
      </c>
    </row>
    <row r="355" spans="1:48" ht="24" customHeight="1" x14ac:dyDescent="0.3">
      <c r="A355" s="6" t="s">
        <v>53</v>
      </c>
      <c r="B355" s="6" t="s">
        <v>65</v>
      </c>
      <c r="C355" s="6" t="s">
        <v>2241</v>
      </c>
      <c r="D355" s="6">
        <v>10876472</v>
      </c>
      <c r="E355" s="6" t="s">
        <v>2242</v>
      </c>
      <c r="F355" s="6" t="s">
        <v>2243</v>
      </c>
      <c r="G355" s="6">
        <v>39002</v>
      </c>
      <c r="H355" s="6" t="s">
        <v>106</v>
      </c>
      <c r="I355" s="6" t="s">
        <v>1974</v>
      </c>
      <c r="J355" s="6" t="s">
        <v>1975</v>
      </c>
      <c r="K355" s="6">
        <v>607772231</v>
      </c>
      <c r="L355" s="6" t="s">
        <v>73</v>
      </c>
      <c r="M355" s="6" t="s">
        <v>62</v>
      </c>
      <c r="N355" s="6" t="s">
        <v>63</v>
      </c>
      <c r="O355" s="6" t="s">
        <v>2245</v>
      </c>
      <c r="P355" s="6"/>
      <c r="Q355" s="6" t="str">
        <f>VLOOKUP(G355,seznampsc!A:B,2,FALSE)</f>
        <v>Tábor</v>
      </c>
      <c r="R355" s="6" t="str">
        <f>VLOOKUP(G355,seznampsc!A:C,3,FALSE)</f>
        <v>Jihočeský kraj</v>
      </c>
      <c r="S355" s="6" t="s">
        <v>2249</v>
      </c>
      <c r="T355" s="6" t="s">
        <v>2250</v>
      </c>
      <c r="U355" s="6"/>
      <c r="V355" s="6"/>
      <c r="W355" s="6"/>
      <c r="X355" s="6"/>
      <c r="Y355" s="6"/>
      <c r="Z355" s="6"/>
      <c r="AA355" s="6"/>
      <c r="AB355" s="6"/>
      <c r="AC355" s="6"/>
      <c r="AD355" s="6">
        <v>570</v>
      </c>
      <c r="AE355" s="6">
        <v>570</v>
      </c>
      <c r="AF355" s="6">
        <v>570</v>
      </c>
      <c r="AG355" s="6"/>
      <c r="AH355" s="6"/>
      <c r="AI355" s="6"/>
      <c r="AJ355" s="6">
        <v>107</v>
      </c>
      <c r="AK355" s="6">
        <v>116</v>
      </c>
      <c r="AL355" s="6"/>
      <c r="AM355" s="6"/>
      <c r="AN355" s="6"/>
      <c r="AO355" s="6"/>
      <c r="AP355" s="6"/>
      <c r="AQ355" s="6">
        <v>10</v>
      </c>
      <c r="AR355" s="6"/>
      <c r="AS355" s="6"/>
      <c r="AT355" s="6"/>
      <c r="AV355" s="3">
        <v>100000</v>
      </c>
    </row>
    <row r="356" spans="1:48" ht="24" customHeight="1" x14ac:dyDescent="0.3">
      <c r="A356" s="6" t="s">
        <v>53</v>
      </c>
      <c r="B356" s="6" t="s">
        <v>65</v>
      </c>
      <c r="C356" s="6" t="s">
        <v>1970</v>
      </c>
      <c r="D356" s="6">
        <v>74463721</v>
      </c>
      <c r="E356" s="6" t="s">
        <v>1971</v>
      </c>
      <c r="F356" s="6" t="s">
        <v>2243</v>
      </c>
      <c r="G356" s="6">
        <v>39002</v>
      </c>
      <c r="H356" s="6" t="s">
        <v>106</v>
      </c>
      <c r="I356" s="6" t="s">
        <v>1974</v>
      </c>
      <c r="J356" s="6" t="s">
        <v>1975</v>
      </c>
      <c r="K356" s="6">
        <v>607772231</v>
      </c>
      <c r="L356" s="6" t="s">
        <v>73</v>
      </c>
      <c r="M356" s="6" t="s">
        <v>62</v>
      </c>
      <c r="N356" s="6" t="s">
        <v>63</v>
      </c>
      <c r="O356" s="6" t="s">
        <v>2245</v>
      </c>
      <c r="P356" s="6"/>
      <c r="Q356" s="6" t="str">
        <f>VLOOKUP(G356,seznampsc!A:B,2,FALSE)</f>
        <v>Tábor</v>
      </c>
      <c r="R356" s="6" t="str">
        <f>VLOOKUP(G356,seznampsc!A:C,3,FALSE)</f>
        <v>Jihočeský kraj</v>
      </c>
      <c r="S356" s="6" t="s">
        <v>2249</v>
      </c>
      <c r="T356" s="6" t="s">
        <v>2250</v>
      </c>
      <c r="U356" s="6"/>
      <c r="V356" s="6"/>
      <c r="W356" s="6"/>
      <c r="X356" s="6"/>
      <c r="Y356" s="6"/>
      <c r="Z356" s="6"/>
      <c r="AA356" s="6"/>
      <c r="AB356" s="6"/>
      <c r="AC356" s="6"/>
      <c r="AD356" s="6">
        <v>570</v>
      </c>
      <c r="AE356" s="6">
        <v>570</v>
      </c>
      <c r="AF356" s="6">
        <v>570</v>
      </c>
      <c r="AG356" s="6"/>
      <c r="AH356" s="6"/>
      <c r="AI356" s="6"/>
      <c r="AJ356" s="6">
        <v>107</v>
      </c>
      <c r="AK356" s="6">
        <v>116</v>
      </c>
      <c r="AL356" s="6"/>
      <c r="AM356" s="6"/>
      <c r="AN356" s="6"/>
      <c r="AO356" s="6"/>
      <c r="AP356" s="6"/>
      <c r="AQ356" s="6">
        <v>10</v>
      </c>
      <c r="AR356" s="6"/>
      <c r="AS356" s="6"/>
      <c r="AT356" s="6"/>
      <c r="AV356" s="3">
        <v>50000</v>
      </c>
    </row>
    <row r="357" spans="1:48" ht="24" customHeight="1" x14ac:dyDescent="0.3">
      <c r="A357" s="3" t="s">
        <v>53</v>
      </c>
      <c r="B357" s="3" t="s">
        <v>54</v>
      </c>
      <c r="C357" s="3" t="s">
        <v>55</v>
      </c>
      <c r="D357" s="3" t="s">
        <v>2251</v>
      </c>
      <c r="E357" s="3" t="s">
        <v>2252</v>
      </c>
      <c r="F357" s="3" t="s">
        <v>2253</v>
      </c>
      <c r="G357" s="3">
        <v>67544</v>
      </c>
      <c r="H357" s="3" t="s">
        <v>2254</v>
      </c>
      <c r="I357" s="3" t="s">
        <v>2255</v>
      </c>
      <c r="J357" s="3" t="s">
        <v>2256</v>
      </c>
      <c r="K357" s="3">
        <v>602589850</v>
      </c>
      <c r="L357" s="3" t="s">
        <v>61</v>
      </c>
      <c r="M357" s="6" t="s">
        <v>62</v>
      </c>
      <c r="N357" s="6" t="s">
        <v>63</v>
      </c>
      <c r="O357" s="3" t="s">
        <v>64</v>
      </c>
      <c r="Q357" s="6" t="str">
        <f>VLOOKUP(G357,seznampsc!A:B,2,FALSE)</f>
        <v>Třebíč</v>
      </c>
      <c r="R357" s="6" t="str">
        <f>VLOOKUP(G357,seznampsc!A:C,3,FALSE)</f>
        <v>Kraj Vysočina</v>
      </c>
      <c r="S357" s="6">
        <v>49.069128300000003</v>
      </c>
      <c r="T357" s="6">
        <v>15.763155899999999</v>
      </c>
      <c r="U357" s="6"/>
      <c r="V357" s="6"/>
      <c r="W357" s="6"/>
      <c r="X357" s="6"/>
      <c r="Y357" s="6"/>
      <c r="Z357" s="6"/>
      <c r="AA357" s="6"/>
      <c r="AB357" s="6"/>
      <c r="AC357" s="6"/>
      <c r="AD357" s="6">
        <v>680</v>
      </c>
      <c r="AE357" s="6">
        <v>680</v>
      </c>
      <c r="AF357" s="6">
        <v>680</v>
      </c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>
        <v>10</v>
      </c>
      <c r="AR357" s="6"/>
      <c r="AS357" s="6"/>
      <c r="AT357" s="6"/>
      <c r="AV357" s="3">
        <v>100000</v>
      </c>
    </row>
    <row r="358" spans="1:48" ht="24" customHeight="1" x14ac:dyDescent="0.3">
      <c r="A358" s="6"/>
      <c r="B358" s="6" t="s">
        <v>65</v>
      </c>
      <c r="C358" s="6" t="s">
        <v>2257</v>
      </c>
      <c r="D358" s="6">
        <v>5054559</v>
      </c>
      <c r="E358" s="6" t="s">
        <v>2258</v>
      </c>
      <c r="F358" s="6" t="s">
        <v>2259</v>
      </c>
      <c r="G358" s="6">
        <v>74101</v>
      </c>
      <c r="H358" s="6" t="s">
        <v>1593</v>
      </c>
      <c r="I358" s="6" t="s">
        <v>2260</v>
      </c>
      <c r="J358" s="6" t="s">
        <v>2261</v>
      </c>
      <c r="K358" s="6" t="s">
        <v>2262</v>
      </c>
      <c r="L358" s="6" t="s">
        <v>586</v>
      </c>
      <c r="M358" s="6" t="s">
        <v>120</v>
      </c>
      <c r="N358" s="6" t="s">
        <v>63</v>
      </c>
      <c r="O358" s="6" t="s">
        <v>2119</v>
      </c>
      <c r="P358" s="6"/>
      <c r="Q358" s="6" t="str">
        <f>VLOOKUP(G358,seznampsc!A:B,2,FALSE)</f>
        <v>Nový Jičín</v>
      </c>
      <c r="R358" s="6" t="str">
        <f>VLOOKUP(G358,seznampsc!A:C,3,FALSE)</f>
        <v>Moravskoslezský kraj</v>
      </c>
      <c r="S358" s="6" t="s">
        <v>2263</v>
      </c>
      <c r="T358" s="6" t="s">
        <v>2264</v>
      </c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V358" s="10">
        <v>200000</v>
      </c>
    </row>
    <row r="359" spans="1:48" ht="24" customHeight="1" x14ac:dyDescent="0.3">
      <c r="A359" s="6"/>
      <c r="B359" s="6" t="s">
        <v>65</v>
      </c>
      <c r="C359" s="6" t="s">
        <v>2257</v>
      </c>
      <c r="D359" s="6">
        <v>5054559</v>
      </c>
      <c r="E359" s="6" t="s">
        <v>2258</v>
      </c>
      <c r="F359" s="6" t="s">
        <v>2265</v>
      </c>
      <c r="G359" s="6">
        <v>73801</v>
      </c>
      <c r="H359" s="6" t="s">
        <v>1775</v>
      </c>
      <c r="I359" s="6" t="s">
        <v>2266</v>
      </c>
      <c r="J359" s="6" t="s">
        <v>2267</v>
      </c>
      <c r="K359" s="6" t="s">
        <v>2268</v>
      </c>
      <c r="L359" s="6" t="s">
        <v>586</v>
      </c>
      <c r="M359" s="6" t="s">
        <v>120</v>
      </c>
      <c r="N359" s="6" t="s">
        <v>63</v>
      </c>
      <c r="O359" s="6" t="s">
        <v>2119</v>
      </c>
      <c r="P359" s="6"/>
      <c r="Q359" s="6" t="str">
        <f>VLOOKUP(G359,seznampsc!A:B,2,FALSE)</f>
        <v>Frýdek-Místek</v>
      </c>
      <c r="R359" s="6" t="str">
        <f>VLOOKUP(G359,seznampsc!A:C,3,FALSE)</f>
        <v>Moravskoslezský kraj</v>
      </c>
      <c r="S359" s="6" t="s">
        <v>2269</v>
      </c>
      <c r="T359" s="6" t="s">
        <v>2270</v>
      </c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V359" s="10">
        <v>200000</v>
      </c>
    </row>
    <row r="360" spans="1:48" ht="24" customHeight="1" x14ac:dyDescent="0.3">
      <c r="A360" s="6"/>
      <c r="B360" s="6" t="s">
        <v>65</v>
      </c>
      <c r="C360" s="6" t="s">
        <v>2257</v>
      </c>
      <c r="D360" s="6">
        <v>5054559</v>
      </c>
      <c r="E360" s="6" t="s">
        <v>2258</v>
      </c>
      <c r="F360" s="6" t="s">
        <v>1934</v>
      </c>
      <c r="G360" s="6">
        <v>70800</v>
      </c>
      <c r="H360" s="6" t="s">
        <v>1935</v>
      </c>
      <c r="I360" s="6" t="s">
        <v>2271</v>
      </c>
      <c r="J360" s="6" t="s">
        <v>2272</v>
      </c>
      <c r="K360" s="6" t="s">
        <v>2273</v>
      </c>
      <c r="L360" s="6" t="s">
        <v>586</v>
      </c>
      <c r="M360" s="6" t="s">
        <v>120</v>
      </c>
      <c r="N360" s="6" t="s">
        <v>63</v>
      </c>
      <c r="O360" s="6" t="s">
        <v>2119</v>
      </c>
      <c r="P360" s="6"/>
      <c r="Q360" s="6" t="str">
        <f>VLOOKUP(G360,seznampsc!A:B,2,FALSE)</f>
        <v>Ostrava-město</v>
      </c>
      <c r="R360" s="6" t="str">
        <f>VLOOKUP(G360,seznampsc!A:C,3,FALSE)</f>
        <v>Moravskoslezský kraj</v>
      </c>
      <c r="S360" s="6" t="s">
        <v>2274</v>
      </c>
      <c r="T360" s="6" t="s">
        <v>2275</v>
      </c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8">
        <v>200000</v>
      </c>
    </row>
    <row r="361" spans="1:48" ht="24" customHeight="1" x14ac:dyDescent="0.3">
      <c r="A361" s="6" t="s">
        <v>53</v>
      </c>
      <c r="B361" s="6" t="s">
        <v>65</v>
      </c>
      <c r="C361" s="6" t="s">
        <v>2276</v>
      </c>
      <c r="D361" s="6">
        <v>62501712</v>
      </c>
      <c r="E361" s="6" t="s">
        <v>2277</v>
      </c>
      <c r="F361" s="6" t="s">
        <v>2278</v>
      </c>
      <c r="G361" s="6">
        <v>37802</v>
      </c>
      <c r="H361" s="6" t="s">
        <v>2279</v>
      </c>
      <c r="I361" s="6" t="s">
        <v>2280</v>
      </c>
      <c r="J361" s="6" t="s">
        <v>2281</v>
      </c>
      <c r="K361" s="6">
        <v>602133740</v>
      </c>
      <c r="L361" s="6" t="s">
        <v>73</v>
      </c>
      <c r="M361" s="6" t="s">
        <v>62</v>
      </c>
      <c r="N361" s="6" t="s">
        <v>63</v>
      </c>
      <c r="O361" s="6" t="s">
        <v>2282</v>
      </c>
      <c r="P361" s="6"/>
      <c r="Q361" s="6" t="str">
        <f>VLOOKUP(G361,seznampsc!A:B,2,FALSE)</f>
        <v>Jindřichův Hradec</v>
      </c>
      <c r="R361" s="6" t="str">
        <f>VLOOKUP(G361,seznampsc!A:C,3,FALSE)</f>
        <v>Jihočeský kraj</v>
      </c>
      <c r="S361" s="6" t="s">
        <v>2283</v>
      </c>
      <c r="T361" s="6" t="s">
        <v>2284</v>
      </c>
      <c r="U361" s="6"/>
      <c r="V361" s="6"/>
      <c r="W361" s="6"/>
      <c r="X361" s="6"/>
      <c r="Y361" s="6"/>
      <c r="Z361" s="6"/>
      <c r="AA361" s="6"/>
      <c r="AB361" s="6"/>
      <c r="AC361" s="6"/>
      <c r="AD361" s="6">
        <v>550</v>
      </c>
      <c r="AE361" s="6">
        <v>550</v>
      </c>
      <c r="AF361" s="6">
        <v>550</v>
      </c>
      <c r="AG361" s="6"/>
      <c r="AH361" s="6"/>
      <c r="AI361" s="6"/>
      <c r="AJ361" s="6">
        <v>107</v>
      </c>
      <c r="AK361" s="6">
        <v>116</v>
      </c>
      <c r="AL361" s="6"/>
      <c r="AM361" s="6"/>
      <c r="AN361" s="6"/>
      <c r="AO361" s="6"/>
      <c r="AP361" s="6"/>
      <c r="AQ361" s="6">
        <v>5</v>
      </c>
      <c r="AR361" s="6"/>
      <c r="AS361" s="6"/>
      <c r="AT361" s="6"/>
    </row>
    <row r="362" spans="1:48" ht="24" customHeight="1" x14ac:dyDescent="0.3">
      <c r="A362" s="6"/>
      <c r="B362" s="6" t="s">
        <v>65</v>
      </c>
      <c r="C362" s="6" t="s">
        <v>2285</v>
      </c>
      <c r="D362" s="6">
        <v>25508407</v>
      </c>
      <c r="E362" s="6" t="s">
        <v>2286</v>
      </c>
      <c r="F362" s="6" t="s">
        <v>2287</v>
      </c>
      <c r="G362" s="6">
        <v>76302</v>
      </c>
      <c r="H362" s="6" t="s">
        <v>230</v>
      </c>
      <c r="I362" s="6" t="s">
        <v>2288</v>
      </c>
      <c r="J362" s="6" t="s">
        <v>2289</v>
      </c>
      <c r="K362" s="6">
        <v>732898961</v>
      </c>
      <c r="L362" s="6" t="s">
        <v>586</v>
      </c>
      <c r="M362" s="6" t="s">
        <v>2290</v>
      </c>
      <c r="N362" s="6" t="s">
        <v>63</v>
      </c>
      <c r="O362" s="6" t="s">
        <v>2291</v>
      </c>
      <c r="P362" s="6"/>
      <c r="Q362" s="6" t="str">
        <f>VLOOKUP(G362,seznampsc!A:B,2,FALSE)</f>
        <v>Zlín</v>
      </c>
      <c r="R362" s="6" t="str">
        <f>VLOOKUP(G362,seznampsc!A:C,3,FALSE)</f>
        <v>Zlínský kraj</v>
      </c>
      <c r="S362" s="6" t="s">
        <v>2292</v>
      </c>
      <c r="T362" s="6" t="s">
        <v>2293</v>
      </c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  <c r="AV362" s="10">
        <v>200000</v>
      </c>
    </row>
    <row r="363" spans="1:48" ht="24" customHeight="1" x14ac:dyDescent="0.3">
      <c r="A363" s="6" t="s">
        <v>53</v>
      </c>
      <c r="B363" s="6" t="s">
        <v>65</v>
      </c>
      <c r="C363" s="6" t="s">
        <v>2294</v>
      </c>
      <c r="D363" s="6">
        <v>8756988</v>
      </c>
      <c r="E363" s="6" t="s">
        <v>2295</v>
      </c>
      <c r="F363" s="6" t="s">
        <v>2296</v>
      </c>
      <c r="G363" s="6">
        <v>43401</v>
      </c>
      <c r="H363" s="6" t="s">
        <v>2297</v>
      </c>
      <c r="I363" s="6" t="s">
        <v>2298</v>
      </c>
      <c r="J363" s="6" t="s">
        <v>2299</v>
      </c>
      <c r="K363" s="6">
        <v>608819636</v>
      </c>
      <c r="L363" s="6" t="s">
        <v>73</v>
      </c>
      <c r="M363" s="6" t="s">
        <v>62</v>
      </c>
      <c r="N363" s="6" t="s">
        <v>63</v>
      </c>
      <c r="O363" s="6" t="s">
        <v>2282</v>
      </c>
      <c r="P363" s="6"/>
      <c r="Q363" s="6" t="str">
        <f>VLOOKUP(G363,seznampsc!A:B,2,FALSE)</f>
        <v>Most</v>
      </c>
      <c r="R363" s="6" t="str">
        <f>VLOOKUP(G363,seznampsc!A:C,3,FALSE)</f>
        <v>Ústecký kraj</v>
      </c>
      <c r="S363" s="6" t="s">
        <v>2300</v>
      </c>
      <c r="T363" s="6" t="s">
        <v>2301</v>
      </c>
      <c r="U363" s="6"/>
      <c r="V363" s="6"/>
      <c r="W363" s="6"/>
      <c r="X363" s="6"/>
      <c r="Y363" s="6"/>
      <c r="Z363" s="6"/>
      <c r="AA363" s="6"/>
      <c r="AB363" s="6"/>
      <c r="AC363" s="6"/>
      <c r="AD363" s="6">
        <v>730</v>
      </c>
      <c r="AE363" s="6">
        <v>730</v>
      </c>
      <c r="AF363" s="6">
        <v>730</v>
      </c>
      <c r="AG363" s="6"/>
      <c r="AH363" s="6"/>
      <c r="AI363" s="6"/>
      <c r="AJ363" s="6">
        <v>107</v>
      </c>
      <c r="AK363" s="6">
        <v>107</v>
      </c>
      <c r="AL363" s="6"/>
      <c r="AM363" s="6"/>
      <c r="AN363" s="6"/>
      <c r="AO363" s="6"/>
      <c r="AP363" s="6">
        <v>2</v>
      </c>
      <c r="AQ363" s="6">
        <v>10</v>
      </c>
      <c r="AR363" s="6"/>
      <c r="AS363" s="6"/>
      <c r="AT363" s="6"/>
      <c r="AV363" s="3">
        <v>100000</v>
      </c>
    </row>
    <row r="364" spans="1:48" ht="24" customHeight="1" x14ac:dyDescent="0.3">
      <c r="A364" s="6" t="s">
        <v>53</v>
      </c>
      <c r="B364" s="6" t="s">
        <v>65</v>
      </c>
      <c r="C364" s="6" t="s">
        <v>2302</v>
      </c>
      <c r="D364" s="6">
        <v>7229330</v>
      </c>
      <c r="E364" s="6" t="s">
        <v>2303</v>
      </c>
      <c r="F364" s="6" t="s">
        <v>2304</v>
      </c>
      <c r="G364" s="6">
        <v>77900</v>
      </c>
      <c r="H364" s="6" t="s">
        <v>2305</v>
      </c>
      <c r="I364" s="6" t="s">
        <v>2306</v>
      </c>
      <c r="J364" s="6" t="s">
        <v>2307</v>
      </c>
      <c r="K364" s="6">
        <v>773652325</v>
      </c>
      <c r="L364" s="6" t="s">
        <v>73</v>
      </c>
      <c r="M364" s="6" t="s">
        <v>62</v>
      </c>
      <c r="N364" s="6" t="s">
        <v>63</v>
      </c>
      <c r="O364" s="6" t="s">
        <v>2282</v>
      </c>
      <c r="P364" s="6"/>
      <c r="Q364" s="6" t="str">
        <f>VLOOKUP(G364,seznampsc!A:B,2,FALSE)</f>
        <v>Olomouc</v>
      </c>
      <c r="R364" s="6" t="str">
        <f>VLOOKUP(G364,seznampsc!A:C,3,FALSE)</f>
        <v>Olomoucký kraj</v>
      </c>
      <c r="S364" s="6" t="s">
        <v>2308</v>
      </c>
      <c r="T364" s="6" t="s">
        <v>2309</v>
      </c>
      <c r="U364" s="6"/>
      <c r="V364" s="6"/>
      <c r="W364" s="6"/>
      <c r="X364" s="6"/>
      <c r="Y364" s="6"/>
      <c r="Z364" s="6"/>
      <c r="AA364" s="6"/>
      <c r="AB364" s="6"/>
      <c r="AC364" s="6"/>
      <c r="AD364" s="6">
        <v>550</v>
      </c>
      <c r="AE364" s="6">
        <v>550</v>
      </c>
      <c r="AF364" s="6">
        <v>600</v>
      </c>
      <c r="AG364" s="6"/>
      <c r="AH364" s="6"/>
      <c r="AI364" s="6"/>
      <c r="AJ364" s="6">
        <v>107</v>
      </c>
      <c r="AK364" s="6">
        <v>116</v>
      </c>
      <c r="AL364" s="6"/>
      <c r="AM364" s="6"/>
      <c r="AN364" s="6"/>
      <c r="AO364" s="6"/>
      <c r="AP364" s="6">
        <v>2</v>
      </c>
      <c r="AQ364" s="6" t="s">
        <v>199</v>
      </c>
      <c r="AR364" s="6">
        <v>2</v>
      </c>
      <c r="AS364" s="6" t="s">
        <v>199</v>
      </c>
      <c r="AT364" s="6"/>
    </row>
    <row r="365" spans="1:48" ht="24" customHeight="1" x14ac:dyDescent="0.3">
      <c r="B365" s="6" t="s">
        <v>65</v>
      </c>
      <c r="C365" s="6" t="s">
        <v>2310</v>
      </c>
      <c r="D365" s="6">
        <v>25114719</v>
      </c>
      <c r="E365" s="6" t="s">
        <v>2311</v>
      </c>
      <c r="F365" s="6" t="s">
        <v>2312</v>
      </c>
      <c r="G365" s="6">
        <v>16900</v>
      </c>
      <c r="H365" s="6" t="s">
        <v>2313</v>
      </c>
      <c r="I365" s="6" t="s">
        <v>2314</v>
      </c>
      <c r="J365" s="6" t="s">
        <v>2315</v>
      </c>
      <c r="K365" s="6" t="s">
        <v>2316</v>
      </c>
      <c r="L365" s="6" t="s">
        <v>151</v>
      </c>
      <c r="M365" s="6" t="s">
        <v>1284</v>
      </c>
      <c r="N365" s="3" t="s">
        <v>63</v>
      </c>
      <c r="P365" s="6"/>
      <c r="Q365" s="6" t="str">
        <f>VLOOKUP(G365,seznampsc!A:B,2,FALSE)</f>
        <v>Hlavní město Praha</v>
      </c>
      <c r="R365" s="6" t="str">
        <f>VLOOKUP(G365,seznampsc!A:C,3,FALSE)</f>
        <v>Hlavní město Praha</v>
      </c>
      <c r="AU365" s="6"/>
    </row>
    <row r="366" spans="1:48" ht="24" customHeight="1" x14ac:dyDescent="0.3">
      <c r="B366" s="6" t="s">
        <v>65</v>
      </c>
      <c r="C366" s="6" t="s">
        <v>2310</v>
      </c>
      <c r="D366" s="6">
        <v>25114719</v>
      </c>
      <c r="E366" s="6" t="s">
        <v>2311</v>
      </c>
      <c r="F366" s="6" t="s">
        <v>2317</v>
      </c>
      <c r="G366" s="6">
        <v>19800</v>
      </c>
      <c r="H366" s="6" t="s">
        <v>978</v>
      </c>
      <c r="I366" s="6" t="s">
        <v>339</v>
      </c>
      <c r="J366" s="6" t="s">
        <v>2318</v>
      </c>
      <c r="K366" s="6">
        <v>734641446</v>
      </c>
      <c r="L366" s="6" t="s">
        <v>151</v>
      </c>
      <c r="M366" s="6" t="s">
        <v>1284</v>
      </c>
      <c r="N366" s="3" t="s">
        <v>63</v>
      </c>
      <c r="P366" s="6"/>
      <c r="Q366" s="6" t="str">
        <f>VLOOKUP(G366,seznampsc!A:B,2,FALSE)</f>
        <v>Hlavní město Praha</v>
      </c>
      <c r="R366" s="6" t="str">
        <f>VLOOKUP(G366,seznampsc!A:C,3,FALSE)</f>
        <v>Hlavní město Praha</v>
      </c>
      <c r="AU366" s="6"/>
    </row>
    <row r="367" spans="1:48" ht="24" customHeight="1" x14ac:dyDescent="0.3">
      <c r="A367" s="6"/>
      <c r="B367" s="6" t="s">
        <v>65</v>
      </c>
      <c r="C367" s="6" t="s">
        <v>2310</v>
      </c>
      <c r="D367" s="6">
        <v>25114719</v>
      </c>
      <c r="E367" s="6" t="s">
        <v>2311</v>
      </c>
      <c r="F367" s="6" t="s">
        <v>2312</v>
      </c>
      <c r="G367" s="6">
        <v>16900</v>
      </c>
      <c r="H367" s="6" t="s">
        <v>2313</v>
      </c>
      <c r="I367" s="6" t="s">
        <v>2314</v>
      </c>
      <c r="J367" s="7" t="s">
        <v>2315</v>
      </c>
      <c r="K367" s="8" t="s">
        <v>2316</v>
      </c>
      <c r="L367" s="6" t="s">
        <v>340</v>
      </c>
      <c r="M367" s="6" t="s">
        <v>1284</v>
      </c>
      <c r="N367" s="6" t="s">
        <v>63</v>
      </c>
      <c r="O367" s="6" t="s">
        <v>1943</v>
      </c>
      <c r="P367" s="6"/>
      <c r="Q367" s="6" t="str">
        <f>VLOOKUP(G367,seznampsc!A:B,2,FALSE)</f>
        <v>Hlavní město Praha</v>
      </c>
      <c r="R367" s="6" t="str">
        <f>VLOOKUP(G367,seznampsc!A:C,3,FALSE)</f>
        <v>Hlavní město Praha</v>
      </c>
      <c r="S367" s="6" t="s">
        <v>2319</v>
      </c>
      <c r="T367" s="6" t="s">
        <v>2320</v>
      </c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 t="s">
        <v>2321</v>
      </c>
      <c r="AV367" s="8" t="s">
        <v>342</v>
      </c>
    </row>
    <row r="368" spans="1:48" ht="24" customHeight="1" x14ac:dyDescent="0.3">
      <c r="A368" s="6"/>
      <c r="B368" s="6" t="s">
        <v>65</v>
      </c>
      <c r="C368" s="6" t="s">
        <v>2310</v>
      </c>
      <c r="D368" s="6">
        <v>25114719</v>
      </c>
      <c r="E368" s="6" t="s">
        <v>2311</v>
      </c>
      <c r="F368" s="6" t="s">
        <v>2317</v>
      </c>
      <c r="G368" s="6">
        <v>19800</v>
      </c>
      <c r="H368" s="6" t="s">
        <v>978</v>
      </c>
      <c r="I368" s="6" t="s">
        <v>339</v>
      </c>
      <c r="J368" s="7" t="s">
        <v>2318</v>
      </c>
      <c r="K368" s="8">
        <v>734641446</v>
      </c>
      <c r="L368" s="6" t="s">
        <v>340</v>
      </c>
      <c r="M368" s="6" t="s">
        <v>1284</v>
      </c>
      <c r="N368" s="6" t="s">
        <v>63</v>
      </c>
      <c r="O368" s="6" t="s">
        <v>1943</v>
      </c>
      <c r="P368" s="6"/>
      <c r="Q368" s="6" t="str">
        <f>VLOOKUP(G368,seznampsc!A:B,2,FALSE)</f>
        <v>Hlavní město Praha</v>
      </c>
      <c r="R368" s="6" t="str">
        <f>VLOOKUP(G368,seznampsc!A:C,3,FALSE)</f>
        <v>Hlavní město Praha</v>
      </c>
      <c r="S368" s="6" t="s">
        <v>2322</v>
      </c>
      <c r="T368" s="6" t="s">
        <v>2323</v>
      </c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 t="s">
        <v>2324</v>
      </c>
      <c r="AV368" s="8" t="s">
        <v>342</v>
      </c>
    </row>
    <row r="369" spans="1:48" ht="24" customHeight="1" x14ac:dyDescent="0.3">
      <c r="A369" s="6"/>
      <c r="B369" s="6" t="s">
        <v>65</v>
      </c>
      <c r="C369" s="6" t="s">
        <v>2325</v>
      </c>
      <c r="D369" s="6">
        <v>65138180</v>
      </c>
      <c r="E369" s="6" t="s">
        <v>2326</v>
      </c>
      <c r="F369" s="6" t="s">
        <v>2327</v>
      </c>
      <c r="G369" s="6">
        <v>77900</v>
      </c>
      <c r="H369" s="6" t="s">
        <v>2328</v>
      </c>
      <c r="I369" s="6" t="s">
        <v>2329</v>
      </c>
      <c r="J369" s="7" t="s">
        <v>2330</v>
      </c>
      <c r="K369" s="8">
        <v>585151055</v>
      </c>
      <c r="L369" s="6" t="s">
        <v>586</v>
      </c>
      <c r="M369" s="6" t="s">
        <v>2331</v>
      </c>
      <c r="N369" s="6" t="s">
        <v>63</v>
      </c>
      <c r="O369" s="6" t="s">
        <v>2332</v>
      </c>
      <c r="P369" s="6"/>
      <c r="Q369" s="6" t="str">
        <f>VLOOKUP(G369,seznampsc!A:B,2,FALSE)</f>
        <v>Olomouc</v>
      </c>
      <c r="R369" s="6" t="str">
        <f>VLOOKUP(G369,seznampsc!A:C,3,FALSE)</f>
        <v>Olomoucký kraj</v>
      </c>
      <c r="S369" s="6" t="s">
        <v>2333</v>
      </c>
      <c r="T369" s="6" t="s">
        <v>2334</v>
      </c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V369" s="10">
        <v>200000</v>
      </c>
    </row>
    <row r="370" spans="1:48" ht="24" customHeight="1" x14ac:dyDescent="0.3">
      <c r="A370" s="6"/>
      <c r="B370" s="6" t="s">
        <v>65</v>
      </c>
      <c r="C370" s="6" t="s">
        <v>2325</v>
      </c>
      <c r="D370" s="6">
        <v>65138180</v>
      </c>
      <c r="E370" s="6" t="s">
        <v>2326</v>
      </c>
      <c r="F370" s="6" t="s">
        <v>2335</v>
      </c>
      <c r="G370" s="6">
        <v>57001</v>
      </c>
      <c r="H370" s="6" t="s">
        <v>2336</v>
      </c>
      <c r="I370" s="6" t="s">
        <v>2337</v>
      </c>
      <c r="J370" s="6" t="s">
        <v>2338</v>
      </c>
      <c r="K370" s="6">
        <v>724019645</v>
      </c>
      <c r="L370" s="6" t="s">
        <v>586</v>
      </c>
      <c r="M370" s="6" t="s">
        <v>84</v>
      </c>
      <c r="N370" s="6" t="s">
        <v>63</v>
      </c>
      <c r="O370" s="6" t="s">
        <v>1943</v>
      </c>
      <c r="P370" s="6"/>
      <c r="Q370" s="6" t="str">
        <f>VLOOKUP(G370,seznampsc!A:B,2,FALSE)</f>
        <v>Svitavy</v>
      </c>
      <c r="R370" s="6" t="str">
        <f>VLOOKUP(G370,seznampsc!A:C,3,FALSE)</f>
        <v>Pardubický kraj</v>
      </c>
      <c r="S370" s="6" t="s">
        <v>2339</v>
      </c>
      <c r="T370" s="6" t="s">
        <v>2340</v>
      </c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V370" s="10">
        <v>200000</v>
      </c>
    </row>
    <row r="371" spans="1:48" ht="24" customHeight="1" x14ac:dyDescent="0.3">
      <c r="A371" s="6"/>
      <c r="B371" s="6" t="s">
        <v>65</v>
      </c>
      <c r="C371" s="6" t="s">
        <v>2325</v>
      </c>
      <c r="D371" s="6">
        <v>65138180</v>
      </c>
      <c r="E371" s="6" t="s">
        <v>2326</v>
      </c>
      <c r="F371" s="6" t="s">
        <v>2341</v>
      </c>
      <c r="G371" s="6">
        <v>79601</v>
      </c>
      <c r="H371" s="6" t="s">
        <v>1756</v>
      </c>
      <c r="I371" s="6" t="s">
        <v>2342</v>
      </c>
      <c r="J371" s="6" t="s">
        <v>2343</v>
      </c>
      <c r="K371" s="6">
        <v>602461498</v>
      </c>
      <c r="L371" s="6" t="s">
        <v>586</v>
      </c>
      <c r="M371" s="6" t="s">
        <v>2344</v>
      </c>
      <c r="N371" s="6" t="s">
        <v>63</v>
      </c>
      <c r="O371" s="6" t="s">
        <v>1943</v>
      </c>
      <c r="P371" s="6"/>
      <c r="Q371" s="6" t="str">
        <f>VLOOKUP(G371,seznampsc!A:B,2,FALSE)</f>
        <v>Prostějov</v>
      </c>
      <c r="R371" s="6" t="str">
        <f>VLOOKUP(G371,seznampsc!A:C,3,FALSE)</f>
        <v>Olomoucký kraj</v>
      </c>
      <c r="S371" s="6" t="s">
        <v>2345</v>
      </c>
      <c r="T371" s="6" t="s">
        <v>2346</v>
      </c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V371" s="10">
        <v>200000</v>
      </c>
    </row>
    <row r="372" spans="1:48" ht="24" customHeight="1" x14ac:dyDescent="0.3">
      <c r="A372" s="6"/>
      <c r="B372" s="6" t="s">
        <v>65</v>
      </c>
      <c r="C372" s="6" t="s">
        <v>2325</v>
      </c>
      <c r="D372" s="6">
        <v>65138180</v>
      </c>
      <c r="E372" s="6" t="s">
        <v>2326</v>
      </c>
      <c r="F372" s="6" t="s">
        <v>2347</v>
      </c>
      <c r="G372" s="6">
        <v>74601</v>
      </c>
      <c r="H372" s="6" t="s">
        <v>2348</v>
      </c>
      <c r="I372" s="6" t="s">
        <v>2349</v>
      </c>
      <c r="J372" s="6" t="s">
        <v>2350</v>
      </c>
      <c r="K372" s="6">
        <v>723721803</v>
      </c>
      <c r="L372" s="6" t="s">
        <v>586</v>
      </c>
      <c r="M372" s="6" t="s">
        <v>2344</v>
      </c>
      <c r="N372" s="6" t="s">
        <v>63</v>
      </c>
      <c r="O372" s="6" t="s">
        <v>1943</v>
      </c>
      <c r="P372" s="6"/>
      <c r="Q372" s="6" t="str">
        <f>VLOOKUP(G372,seznampsc!A:B,2,FALSE)</f>
        <v>Opava</v>
      </c>
      <c r="R372" s="6" t="str">
        <f>VLOOKUP(G372,seznampsc!A:C,3,FALSE)</f>
        <v>Moravskoslezský kraj</v>
      </c>
      <c r="S372" s="6" t="s">
        <v>2351</v>
      </c>
      <c r="T372" s="6" t="s">
        <v>2352</v>
      </c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V372" s="10">
        <v>200000</v>
      </c>
    </row>
    <row r="373" spans="1:48" ht="24" customHeight="1" x14ac:dyDescent="0.3">
      <c r="A373" s="6" t="s">
        <v>53</v>
      </c>
      <c r="B373" s="6" t="s">
        <v>65</v>
      </c>
      <c r="C373" s="6" t="s">
        <v>2353</v>
      </c>
      <c r="D373" s="6">
        <v>25145487</v>
      </c>
      <c r="E373" s="6" t="s">
        <v>2354</v>
      </c>
      <c r="F373" s="6" t="s">
        <v>2355</v>
      </c>
      <c r="G373" s="6">
        <v>35601</v>
      </c>
      <c r="H373" s="6" t="s">
        <v>878</v>
      </c>
      <c r="I373" s="6" t="s">
        <v>2356</v>
      </c>
      <c r="J373" s="6" t="s">
        <v>2357</v>
      </c>
      <c r="K373" s="6" t="s">
        <v>2358</v>
      </c>
      <c r="L373" s="6" t="s">
        <v>73</v>
      </c>
      <c r="M373" s="6" t="s">
        <v>62</v>
      </c>
      <c r="N373" s="6" t="s">
        <v>63</v>
      </c>
      <c r="O373" s="6" t="s">
        <v>2282</v>
      </c>
      <c r="P373" s="6"/>
      <c r="Q373" s="6" t="str">
        <f>VLOOKUP(G373,seznampsc!A:B,2,FALSE)</f>
        <v>Sokolov</v>
      </c>
      <c r="R373" s="6" t="str">
        <f>VLOOKUP(G373,seznampsc!A:C,3,FALSE)</f>
        <v>Karlovarský kraj</v>
      </c>
      <c r="S373" s="6" t="s">
        <v>2359</v>
      </c>
      <c r="T373" s="6" t="s">
        <v>2360</v>
      </c>
      <c r="U373" s="6"/>
      <c r="V373" s="6"/>
      <c r="W373" s="6"/>
      <c r="X373" s="6"/>
      <c r="Y373" s="6"/>
      <c r="Z373" s="6"/>
      <c r="AA373" s="6"/>
      <c r="AB373" s="6"/>
      <c r="AC373" s="6"/>
      <c r="AD373" s="6">
        <v>550</v>
      </c>
      <c r="AE373" s="6">
        <v>550</v>
      </c>
      <c r="AF373" s="6">
        <v>550</v>
      </c>
      <c r="AG373" s="6"/>
      <c r="AH373" s="6"/>
      <c r="AI373" s="6"/>
      <c r="AJ373" s="6">
        <v>107</v>
      </c>
      <c r="AK373" s="6">
        <v>116</v>
      </c>
      <c r="AL373" s="6"/>
      <c r="AM373" s="6"/>
      <c r="AN373" s="6"/>
      <c r="AO373" s="6"/>
      <c r="AP373" s="6">
        <v>5</v>
      </c>
      <c r="AQ373" s="6">
        <v>5</v>
      </c>
      <c r="AR373" s="6"/>
      <c r="AS373" s="6" t="s">
        <v>199</v>
      </c>
      <c r="AT373" s="6"/>
      <c r="AV373" s="3">
        <v>50000</v>
      </c>
    </row>
    <row r="374" spans="1:48" ht="24" customHeight="1" x14ac:dyDescent="0.3">
      <c r="A374" s="6" t="s">
        <v>53</v>
      </c>
      <c r="B374" s="6" t="s">
        <v>65</v>
      </c>
      <c r="C374" s="6" t="s">
        <v>2361</v>
      </c>
      <c r="D374" s="6">
        <v>45928843</v>
      </c>
      <c r="E374" s="6" t="s">
        <v>2362</v>
      </c>
      <c r="F374" s="6" t="s">
        <v>2363</v>
      </c>
      <c r="G374" s="6">
        <v>54701</v>
      </c>
      <c r="H374" s="6" t="s">
        <v>2364</v>
      </c>
      <c r="I374" s="6" t="s">
        <v>2365</v>
      </c>
      <c r="J374" s="6" t="s">
        <v>2366</v>
      </c>
      <c r="K374" s="6">
        <v>608464601</v>
      </c>
      <c r="L374" s="6" t="s">
        <v>73</v>
      </c>
      <c r="M374" s="6" t="s">
        <v>62</v>
      </c>
      <c r="N374" s="6" t="s">
        <v>63</v>
      </c>
      <c r="O374" s="6" t="s">
        <v>2282</v>
      </c>
      <c r="P374" s="6"/>
      <c r="Q374" s="6" t="str">
        <f>VLOOKUP(G374,seznampsc!A:B,2,FALSE)</f>
        <v>Náchod</v>
      </c>
      <c r="R374" s="6" t="str">
        <f>VLOOKUP(G374,seznampsc!A:C,3,FALSE)</f>
        <v>Královéhradecký kraj</v>
      </c>
      <c r="S374" s="6" t="s">
        <v>2367</v>
      </c>
      <c r="T374" s="6" t="s">
        <v>2368</v>
      </c>
      <c r="U374" s="6"/>
      <c r="V374" s="6"/>
      <c r="W374" s="6"/>
      <c r="X374" s="6"/>
      <c r="Y374" s="6"/>
      <c r="Z374" s="6"/>
      <c r="AA374" s="6"/>
      <c r="AB374" s="6"/>
      <c r="AC374" s="6"/>
      <c r="AD374" s="6">
        <v>510</v>
      </c>
      <c r="AE374" s="6">
        <v>510</v>
      </c>
      <c r="AF374" s="6">
        <v>510</v>
      </c>
      <c r="AG374" s="6"/>
      <c r="AH374" s="6"/>
      <c r="AI374" s="6"/>
      <c r="AJ374" s="6">
        <v>107</v>
      </c>
      <c r="AK374" s="6">
        <v>116</v>
      </c>
      <c r="AL374" s="6"/>
      <c r="AM374" s="6"/>
      <c r="AN374" s="6"/>
      <c r="AO374" s="6"/>
      <c r="AP374" s="6">
        <v>1</v>
      </c>
      <c r="AQ374" s="6">
        <v>5</v>
      </c>
      <c r="AR374" s="6"/>
      <c r="AS374" s="6"/>
      <c r="AT374" s="6"/>
      <c r="AV374" s="3">
        <v>50000</v>
      </c>
    </row>
    <row r="375" spans="1:48" ht="24" customHeight="1" x14ac:dyDescent="0.3">
      <c r="A375" s="6" t="s">
        <v>53</v>
      </c>
      <c r="B375" s="6" t="s">
        <v>65</v>
      </c>
      <c r="C375" s="6" t="s">
        <v>2369</v>
      </c>
      <c r="D375" s="6">
        <v>70047847</v>
      </c>
      <c r="E375" s="6" t="s">
        <v>2370</v>
      </c>
      <c r="F375" s="6" t="s">
        <v>2371</v>
      </c>
      <c r="G375" s="6">
        <v>25601</v>
      </c>
      <c r="H375" s="6" t="s">
        <v>2372</v>
      </c>
      <c r="I375" s="6" t="s">
        <v>2373</v>
      </c>
      <c r="J375" s="6" t="s">
        <v>2374</v>
      </c>
      <c r="K375" s="6">
        <v>777119868</v>
      </c>
      <c r="L375" s="6" t="s">
        <v>155</v>
      </c>
      <c r="M375" s="6" t="s">
        <v>62</v>
      </c>
      <c r="N375" s="6" t="s">
        <v>63</v>
      </c>
      <c r="O375" s="6" t="s">
        <v>156</v>
      </c>
      <c r="P375" s="6"/>
      <c r="Q375" s="6" t="str">
        <f>VLOOKUP(G375,seznampsc!A:B,2,FALSE)</f>
        <v>Benešov</v>
      </c>
      <c r="R375" s="6" t="str">
        <f>VLOOKUP(G375,seznampsc!A:C,3,FALSE)</f>
        <v>Středočeský kraj</v>
      </c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>
        <v>570</v>
      </c>
      <c r="AE375" s="6">
        <v>600</v>
      </c>
      <c r="AF375" s="6">
        <v>600</v>
      </c>
      <c r="AG375" s="6"/>
      <c r="AH375" s="6"/>
      <c r="AI375" s="6"/>
      <c r="AJ375" s="6">
        <v>107</v>
      </c>
      <c r="AK375" s="6">
        <v>116</v>
      </c>
      <c r="AL375" s="6"/>
      <c r="AM375" s="6"/>
      <c r="AN375" s="6"/>
      <c r="AO375" s="6"/>
      <c r="AP375" s="6"/>
      <c r="AQ375" s="6">
        <v>5</v>
      </c>
      <c r="AR375" s="6"/>
      <c r="AS375" s="6"/>
      <c r="AT375" s="6"/>
      <c r="AU375" s="6" t="s">
        <v>2375</v>
      </c>
      <c r="AV375" s="3">
        <v>100000</v>
      </c>
    </row>
    <row r="376" spans="1:48" ht="24" customHeight="1" x14ac:dyDescent="0.3">
      <c r="A376" s="6" t="s">
        <v>53</v>
      </c>
      <c r="B376" s="6" t="s">
        <v>65</v>
      </c>
      <c r="C376" s="6" t="s">
        <v>2376</v>
      </c>
      <c r="D376" s="6">
        <v>70114436</v>
      </c>
      <c r="E376" s="6" t="s">
        <v>2377</v>
      </c>
      <c r="F376" s="6" t="s">
        <v>2378</v>
      </c>
      <c r="G376" s="6">
        <v>56002</v>
      </c>
      <c r="H376" s="6" t="s">
        <v>2379</v>
      </c>
      <c r="I376" s="6" t="s">
        <v>2380</v>
      </c>
      <c r="J376" s="6" t="s">
        <v>2381</v>
      </c>
      <c r="K376" s="6">
        <v>774222391</v>
      </c>
      <c r="L376" s="6" t="s">
        <v>73</v>
      </c>
      <c r="M376" s="6" t="s">
        <v>62</v>
      </c>
      <c r="N376" s="6" t="s">
        <v>63</v>
      </c>
      <c r="O376" s="6" t="s">
        <v>2282</v>
      </c>
      <c r="P376" s="6"/>
      <c r="Q376" s="6" t="str">
        <f>VLOOKUP(G376,seznampsc!A:B,2,FALSE)</f>
        <v>Ústí nad Orlicí</v>
      </c>
      <c r="R376" s="6" t="str">
        <f>VLOOKUP(G376,seznampsc!A:C,3,FALSE)</f>
        <v>Pardubický kraj</v>
      </c>
      <c r="S376" s="6" t="s">
        <v>2382</v>
      </c>
      <c r="T376" s="6" t="s">
        <v>2383</v>
      </c>
      <c r="U376" s="6"/>
      <c r="V376" s="6"/>
      <c r="W376" s="6"/>
      <c r="X376" s="6"/>
      <c r="Y376" s="6"/>
      <c r="Z376" s="6"/>
      <c r="AA376" s="6"/>
      <c r="AB376" s="6"/>
      <c r="AC376" s="6"/>
      <c r="AD376" s="6">
        <v>580</v>
      </c>
      <c r="AE376" s="6">
        <v>580</v>
      </c>
      <c r="AF376" s="6">
        <v>680</v>
      </c>
      <c r="AG376" s="6"/>
      <c r="AH376" s="6"/>
      <c r="AI376" s="6"/>
      <c r="AJ376" s="6">
        <v>107</v>
      </c>
      <c r="AK376" s="6">
        <v>116</v>
      </c>
      <c r="AL376" s="6"/>
      <c r="AM376" s="6"/>
      <c r="AN376" s="6"/>
      <c r="AO376" s="6"/>
      <c r="AP376" s="6">
        <v>2</v>
      </c>
      <c r="AQ376" s="6">
        <v>10</v>
      </c>
      <c r="AR376" s="6"/>
      <c r="AS376" s="6"/>
      <c r="AT376" s="6"/>
      <c r="AU376" s="6"/>
      <c r="AV376" s="3">
        <v>100000</v>
      </c>
    </row>
    <row r="377" spans="1:48" ht="24" customHeight="1" x14ac:dyDescent="0.3">
      <c r="A377" s="6"/>
      <c r="B377" s="6" t="s">
        <v>65</v>
      </c>
      <c r="C377" s="6" t="s">
        <v>2384</v>
      </c>
      <c r="D377" s="6">
        <v>3946801</v>
      </c>
      <c r="E377" s="6" t="s">
        <v>2385</v>
      </c>
      <c r="F377" s="6" t="s">
        <v>2386</v>
      </c>
      <c r="G377" s="6">
        <v>78401</v>
      </c>
      <c r="H377" s="6" t="s">
        <v>2387</v>
      </c>
      <c r="I377" s="6" t="s">
        <v>2388</v>
      </c>
      <c r="J377" s="6" t="s">
        <v>2389</v>
      </c>
      <c r="K377" s="6">
        <v>602533050</v>
      </c>
      <c r="L377" s="6" t="s">
        <v>73</v>
      </c>
      <c r="M377" s="6" t="s">
        <v>62</v>
      </c>
      <c r="N377" s="6" t="s">
        <v>63</v>
      </c>
      <c r="O377" s="6" t="s">
        <v>2390</v>
      </c>
      <c r="P377" s="6"/>
      <c r="Q377" s="6" t="str">
        <f>VLOOKUP(G377,seznampsc!A:B,2,FALSE)</f>
        <v>Olomouc</v>
      </c>
      <c r="R377" s="6" t="str">
        <f>VLOOKUP(G377,seznampsc!A:C,3,FALSE)</f>
        <v>Olomoucký kraj</v>
      </c>
      <c r="S377" s="6" t="s">
        <v>2391</v>
      </c>
      <c r="T377" s="6" t="s">
        <v>2392</v>
      </c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</row>
    <row r="378" spans="1:48" ht="24" customHeight="1" x14ac:dyDescent="0.3">
      <c r="A378" s="6"/>
      <c r="B378" s="6" t="s">
        <v>65</v>
      </c>
      <c r="C378" s="6" t="s">
        <v>2384</v>
      </c>
      <c r="D378" s="6">
        <v>3946801</v>
      </c>
      <c r="E378" s="6" t="s">
        <v>2385</v>
      </c>
      <c r="F378" s="6" t="s">
        <v>2393</v>
      </c>
      <c r="G378" s="6">
        <v>78901</v>
      </c>
      <c r="H378" s="6" t="s">
        <v>2394</v>
      </c>
      <c r="I378" s="6" t="s">
        <v>2395</v>
      </c>
      <c r="J378" s="6" t="s">
        <v>2396</v>
      </c>
      <c r="K378" s="6">
        <v>602227536</v>
      </c>
      <c r="L378" s="6" t="s">
        <v>73</v>
      </c>
      <c r="M378" s="6" t="s">
        <v>62</v>
      </c>
      <c r="N378" s="6" t="s">
        <v>63</v>
      </c>
      <c r="O378" s="6" t="s">
        <v>2390</v>
      </c>
      <c r="P378" s="6"/>
      <c r="Q378" s="6" t="str">
        <f>VLOOKUP(G378,seznampsc!A:B,2,FALSE)</f>
        <v>Šumperk</v>
      </c>
      <c r="R378" s="6" t="str">
        <f>VLOOKUP(G378,seznampsc!A:C,3,FALSE)</f>
        <v>Olomoucký kraj</v>
      </c>
      <c r="S378" s="6" t="s">
        <v>2397</v>
      </c>
      <c r="T378" s="6" t="s">
        <v>2398</v>
      </c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</row>
    <row r="379" spans="1:48" ht="24" customHeight="1" x14ac:dyDescent="0.3">
      <c r="A379" s="6"/>
      <c r="B379" s="6" t="s">
        <v>65</v>
      </c>
      <c r="C379" s="6" t="s">
        <v>2399</v>
      </c>
      <c r="D379" s="6">
        <v>60710641</v>
      </c>
      <c r="E379" s="6" t="s">
        <v>2400</v>
      </c>
      <c r="F379" s="6" t="s">
        <v>2401</v>
      </c>
      <c r="G379" s="6">
        <v>62700</v>
      </c>
      <c r="H379" s="6" t="s">
        <v>2402</v>
      </c>
      <c r="I379" s="6" t="s">
        <v>2403</v>
      </c>
      <c r="J379" s="6" t="s">
        <v>2404</v>
      </c>
      <c r="K379" s="6">
        <v>283932020</v>
      </c>
      <c r="L379" s="6" t="s">
        <v>586</v>
      </c>
      <c r="M379" s="6" t="s">
        <v>2405</v>
      </c>
      <c r="N379" s="6" t="s">
        <v>63</v>
      </c>
      <c r="O379" s="6" t="s">
        <v>2119</v>
      </c>
      <c r="P379" s="6"/>
      <c r="Q379" s="6" t="str">
        <f>VLOOKUP(G379,seznampsc!A:B,2,FALSE)</f>
        <v>Brno-město</v>
      </c>
      <c r="R379" s="6" t="str">
        <f>VLOOKUP(G379,seznampsc!A:C,3,FALSE)</f>
        <v>Jihomoravský kraj</v>
      </c>
      <c r="S379" s="6" t="s">
        <v>2406</v>
      </c>
      <c r="T379" s="6" t="s">
        <v>2407</v>
      </c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V379" s="10">
        <v>200000</v>
      </c>
    </row>
    <row r="380" spans="1:48" ht="24" customHeight="1" x14ac:dyDescent="0.3">
      <c r="A380" s="6" t="s">
        <v>53</v>
      </c>
      <c r="B380" s="6" t="s">
        <v>65</v>
      </c>
      <c r="C380" s="6" t="s">
        <v>2408</v>
      </c>
      <c r="D380" s="6">
        <v>2645246</v>
      </c>
      <c r="E380" s="6" t="s">
        <v>2409</v>
      </c>
      <c r="F380" s="6" t="s">
        <v>2410</v>
      </c>
      <c r="G380" s="6">
        <v>40001</v>
      </c>
      <c r="H380" s="6" t="s">
        <v>430</v>
      </c>
      <c r="I380" s="6" t="s">
        <v>2411</v>
      </c>
      <c r="J380" s="6" t="s">
        <v>2412</v>
      </c>
      <c r="K380" s="6">
        <v>773427942</v>
      </c>
      <c r="L380" s="6" t="s">
        <v>73</v>
      </c>
      <c r="M380" s="6" t="s">
        <v>62</v>
      </c>
      <c r="N380" s="6" t="s">
        <v>63</v>
      </c>
      <c r="O380" s="6" t="s">
        <v>2390</v>
      </c>
      <c r="P380" s="6"/>
      <c r="Q380" s="6" t="str">
        <f>VLOOKUP(G380,seznampsc!A:B,2,FALSE)</f>
        <v>Ústí nad Labem</v>
      </c>
      <c r="R380" s="6" t="str">
        <f>VLOOKUP(G380,seznampsc!A:C,3,FALSE)</f>
        <v>Ústecký kraj</v>
      </c>
      <c r="S380" s="6" t="s">
        <v>2413</v>
      </c>
      <c r="T380" s="6" t="s">
        <v>2414</v>
      </c>
      <c r="U380" s="6"/>
      <c r="V380" s="6"/>
      <c r="W380" s="6"/>
      <c r="X380" s="6"/>
      <c r="Y380" s="6"/>
      <c r="Z380" s="6"/>
      <c r="AA380" s="6"/>
      <c r="AB380" s="6"/>
      <c r="AC380" s="6"/>
      <c r="AD380" s="6">
        <v>720</v>
      </c>
      <c r="AE380" s="6">
        <v>760</v>
      </c>
      <c r="AF380" s="6">
        <v>760</v>
      </c>
      <c r="AG380" s="6"/>
      <c r="AH380" s="6"/>
      <c r="AI380" s="6"/>
      <c r="AJ380" s="6">
        <v>107</v>
      </c>
      <c r="AK380" s="6">
        <v>116</v>
      </c>
      <c r="AL380" s="6"/>
      <c r="AM380" s="6"/>
      <c r="AN380" s="6"/>
      <c r="AO380" s="6"/>
      <c r="AP380" s="6">
        <v>2</v>
      </c>
      <c r="AQ380" s="6">
        <v>10</v>
      </c>
      <c r="AR380" s="6"/>
      <c r="AS380" s="6"/>
      <c r="AT380" s="6"/>
      <c r="AV380" s="3">
        <v>100000</v>
      </c>
    </row>
    <row r="381" spans="1:48" ht="24" customHeight="1" x14ac:dyDescent="0.3">
      <c r="B381" s="6" t="s">
        <v>65</v>
      </c>
      <c r="C381" s="6" t="s">
        <v>2415</v>
      </c>
      <c r="D381" s="6">
        <v>61943975</v>
      </c>
      <c r="E381" s="6" t="s">
        <v>2416</v>
      </c>
      <c r="F381" s="6" t="s">
        <v>2417</v>
      </c>
      <c r="G381" s="6">
        <v>75002</v>
      </c>
      <c r="H381" s="6" t="s">
        <v>2418</v>
      </c>
      <c r="I381" s="6" t="s">
        <v>149</v>
      </c>
      <c r="J381" s="6" t="s">
        <v>2419</v>
      </c>
      <c r="K381" s="8">
        <v>602769259</v>
      </c>
      <c r="L381" s="6" t="s">
        <v>151</v>
      </c>
      <c r="M381" s="6" t="s">
        <v>134</v>
      </c>
      <c r="N381" s="3" t="s">
        <v>63</v>
      </c>
      <c r="P381" s="6"/>
      <c r="Q381" s="6" t="str">
        <f>VLOOKUP(G381,seznampsc!A:B,2,FALSE)</f>
        <v>Přerov</v>
      </c>
      <c r="R381" s="6" t="str">
        <f>VLOOKUP(G381,seznampsc!A:C,3,FALSE)</f>
        <v>Olomoucký kraj</v>
      </c>
      <c r="AU381" s="6"/>
    </row>
    <row r="382" spans="1:48" ht="24" customHeight="1" x14ac:dyDescent="0.3">
      <c r="A382" s="6"/>
      <c r="B382" s="6" t="s">
        <v>65</v>
      </c>
      <c r="C382" s="6" t="s">
        <v>2415</v>
      </c>
      <c r="D382" s="6">
        <v>61943975</v>
      </c>
      <c r="E382" s="6" t="s">
        <v>2416</v>
      </c>
      <c r="F382" s="6" t="s">
        <v>2417</v>
      </c>
      <c r="G382" s="6">
        <v>75002</v>
      </c>
      <c r="H382" s="6" t="s">
        <v>2418</v>
      </c>
      <c r="I382" s="6" t="s">
        <v>2420</v>
      </c>
      <c r="J382" s="6" t="s">
        <v>2419</v>
      </c>
      <c r="K382" s="6">
        <v>602769259</v>
      </c>
      <c r="L382" s="6" t="s">
        <v>586</v>
      </c>
      <c r="M382" s="6" t="s">
        <v>2421</v>
      </c>
      <c r="N382" s="6" t="s">
        <v>63</v>
      </c>
      <c r="O382" s="6" t="s">
        <v>2422</v>
      </c>
      <c r="P382" s="6"/>
      <c r="Q382" s="6" t="str">
        <f>VLOOKUP(G382,seznampsc!A:B,2,FALSE)</f>
        <v>Přerov</v>
      </c>
      <c r="R382" s="6" t="str">
        <f>VLOOKUP(G382,seznampsc!A:C,3,FALSE)</f>
        <v>Olomoucký kraj</v>
      </c>
      <c r="S382" s="6" t="s">
        <v>2423</v>
      </c>
      <c r="T382" s="6" t="s">
        <v>2424</v>
      </c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V382" s="10">
        <v>200000</v>
      </c>
    </row>
    <row r="383" spans="1:48" ht="24" customHeight="1" x14ac:dyDescent="0.3">
      <c r="A383" s="6"/>
      <c r="B383" s="6" t="s">
        <v>65</v>
      </c>
      <c r="C383" s="6" t="s">
        <v>2415</v>
      </c>
      <c r="D383" s="6">
        <v>61943975</v>
      </c>
      <c r="E383" s="6" t="s">
        <v>2416</v>
      </c>
      <c r="F383" s="6" t="s">
        <v>2425</v>
      </c>
      <c r="G383" s="6">
        <v>70900</v>
      </c>
      <c r="H383" s="6" t="s">
        <v>2426</v>
      </c>
      <c r="I383" s="6" t="s">
        <v>2427</v>
      </c>
      <c r="J383" s="6" t="s">
        <v>2428</v>
      </c>
      <c r="K383" s="6">
        <v>734256869</v>
      </c>
      <c r="L383" s="6" t="s">
        <v>586</v>
      </c>
      <c r="M383" s="6" t="s">
        <v>2421</v>
      </c>
      <c r="N383" s="6" t="s">
        <v>63</v>
      </c>
      <c r="O383" s="6" t="s">
        <v>2422</v>
      </c>
      <c r="P383" s="6"/>
      <c r="Q383" s="6" t="str">
        <f>VLOOKUP(G383,seznampsc!A:B,2,FALSE)</f>
        <v>Ostrava-město</v>
      </c>
      <c r="R383" s="6" t="str">
        <f>VLOOKUP(G383,seznampsc!A:C,3,FALSE)</f>
        <v>Moravskoslezský kraj</v>
      </c>
      <c r="S383" s="6" t="s">
        <v>2429</v>
      </c>
      <c r="T383" s="6" t="s">
        <v>2430</v>
      </c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V383" s="10">
        <v>200000</v>
      </c>
    </row>
    <row r="384" spans="1:48" ht="24" customHeight="1" x14ac:dyDescent="0.3">
      <c r="A384" s="6"/>
      <c r="B384" s="6" t="s">
        <v>65</v>
      </c>
      <c r="C384" s="6" t="s">
        <v>2431</v>
      </c>
      <c r="D384" s="6">
        <v>27765083</v>
      </c>
      <c r="E384" s="6" t="s">
        <v>2432</v>
      </c>
      <c r="F384" s="6" t="s">
        <v>2433</v>
      </c>
      <c r="G384" s="6">
        <v>73961</v>
      </c>
      <c r="H384" s="6" t="s">
        <v>2434</v>
      </c>
      <c r="I384" s="6" t="s">
        <v>2435</v>
      </c>
      <c r="J384" s="6" t="s">
        <v>2436</v>
      </c>
      <c r="K384" s="6" t="s">
        <v>2437</v>
      </c>
      <c r="L384" s="6" t="s">
        <v>586</v>
      </c>
      <c r="M384" s="6" t="s">
        <v>134</v>
      </c>
      <c r="N384" s="6" t="s">
        <v>63</v>
      </c>
      <c r="O384" s="6" t="s">
        <v>2438</v>
      </c>
      <c r="P384" s="6"/>
      <c r="Q384" s="6" t="str">
        <f>VLOOKUP(G384,seznampsc!A:B,2,FALSE)</f>
        <v>Frýdek-Místek</v>
      </c>
      <c r="R384" s="6" t="str">
        <f>VLOOKUP(G384,seznampsc!A:C,3,FALSE)</f>
        <v>Moravskoslezský kraj</v>
      </c>
      <c r="S384" s="6" t="s">
        <v>2439</v>
      </c>
      <c r="T384" s="6" t="s">
        <v>2440</v>
      </c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V384" s="10">
        <v>200000</v>
      </c>
    </row>
    <row r="385" spans="1:48" ht="24" customHeight="1" x14ac:dyDescent="0.3">
      <c r="A385" s="6"/>
      <c r="B385" s="6" t="s">
        <v>65</v>
      </c>
      <c r="C385" s="6" t="s">
        <v>2431</v>
      </c>
      <c r="D385" s="6">
        <v>27765083</v>
      </c>
      <c r="E385" s="6" t="s">
        <v>2432</v>
      </c>
      <c r="F385" s="6" t="s">
        <v>2441</v>
      </c>
      <c r="G385" s="6">
        <v>71000</v>
      </c>
      <c r="H385" s="6" t="s">
        <v>1660</v>
      </c>
      <c r="I385" s="6" t="s">
        <v>2442</v>
      </c>
      <c r="J385" s="6" t="s">
        <v>2443</v>
      </c>
      <c r="K385" s="6" t="s">
        <v>2444</v>
      </c>
      <c r="L385" s="6" t="s">
        <v>586</v>
      </c>
      <c r="M385" s="6" t="s">
        <v>134</v>
      </c>
      <c r="N385" s="6" t="s">
        <v>63</v>
      </c>
      <c r="O385" s="6" t="s">
        <v>2438</v>
      </c>
      <c r="P385" s="6"/>
      <c r="Q385" s="6" t="str">
        <f>VLOOKUP(G385,seznampsc!A:B,2,FALSE)</f>
        <v>Ostrava-město</v>
      </c>
      <c r="R385" s="6" t="str">
        <f>VLOOKUP(G385,seznampsc!A:C,3,FALSE)</f>
        <v>Moravskoslezský kraj</v>
      </c>
      <c r="S385" s="6" t="s">
        <v>2445</v>
      </c>
      <c r="T385" s="6" t="s">
        <v>2446</v>
      </c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V385" s="10">
        <v>200000</v>
      </c>
    </row>
    <row r="386" spans="1:48" ht="24" customHeight="1" x14ac:dyDescent="0.3">
      <c r="A386" s="6"/>
      <c r="B386" s="6" t="s">
        <v>65</v>
      </c>
      <c r="C386" s="6" t="s">
        <v>2431</v>
      </c>
      <c r="D386" s="6">
        <v>27765083</v>
      </c>
      <c r="E386" s="6" t="s">
        <v>2432</v>
      </c>
      <c r="F386" s="6" t="s">
        <v>2447</v>
      </c>
      <c r="G386" s="6">
        <v>73601</v>
      </c>
      <c r="H386" s="6" t="s">
        <v>2448</v>
      </c>
      <c r="I386" s="6" t="s">
        <v>2449</v>
      </c>
      <c r="J386" s="6" t="s">
        <v>2450</v>
      </c>
      <c r="K386" s="6" t="s">
        <v>2451</v>
      </c>
      <c r="L386" s="6" t="s">
        <v>586</v>
      </c>
      <c r="M386" s="6" t="s">
        <v>134</v>
      </c>
      <c r="N386" s="6" t="s">
        <v>63</v>
      </c>
      <c r="O386" s="6" t="s">
        <v>2438</v>
      </c>
      <c r="P386" s="6"/>
      <c r="Q386" s="6" t="str">
        <f>VLOOKUP(G386,seznampsc!A:B,2,FALSE)</f>
        <v>Karviná</v>
      </c>
      <c r="R386" s="6" t="str">
        <f>VLOOKUP(G386,seznampsc!A:C,3,FALSE)</f>
        <v>Moravskoslezský kraj</v>
      </c>
      <c r="S386" s="6" t="s">
        <v>2452</v>
      </c>
      <c r="T386" s="6" t="s">
        <v>2453</v>
      </c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V386" s="10">
        <v>200000</v>
      </c>
    </row>
    <row r="387" spans="1:48" ht="24" customHeight="1" x14ac:dyDescent="0.3">
      <c r="A387" s="6"/>
      <c r="B387" s="6" t="s">
        <v>65</v>
      </c>
      <c r="C387" s="6" t="s">
        <v>2431</v>
      </c>
      <c r="D387" s="6">
        <v>27765083</v>
      </c>
      <c r="E387" s="6" t="s">
        <v>2432</v>
      </c>
      <c r="F387" s="6" t="s">
        <v>2454</v>
      </c>
      <c r="G387" s="6">
        <v>73401</v>
      </c>
      <c r="H387" s="6" t="s">
        <v>2455</v>
      </c>
      <c r="I387" s="6" t="s">
        <v>2456</v>
      </c>
      <c r="J387" s="6" t="s">
        <v>2457</v>
      </c>
      <c r="K387" s="6" t="s">
        <v>2458</v>
      </c>
      <c r="L387" s="6" t="s">
        <v>586</v>
      </c>
      <c r="M387" s="6" t="s">
        <v>134</v>
      </c>
      <c r="N387" s="6" t="s">
        <v>63</v>
      </c>
      <c r="O387" s="6" t="s">
        <v>2438</v>
      </c>
      <c r="P387" s="6"/>
      <c r="Q387" s="6" t="str">
        <f>VLOOKUP(G387,seznampsc!A:B,2,FALSE)</f>
        <v>Karviná</v>
      </c>
      <c r="R387" s="6" t="str">
        <f>VLOOKUP(G387,seznampsc!A:C,3,FALSE)</f>
        <v>Moravskoslezský kraj</v>
      </c>
      <c r="S387" s="6" t="s">
        <v>2459</v>
      </c>
      <c r="T387" s="6" t="s">
        <v>2460</v>
      </c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V387" s="10">
        <v>200000</v>
      </c>
    </row>
    <row r="388" spans="1:48" ht="24" customHeight="1" x14ac:dyDescent="0.3">
      <c r="B388" s="6" t="s">
        <v>65</v>
      </c>
      <c r="C388" s="6" t="s">
        <v>2461</v>
      </c>
      <c r="D388" s="6">
        <v>10931759</v>
      </c>
      <c r="E388" s="6" t="s">
        <v>2462</v>
      </c>
      <c r="F388" s="6" t="s">
        <v>1040</v>
      </c>
      <c r="G388" s="6">
        <v>47001</v>
      </c>
      <c r="H388" s="6" t="s">
        <v>221</v>
      </c>
      <c r="I388" s="6" t="s">
        <v>149</v>
      </c>
      <c r="J388" s="6" t="s">
        <v>1042</v>
      </c>
      <c r="K388" s="8">
        <v>777766592</v>
      </c>
      <c r="L388" s="6" t="s">
        <v>151</v>
      </c>
      <c r="M388" s="6" t="s">
        <v>62</v>
      </c>
      <c r="N388" s="3" t="s">
        <v>63</v>
      </c>
      <c r="P388" s="6"/>
      <c r="Q388" s="6" t="str">
        <f>VLOOKUP(G388,seznampsc!A:B,2,FALSE)</f>
        <v>Česká Lípa</v>
      </c>
      <c r="R388" s="6" t="str">
        <f>VLOOKUP(G388,seznampsc!A:C,3,FALSE)</f>
        <v>Liberecký kraj</v>
      </c>
      <c r="AU388" s="6"/>
    </row>
    <row r="389" spans="1:48" ht="24" customHeight="1" x14ac:dyDescent="0.3">
      <c r="A389" s="6" t="s">
        <v>53</v>
      </c>
      <c r="B389" s="6" t="s">
        <v>65</v>
      </c>
      <c r="C389" s="6" t="s">
        <v>2461</v>
      </c>
      <c r="D389" s="6">
        <v>10931759</v>
      </c>
      <c r="E389" s="6" t="s">
        <v>2462</v>
      </c>
      <c r="F389" s="6" t="s">
        <v>1040</v>
      </c>
      <c r="G389" s="6">
        <v>47001</v>
      </c>
      <c r="H389" s="6" t="s">
        <v>221</v>
      </c>
      <c r="I389" s="6" t="s">
        <v>2463</v>
      </c>
      <c r="J389" s="6" t="s">
        <v>1042</v>
      </c>
      <c r="K389" s="6">
        <v>487853913</v>
      </c>
      <c r="L389" s="6" t="s">
        <v>73</v>
      </c>
      <c r="M389" s="6" t="s">
        <v>62</v>
      </c>
      <c r="N389" s="6" t="s">
        <v>63</v>
      </c>
      <c r="O389" s="6" t="s">
        <v>2390</v>
      </c>
      <c r="P389" s="6"/>
      <c r="Q389" s="6" t="str">
        <f>VLOOKUP(G389,seznampsc!A:B,2,FALSE)</f>
        <v>Česká Lípa</v>
      </c>
      <c r="R389" s="6" t="str">
        <f>VLOOKUP(G389,seznampsc!A:C,3,FALSE)</f>
        <v>Liberecký kraj</v>
      </c>
      <c r="S389" s="6" t="s">
        <v>2464</v>
      </c>
      <c r="T389" s="6" t="s">
        <v>2465</v>
      </c>
      <c r="U389" s="6"/>
      <c r="V389" s="6"/>
      <c r="W389" s="6"/>
      <c r="X389" s="6"/>
      <c r="Y389" s="6"/>
      <c r="Z389" s="6"/>
      <c r="AA389" s="6"/>
      <c r="AB389" s="6"/>
      <c r="AC389" s="6"/>
      <c r="AD389" s="6">
        <v>733</v>
      </c>
      <c r="AE389" s="6">
        <v>833</v>
      </c>
      <c r="AF389" s="6">
        <v>833</v>
      </c>
      <c r="AG389" s="6"/>
      <c r="AH389" s="6"/>
      <c r="AI389" s="6"/>
      <c r="AJ389" s="6">
        <v>107</v>
      </c>
      <c r="AK389" s="6">
        <v>116</v>
      </c>
      <c r="AL389" s="6"/>
      <c r="AM389" s="6"/>
      <c r="AN389" s="6"/>
      <c r="AO389" s="6"/>
      <c r="AP389" s="6"/>
      <c r="AQ389" s="6"/>
      <c r="AR389" s="6">
        <v>5</v>
      </c>
      <c r="AS389" s="6"/>
      <c r="AT389" s="6"/>
      <c r="AV389" s="3">
        <v>100000</v>
      </c>
    </row>
    <row r="390" spans="1:48" ht="24" customHeight="1" x14ac:dyDescent="0.3">
      <c r="A390" s="6" t="s">
        <v>53</v>
      </c>
      <c r="B390" s="6" t="s">
        <v>65</v>
      </c>
      <c r="C390" s="6" t="s">
        <v>2466</v>
      </c>
      <c r="D390" s="6">
        <v>28788591</v>
      </c>
      <c r="E390" s="6" t="s">
        <v>2467</v>
      </c>
      <c r="F390" s="6" t="s">
        <v>2468</v>
      </c>
      <c r="G390" s="6">
        <v>50003</v>
      </c>
      <c r="H390" s="6" t="s">
        <v>330</v>
      </c>
      <c r="I390" s="6" t="s">
        <v>2469</v>
      </c>
      <c r="J390" s="6" t="s">
        <v>2470</v>
      </c>
      <c r="K390" s="6">
        <v>800800805</v>
      </c>
      <c r="L390" s="6" t="s">
        <v>155</v>
      </c>
      <c r="M390" s="6" t="s">
        <v>62</v>
      </c>
      <c r="N390" s="6" t="s">
        <v>63</v>
      </c>
      <c r="O390" s="6" t="s">
        <v>156</v>
      </c>
      <c r="P390" s="6"/>
      <c r="Q390" s="6" t="str">
        <f>VLOOKUP(G390,seznampsc!A:B,2,FALSE)</f>
        <v>Hradec Králové</v>
      </c>
      <c r="R390" s="6" t="str">
        <f>VLOOKUP(G390,seznampsc!A:C,3,FALSE)</f>
        <v>Královéhradecký kraj</v>
      </c>
      <c r="S390" s="6" t="s">
        <v>2471</v>
      </c>
      <c r="T390" s="6" t="s">
        <v>2472</v>
      </c>
      <c r="U390" s="6"/>
      <c r="V390" s="6"/>
      <c r="W390" s="6"/>
      <c r="X390" s="6"/>
      <c r="Y390" s="6"/>
      <c r="Z390" s="6"/>
      <c r="AA390" s="6"/>
      <c r="AB390" s="6"/>
      <c r="AC390" s="6"/>
      <c r="AD390" s="6">
        <v>650</v>
      </c>
      <c r="AE390" s="6">
        <v>650</v>
      </c>
      <c r="AF390" s="6">
        <v>650</v>
      </c>
      <c r="AG390" s="6"/>
      <c r="AH390" s="6"/>
      <c r="AI390" s="6"/>
      <c r="AJ390" s="6">
        <v>107</v>
      </c>
      <c r="AK390" s="6">
        <v>107</v>
      </c>
      <c r="AL390" s="6"/>
      <c r="AM390" s="6"/>
      <c r="AN390" s="6"/>
      <c r="AO390" s="6"/>
      <c r="AP390" s="6">
        <v>2</v>
      </c>
      <c r="AQ390" s="6">
        <v>5</v>
      </c>
      <c r="AR390" s="6"/>
      <c r="AS390" s="6"/>
      <c r="AT390" s="6"/>
      <c r="AU390" s="6" t="s">
        <v>2473</v>
      </c>
      <c r="AV390" s="3">
        <v>100000</v>
      </c>
    </row>
    <row r="391" spans="1:48" ht="24" customHeight="1" x14ac:dyDescent="0.3">
      <c r="A391" s="6" t="s">
        <v>53</v>
      </c>
      <c r="B391" s="6" t="s">
        <v>65</v>
      </c>
      <c r="C391" s="6" t="s">
        <v>2474</v>
      </c>
      <c r="D391" s="6">
        <v>25004824</v>
      </c>
      <c r="E391" s="6" t="s">
        <v>2475</v>
      </c>
      <c r="F391" s="6" t="s">
        <v>2476</v>
      </c>
      <c r="G391" s="6">
        <v>40502</v>
      </c>
      <c r="H391" s="6" t="s">
        <v>2477</v>
      </c>
      <c r="I391" s="6"/>
      <c r="J391" s="6" t="s">
        <v>2478</v>
      </c>
      <c r="K391" s="6">
        <v>412542273</v>
      </c>
      <c r="L391" s="6" t="s">
        <v>73</v>
      </c>
      <c r="M391" s="6" t="s">
        <v>62</v>
      </c>
      <c r="N391" s="6" t="s">
        <v>63</v>
      </c>
      <c r="O391" s="6" t="s">
        <v>2390</v>
      </c>
      <c r="P391" s="6"/>
      <c r="Q391" s="6" t="str">
        <f>VLOOKUP(G391,seznampsc!A:B,2,FALSE)</f>
        <v>Děčín</v>
      </c>
      <c r="R391" s="6" t="str">
        <f>VLOOKUP(G391,seznampsc!A:C,3,FALSE)</f>
        <v>Ústecký kraj</v>
      </c>
      <c r="S391" s="6" t="s">
        <v>2479</v>
      </c>
      <c r="T391" s="6" t="s">
        <v>2480</v>
      </c>
      <c r="U391" s="6"/>
      <c r="V391" s="6"/>
      <c r="W391" s="6"/>
      <c r="X391" s="6"/>
      <c r="Y391" s="6"/>
      <c r="Z391" s="6"/>
      <c r="AA391" s="6"/>
      <c r="AB391" s="6"/>
      <c r="AC391" s="6"/>
      <c r="AD391" s="6">
        <v>640</v>
      </c>
      <c r="AE391" s="6">
        <v>680</v>
      </c>
      <c r="AF391" s="6">
        <v>680</v>
      </c>
      <c r="AG391" s="6"/>
      <c r="AH391" s="6"/>
      <c r="AI391" s="6"/>
      <c r="AJ391" s="6">
        <v>107</v>
      </c>
      <c r="AK391" s="6">
        <v>116</v>
      </c>
      <c r="AL391" s="6"/>
      <c r="AM391" s="6"/>
      <c r="AN391" s="6"/>
      <c r="AO391" s="6"/>
      <c r="AP391" s="6"/>
      <c r="AQ391" s="6"/>
      <c r="AR391" s="6"/>
      <c r="AS391" s="6"/>
      <c r="AT391" s="6"/>
      <c r="AV391" s="3">
        <v>50000</v>
      </c>
    </row>
    <row r="392" spans="1:48" ht="24" customHeight="1" x14ac:dyDescent="0.3">
      <c r="A392" s="6"/>
      <c r="B392" s="6" t="s">
        <v>65</v>
      </c>
      <c r="C392" s="6" t="s">
        <v>2481</v>
      </c>
      <c r="D392" s="6">
        <v>62584901</v>
      </c>
      <c r="E392" s="6" t="s">
        <v>2482</v>
      </c>
      <c r="F392" s="6" t="s">
        <v>2086</v>
      </c>
      <c r="G392" s="6">
        <v>16000</v>
      </c>
      <c r="H392" s="6" t="s">
        <v>2087</v>
      </c>
      <c r="I392" s="6" t="s">
        <v>1842</v>
      </c>
      <c r="J392" s="7" t="s">
        <v>2483</v>
      </c>
      <c r="K392" s="6">
        <v>607033434</v>
      </c>
      <c r="L392" s="6" t="s">
        <v>586</v>
      </c>
      <c r="M392" s="6" t="s">
        <v>2344</v>
      </c>
      <c r="N392" s="6" t="s">
        <v>63</v>
      </c>
      <c r="O392" s="6" t="s">
        <v>1943</v>
      </c>
      <c r="P392" s="6"/>
      <c r="Q392" s="6" t="str">
        <f>VLOOKUP(G392,seznampsc!A:B,2,FALSE)</f>
        <v>Hlavní město Praha</v>
      </c>
      <c r="R392" s="6" t="str">
        <f>VLOOKUP(G392,seznampsc!A:C,3,FALSE)</f>
        <v>Hlavní město Praha</v>
      </c>
      <c r="S392" s="6" t="s">
        <v>2091</v>
      </c>
      <c r="T392" s="6" t="s">
        <v>2092</v>
      </c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V392" s="10">
        <v>200000</v>
      </c>
    </row>
    <row r="393" spans="1:48" ht="24" customHeight="1" x14ac:dyDescent="0.3">
      <c r="A393" s="6" t="s">
        <v>53</v>
      </c>
      <c r="B393" s="6" t="s">
        <v>65</v>
      </c>
      <c r="C393" s="6" t="s">
        <v>2484</v>
      </c>
      <c r="D393" s="6">
        <v>11482605</v>
      </c>
      <c r="E393" s="6" t="s">
        <v>2485</v>
      </c>
      <c r="F393" s="6" t="s">
        <v>2486</v>
      </c>
      <c r="G393" s="6">
        <v>66434</v>
      </c>
      <c r="H393" s="6" t="s">
        <v>1866</v>
      </c>
      <c r="I393" s="6" t="s">
        <v>2487</v>
      </c>
      <c r="J393" s="6" t="s">
        <v>2488</v>
      </c>
      <c r="K393" s="6">
        <v>606838395</v>
      </c>
      <c r="L393" s="6" t="s">
        <v>73</v>
      </c>
      <c r="M393" s="6" t="s">
        <v>62</v>
      </c>
      <c r="N393" s="6" t="s">
        <v>63</v>
      </c>
      <c r="O393" s="6" t="s">
        <v>2282</v>
      </c>
      <c r="P393" s="6"/>
      <c r="Q393" s="6" t="str">
        <f>VLOOKUP(G393,seznampsc!A:B,2,FALSE)</f>
        <v>Brno-město</v>
      </c>
      <c r="R393" s="6" t="str">
        <f>VLOOKUP(G393,seznampsc!A:C,3,FALSE)</f>
        <v>Jihomoravský kraj</v>
      </c>
      <c r="S393" s="6" t="s">
        <v>2489</v>
      </c>
      <c r="T393" s="6" t="s">
        <v>2490</v>
      </c>
      <c r="U393" s="6"/>
      <c r="V393" s="6"/>
      <c r="W393" s="6"/>
      <c r="X393" s="6"/>
      <c r="Y393" s="6"/>
      <c r="Z393" s="6"/>
      <c r="AA393" s="6"/>
      <c r="AB393" s="6"/>
      <c r="AC393" s="6"/>
      <c r="AD393" s="6">
        <v>650</v>
      </c>
      <c r="AE393" s="6">
        <v>650</v>
      </c>
      <c r="AF393" s="6">
        <v>680</v>
      </c>
      <c r="AG393" s="6"/>
      <c r="AH393" s="6"/>
      <c r="AI393" s="6"/>
      <c r="AJ393" s="6">
        <v>107</v>
      </c>
      <c r="AK393" s="6">
        <v>116</v>
      </c>
      <c r="AL393" s="6"/>
      <c r="AM393" s="6"/>
      <c r="AN393" s="6"/>
      <c r="AO393" s="6"/>
      <c r="AP393" s="6"/>
      <c r="AQ393" s="6">
        <v>5</v>
      </c>
      <c r="AR393" s="6"/>
      <c r="AS393" s="6"/>
      <c r="AT393" s="6"/>
      <c r="AV393" s="3">
        <v>50000</v>
      </c>
    </row>
    <row r="394" spans="1:48" ht="24" customHeight="1" x14ac:dyDescent="0.3">
      <c r="A394" s="6"/>
      <c r="B394" s="6" t="s">
        <v>65</v>
      </c>
      <c r="C394" s="6" t="s">
        <v>2491</v>
      </c>
      <c r="D394" s="6">
        <v>25828096</v>
      </c>
      <c r="E394" s="6" t="s">
        <v>2492</v>
      </c>
      <c r="F394" s="6" t="s">
        <v>2493</v>
      </c>
      <c r="G394" s="6">
        <v>73514</v>
      </c>
      <c r="H394" s="6" t="s">
        <v>1171</v>
      </c>
      <c r="I394" s="6" t="s">
        <v>2494</v>
      </c>
      <c r="J394" s="6" t="s">
        <v>2495</v>
      </c>
      <c r="K394" s="6">
        <v>724266358</v>
      </c>
      <c r="L394" s="6" t="s">
        <v>586</v>
      </c>
      <c r="M394" s="6" t="s">
        <v>2496</v>
      </c>
      <c r="N394" s="6" t="s">
        <v>63</v>
      </c>
      <c r="O394" s="6" t="s">
        <v>2163</v>
      </c>
      <c r="P394" s="6"/>
      <c r="Q394" s="6" t="str">
        <f>VLOOKUP(G394,seznampsc!A:B,2,FALSE)</f>
        <v>Karviná</v>
      </c>
      <c r="R394" s="6" t="str">
        <f>VLOOKUP(G394,seznampsc!A:C,3,FALSE)</f>
        <v>Moravskoslezský kraj</v>
      </c>
      <c r="S394" s="6" t="s">
        <v>2497</v>
      </c>
      <c r="T394" s="6" t="s">
        <v>2498</v>
      </c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V394" s="10">
        <v>200000</v>
      </c>
    </row>
    <row r="395" spans="1:48" ht="24" customHeight="1" x14ac:dyDescent="0.3">
      <c r="B395" s="6" t="s">
        <v>65</v>
      </c>
      <c r="C395" s="6" t="s">
        <v>2499</v>
      </c>
      <c r="D395" s="6">
        <v>26826399</v>
      </c>
      <c r="E395" s="6" t="s">
        <v>2500</v>
      </c>
      <c r="F395" s="6" t="s">
        <v>2501</v>
      </c>
      <c r="G395" s="6">
        <v>73601</v>
      </c>
      <c r="H395" s="6" t="s">
        <v>957</v>
      </c>
      <c r="I395" s="6" t="s">
        <v>149</v>
      </c>
      <c r="J395" s="6" t="s">
        <v>2502</v>
      </c>
      <c r="K395" s="8">
        <v>603184638</v>
      </c>
      <c r="L395" s="6" t="s">
        <v>151</v>
      </c>
      <c r="M395" s="6" t="s">
        <v>2503</v>
      </c>
      <c r="N395" s="3" t="s">
        <v>63</v>
      </c>
      <c r="P395" s="6"/>
      <c r="Q395" s="6" t="str">
        <f>VLOOKUP(G395,seznampsc!A:B,2,FALSE)</f>
        <v>Karviná</v>
      </c>
      <c r="R395" s="6" t="str">
        <f>VLOOKUP(G395,seznampsc!A:C,3,FALSE)</f>
        <v>Moravskoslezský kraj</v>
      </c>
      <c r="AU395" s="6"/>
    </row>
    <row r="396" spans="1:48" ht="24" customHeight="1" x14ac:dyDescent="0.3">
      <c r="A396" s="6"/>
      <c r="B396" s="6" t="s">
        <v>65</v>
      </c>
      <c r="C396" s="6" t="s">
        <v>2499</v>
      </c>
      <c r="D396" s="6">
        <v>26826399</v>
      </c>
      <c r="E396" s="6" t="s">
        <v>2500</v>
      </c>
      <c r="F396" s="6" t="s">
        <v>2501</v>
      </c>
      <c r="G396" s="6">
        <v>73601</v>
      </c>
      <c r="H396" s="6" t="s">
        <v>957</v>
      </c>
      <c r="I396" s="6" t="s">
        <v>2504</v>
      </c>
      <c r="J396" s="6" t="s">
        <v>2502</v>
      </c>
      <c r="K396" s="6">
        <v>603184638</v>
      </c>
      <c r="L396" s="6" t="s">
        <v>586</v>
      </c>
      <c r="M396" s="6" t="s">
        <v>2503</v>
      </c>
      <c r="N396" s="6" t="s">
        <v>63</v>
      </c>
      <c r="O396" s="6" t="s">
        <v>2119</v>
      </c>
      <c r="P396" s="6"/>
      <c r="Q396" s="6" t="str">
        <f>VLOOKUP(G396,seznampsc!A:B,2,FALSE)</f>
        <v>Karviná</v>
      </c>
      <c r="R396" s="6" t="str">
        <f>VLOOKUP(G396,seznampsc!A:C,3,FALSE)</f>
        <v>Moravskoslezský kraj</v>
      </c>
      <c r="S396" s="6" t="s">
        <v>2505</v>
      </c>
      <c r="T396" s="6" t="s">
        <v>2506</v>
      </c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  <c r="AV396" s="10">
        <v>200000</v>
      </c>
    </row>
    <row r="397" spans="1:48" ht="24" customHeight="1" x14ac:dyDescent="0.3">
      <c r="A397" s="6"/>
      <c r="B397" s="6" t="s">
        <v>65</v>
      </c>
      <c r="C397" s="6" t="s">
        <v>1343</v>
      </c>
      <c r="D397" s="6" t="s">
        <v>1344</v>
      </c>
      <c r="E397" s="6" t="s">
        <v>1345</v>
      </c>
      <c r="F397" s="6" t="s">
        <v>1683</v>
      </c>
      <c r="G397" s="6">
        <v>68601</v>
      </c>
      <c r="H397" s="6" t="s">
        <v>1684</v>
      </c>
      <c r="I397" s="6" t="s">
        <v>1347</v>
      </c>
      <c r="J397" s="6" t="s">
        <v>1348</v>
      </c>
      <c r="K397" s="6">
        <v>777200497</v>
      </c>
      <c r="L397" s="6" t="s">
        <v>586</v>
      </c>
      <c r="M397" s="6" t="s">
        <v>1349</v>
      </c>
      <c r="N397" s="6" t="s">
        <v>63</v>
      </c>
      <c r="O397" s="6" t="s">
        <v>1350</v>
      </c>
      <c r="P397" s="6"/>
      <c r="Q397" s="6" t="str">
        <f>VLOOKUP(G397,seznampsc!A:B,2,FALSE)</f>
        <v>Uherské Hradiště</v>
      </c>
      <c r="R397" s="6" t="str">
        <f>VLOOKUP(G397,seznampsc!A:C,3,FALSE)</f>
        <v>Zlínský kraj</v>
      </c>
      <c r="S397" s="6" t="s">
        <v>2507</v>
      </c>
      <c r="T397" s="6" t="s">
        <v>2508</v>
      </c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3" t="s">
        <v>2509</v>
      </c>
      <c r="AV397" s="10">
        <v>200000</v>
      </c>
    </row>
    <row r="398" spans="1:48" ht="24" customHeight="1" x14ac:dyDescent="0.3">
      <c r="A398" s="6"/>
      <c r="B398" s="6" t="s">
        <v>65</v>
      </c>
      <c r="C398" s="6" t="s">
        <v>2510</v>
      </c>
      <c r="D398" s="6">
        <v>5556040</v>
      </c>
      <c r="E398" s="6" t="s">
        <v>2511</v>
      </c>
      <c r="F398" s="6" t="s">
        <v>2512</v>
      </c>
      <c r="G398" s="6">
        <v>14900</v>
      </c>
      <c r="H398" s="6" t="s">
        <v>2513</v>
      </c>
      <c r="I398" s="6" t="s">
        <v>2514</v>
      </c>
      <c r="J398" s="6" t="s">
        <v>2515</v>
      </c>
      <c r="K398" s="6">
        <v>271077534.27107698</v>
      </c>
      <c r="L398" s="6" t="s">
        <v>586</v>
      </c>
      <c r="M398" s="6" t="s">
        <v>2290</v>
      </c>
      <c r="N398" s="6" t="s">
        <v>63</v>
      </c>
      <c r="O398" s="6" t="s">
        <v>2291</v>
      </c>
      <c r="P398" s="6"/>
      <c r="Q398" s="6" t="str">
        <f>VLOOKUP(G398,seznampsc!A:B,2,FALSE)</f>
        <v>Hlavní město Praha</v>
      </c>
      <c r="R398" s="6" t="str">
        <f>VLOOKUP(G398,seznampsc!A:C,3,FALSE)</f>
        <v>Hlavní město Praha</v>
      </c>
      <c r="S398" s="6" t="s">
        <v>2516</v>
      </c>
      <c r="T398" s="6" t="s">
        <v>2517</v>
      </c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6" t="s">
        <v>2518</v>
      </c>
      <c r="AV398" s="10">
        <v>200000</v>
      </c>
    </row>
    <row r="399" spans="1:48" ht="24" customHeight="1" x14ac:dyDescent="0.3">
      <c r="A399" s="6"/>
      <c r="B399" s="6" t="s">
        <v>65</v>
      </c>
      <c r="C399" s="6" t="s">
        <v>2510</v>
      </c>
      <c r="D399" s="6">
        <v>5556040</v>
      </c>
      <c r="E399" s="6" t="s">
        <v>2511</v>
      </c>
      <c r="F399" s="6" t="s">
        <v>2519</v>
      </c>
      <c r="G399" s="6">
        <v>15500</v>
      </c>
      <c r="H399" s="6" t="s">
        <v>2520</v>
      </c>
      <c r="I399" s="6" t="s">
        <v>2521</v>
      </c>
      <c r="J399" s="6" t="s">
        <v>2522</v>
      </c>
      <c r="K399" s="6">
        <v>271077530.27107698</v>
      </c>
      <c r="L399" s="6" t="s">
        <v>586</v>
      </c>
      <c r="M399" s="6" t="s">
        <v>2290</v>
      </c>
      <c r="N399" s="6" t="s">
        <v>63</v>
      </c>
      <c r="O399" s="6" t="s">
        <v>2291</v>
      </c>
      <c r="P399" s="6"/>
      <c r="Q399" s="6" t="str">
        <f>VLOOKUP(G399,seznampsc!A:B,2,FALSE)</f>
        <v>Hlavní město Praha</v>
      </c>
      <c r="R399" s="6" t="str">
        <f>VLOOKUP(G399,seznampsc!A:C,3,FALSE)</f>
        <v>Hlavní město Praha</v>
      </c>
      <c r="S399" s="6" t="s">
        <v>2523</v>
      </c>
      <c r="T399" s="6" t="s">
        <v>2524</v>
      </c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 t="s">
        <v>2518</v>
      </c>
      <c r="AV399" s="10">
        <v>200000</v>
      </c>
    </row>
    <row r="400" spans="1:48" ht="24" customHeight="1" x14ac:dyDescent="0.3">
      <c r="A400" s="6"/>
      <c r="B400" s="6" t="s">
        <v>65</v>
      </c>
      <c r="C400" s="6" t="s">
        <v>2525</v>
      </c>
      <c r="D400" s="6">
        <v>47667931</v>
      </c>
      <c r="E400" s="6" t="s">
        <v>2526</v>
      </c>
      <c r="F400" s="6" t="s">
        <v>2527</v>
      </c>
      <c r="G400" s="6">
        <v>70800</v>
      </c>
      <c r="H400" s="6" t="s">
        <v>1935</v>
      </c>
      <c r="I400" s="6" t="s">
        <v>2528</v>
      </c>
      <c r="J400" s="6" t="s">
        <v>2529</v>
      </c>
      <c r="K400" s="6">
        <v>739521905</v>
      </c>
      <c r="L400" s="6" t="s">
        <v>586</v>
      </c>
      <c r="M400" s="6" t="s">
        <v>2530</v>
      </c>
      <c r="N400" s="6" t="s">
        <v>63</v>
      </c>
      <c r="O400" s="6" t="s">
        <v>1976</v>
      </c>
      <c r="P400" s="6"/>
      <c r="Q400" s="6" t="str">
        <f>VLOOKUP(G400,seznampsc!A:B,2,FALSE)</f>
        <v>Ostrava-město</v>
      </c>
      <c r="R400" s="6" t="str">
        <f>VLOOKUP(G400,seznampsc!A:C,3,FALSE)</f>
        <v>Moravskoslezský kraj</v>
      </c>
      <c r="S400" s="6" t="s">
        <v>2531</v>
      </c>
      <c r="T400" s="6" t="s">
        <v>2532</v>
      </c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  <c r="AV400" s="10">
        <v>200000</v>
      </c>
    </row>
    <row r="401" spans="1:48" ht="24" customHeight="1" x14ac:dyDescent="0.3">
      <c r="A401" s="6" t="s">
        <v>53</v>
      </c>
      <c r="B401" s="6" t="s">
        <v>65</v>
      </c>
      <c r="C401" s="6" t="s">
        <v>2533</v>
      </c>
      <c r="D401" s="6">
        <v>1256063</v>
      </c>
      <c r="E401" s="6" t="s">
        <v>2534</v>
      </c>
      <c r="F401" s="6" t="s">
        <v>2535</v>
      </c>
      <c r="G401" s="6">
        <v>28171</v>
      </c>
      <c r="H401" s="6" t="s">
        <v>2536</v>
      </c>
      <c r="I401" s="6" t="s">
        <v>2537</v>
      </c>
      <c r="J401" s="6" t="s">
        <v>2538</v>
      </c>
      <c r="K401" s="6">
        <v>606607406</v>
      </c>
      <c r="L401" s="6" t="s">
        <v>73</v>
      </c>
      <c r="M401" s="6" t="s">
        <v>62</v>
      </c>
      <c r="N401" s="6" t="s">
        <v>63</v>
      </c>
      <c r="O401" s="6" t="s">
        <v>2282</v>
      </c>
      <c r="P401" s="6"/>
      <c r="Q401" s="6" t="str">
        <f>VLOOKUP(G401,seznampsc!A:B,2,FALSE)</f>
        <v>Kolín</v>
      </c>
      <c r="R401" s="6" t="str">
        <f>VLOOKUP(G401,seznampsc!A:C,3,FALSE)</f>
        <v>Středočeský kraj</v>
      </c>
      <c r="S401" s="6" t="s">
        <v>2539</v>
      </c>
      <c r="T401" s="6" t="s">
        <v>2540</v>
      </c>
      <c r="U401" s="6"/>
      <c r="V401" s="6"/>
      <c r="W401" s="6"/>
      <c r="X401" s="6"/>
      <c r="Y401" s="6"/>
      <c r="Z401" s="6"/>
      <c r="AA401" s="6"/>
      <c r="AB401" s="6"/>
      <c r="AC401" s="6"/>
      <c r="AD401" s="6">
        <v>600</v>
      </c>
      <c r="AE401" s="6">
        <v>600</v>
      </c>
      <c r="AF401" s="6">
        <v>630</v>
      </c>
      <c r="AG401" s="6"/>
      <c r="AH401" s="6"/>
      <c r="AI401" s="6"/>
      <c r="AJ401" s="6">
        <v>107</v>
      </c>
      <c r="AK401" s="6">
        <v>116</v>
      </c>
      <c r="AL401" s="6"/>
      <c r="AM401" s="6"/>
      <c r="AN401" s="6"/>
      <c r="AO401" s="6"/>
      <c r="AP401" s="6"/>
      <c r="AQ401" s="6">
        <v>5</v>
      </c>
      <c r="AR401" s="6"/>
      <c r="AS401" s="6"/>
      <c r="AT401" s="6"/>
      <c r="AV401" s="3">
        <v>100000</v>
      </c>
    </row>
    <row r="402" spans="1:48" ht="24" customHeight="1" x14ac:dyDescent="0.3">
      <c r="A402" s="1" t="s">
        <v>381</v>
      </c>
      <c r="B402" s="1" t="s">
        <v>2541</v>
      </c>
      <c r="C402" s="1" t="s">
        <v>2542</v>
      </c>
      <c r="D402" s="1">
        <v>3300153</v>
      </c>
      <c r="E402" s="1" t="s">
        <v>2543</v>
      </c>
      <c r="F402" s="1" t="s">
        <v>2544</v>
      </c>
      <c r="G402" s="1">
        <v>26301</v>
      </c>
      <c r="H402" s="1" t="s">
        <v>2545</v>
      </c>
      <c r="I402" s="1" t="s">
        <v>2546</v>
      </c>
      <c r="J402" s="1" t="s">
        <v>2547</v>
      </c>
      <c r="K402" s="1">
        <v>722730892</v>
      </c>
      <c r="L402" s="1" t="s">
        <v>577</v>
      </c>
      <c r="M402" s="1" t="s">
        <v>389</v>
      </c>
      <c r="N402" s="1" t="s">
        <v>63</v>
      </c>
      <c r="O402" s="1" t="s">
        <v>2548</v>
      </c>
      <c r="P402" s="1"/>
      <c r="Q402" s="1"/>
      <c r="R402" s="1"/>
      <c r="S402" s="1" t="s">
        <v>2549</v>
      </c>
      <c r="T402" s="1" t="s">
        <v>2550</v>
      </c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 t="s">
        <v>2551</v>
      </c>
      <c r="AV402" s="1"/>
    </row>
    <row r="403" spans="1:48" ht="24" customHeight="1" x14ac:dyDescent="0.3">
      <c r="A403" s="6" t="s">
        <v>53</v>
      </c>
      <c r="B403" s="6" t="s">
        <v>65</v>
      </c>
      <c r="C403" s="6" t="s">
        <v>2552</v>
      </c>
      <c r="D403" s="6">
        <v>74555791</v>
      </c>
      <c r="E403" s="6" t="s">
        <v>2553</v>
      </c>
      <c r="F403" s="6" t="s">
        <v>2554</v>
      </c>
      <c r="G403" s="6">
        <v>36301</v>
      </c>
      <c r="H403" s="6" t="s">
        <v>2555</v>
      </c>
      <c r="I403" s="6" t="s">
        <v>2556</v>
      </c>
      <c r="J403" s="6" t="s">
        <v>2557</v>
      </c>
      <c r="K403" s="6">
        <v>601333160</v>
      </c>
      <c r="L403" s="6" t="s">
        <v>73</v>
      </c>
      <c r="M403" s="6" t="s">
        <v>62</v>
      </c>
      <c r="N403" s="6" t="s">
        <v>63</v>
      </c>
      <c r="O403" s="6" t="s">
        <v>2282</v>
      </c>
      <c r="P403" s="6"/>
      <c r="Q403" s="6" t="str">
        <f>VLOOKUP(G403,seznampsc!A:B,2,FALSE)</f>
        <v>Karlovy Vary</v>
      </c>
      <c r="R403" s="6" t="str">
        <f>VLOOKUP(G403,seznampsc!A:C,3,FALSE)</f>
        <v>Karlovarský kraj</v>
      </c>
      <c r="S403" s="6" t="s">
        <v>2558</v>
      </c>
      <c r="T403" s="6" t="s">
        <v>2559</v>
      </c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</row>
    <row r="404" spans="1:48" ht="24" customHeight="1" x14ac:dyDescent="0.3">
      <c r="A404" s="6" t="s">
        <v>53</v>
      </c>
      <c r="B404" s="6" t="s">
        <v>65</v>
      </c>
      <c r="C404" s="6" t="s">
        <v>2560</v>
      </c>
      <c r="D404" s="6">
        <v>26359022</v>
      </c>
      <c r="E404" s="6" t="s">
        <v>2561</v>
      </c>
      <c r="F404" s="6" t="s">
        <v>2562</v>
      </c>
      <c r="G404" s="6">
        <v>30100</v>
      </c>
      <c r="H404" s="6" t="s">
        <v>385</v>
      </c>
      <c r="I404" s="6"/>
      <c r="J404" s="7" t="s">
        <v>386</v>
      </c>
      <c r="K404" s="8">
        <v>800331108.77510095</v>
      </c>
      <c r="L404" s="6" t="s">
        <v>73</v>
      </c>
      <c r="M404" s="6" t="s">
        <v>62</v>
      </c>
      <c r="N404" s="6" t="s">
        <v>63</v>
      </c>
      <c r="O404" s="6" t="s">
        <v>804</v>
      </c>
      <c r="P404" s="6"/>
      <c r="Q404" s="6" t="str">
        <f>VLOOKUP(G404,seznampsc!A:B,2,FALSE)</f>
        <v>Plzeň-město</v>
      </c>
      <c r="R404" s="6" t="str">
        <f>VLOOKUP(G404,seznampsc!A:C,3,FALSE)</f>
        <v>Plzeňský kraj</v>
      </c>
      <c r="S404" s="6" t="s">
        <v>2563</v>
      </c>
      <c r="T404" s="6" t="s">
        <v>2564</v>
      </c>
      <c r="U404" s="6"/>
      <c r="V404" s="6"/>
      <c r="W404" s="6"/>
      <c r="X404" s="6"/>
      <c r="Y404" s="6"/>
      <c r="Z404" s="6"/>
      <c r="AA404" s="6"/>
      <c r="AB404" s="6"/>
      <c r="AC404" s="6"/>
      <c r="AD404" s="6">
        <v>760</v>
      </c>
      <c r="AE404" s="6">
        <v>760</v>
      </c>
      <c r="AF404" s="6">
        <v>760</v>
      </c>
      <c r="AG404" s="6"/>
      <c r="AH404" s="6"/>
      <c r="AI404" s="6"/>
      <c r="AJ404" s="6">
        <v>110</v>
      </c>
      <c r="AK404" s="6">
        <v>110</v>
      </c>
      <c r="AL404" s="6"/>
      <c r="AM404" s="6"/>
      <c r="AN404" s="6"/>
      <c r="AO404" s="6"/>
      <c r="AP404" s="6">
        <v>2.5</v>
      </c>
      <c r="AQ404" s="6">
        <v>10</v>
      </c>
      <c r="AR404" s="6"/>
      <c r="AS404" s="6" t="s">
        <v>2565</v>
      </c>
      <c r="AT404" s="6">
        <v>250</v>
      </c>
      <c r="AU404" s="6" t="s">
        <v>2566</v>
      </c>
      <c r="AV404" s="6">
        <v>200000</v>
      </c>
    </row>
    <row r="405" spans="1:48" ht="24" customHeight="1" x14ac:dyDescent="0.3">
      <c r="A405" s="6"/>
      <c r="B405" s="6" t="s">
        <v>65</v>
      </c>
      <c r="C405" s="6" t="s">
        <v>2567</v>
      </c>
      <c r="D405" s="6">
        <v>44960263</v>
      </c>
      <c r="E405" s="6" t="s">
        <v>2568</v>
      </c>
      <c r="F405" s="6" t="s">
        <v>2569</v>
      </c>
      <c r="G405" s="6">
        <v>62400</v>
      </c>
      <c r="H405" s="6" t="s">
        <v>2570</v>
      </c>
      <c r="I405" s="6"/>
      <c r="J405" s="6" t="s">
        <v>2571</v>
      </c>
      <c r="K405" s="6">
        <v>541222011</v>
      </c>
      <c r="L405" s="6" t="s">
        <v>586</v>
      </c>
      <c r="M405" s="6" t="s">
        <v>84</v>
      </c>
      <c r="N405" s="6" t="s">
        <v>63</v>
      </c>
      <c r="O405" s="6" t="s">
        <v>2572</v>
      </c>
      <c r="P405" s="6"/>
      <c r="Q405" s="6" t="str">
        <f>VLOOKUP(G405,seznampsc!A:B,2,FALSE)</f>
        <v>Brno-město</v>
      </c>
      <c r="R405" s="6" t="str">
        <f>VLOOKUP(G405,seznampsc!A:C,3,FALSE)</f>
        <v>Jihomoravský kraj</v>
      </c>
      <c r="S405" s="6" t="s">
        <v>2573</v>
      </c>
      <c r="T405" s="6" t="s">
        <v>2574</v>
      </c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  <c r="AV405" s="10">
        <v>200000</v>
      </c>
    </row>
    <row r="406" spans="1:48" ht="24" customHeight="1" x14ac:dyDescent="0.3">
      <c r="A406" s="6"/>
      <c r="B406" s="6" t="s">
        <v>65</v>
      </c>
      <c r="C406" s="6" t="s">
        <v>2575</v>
      </c>
      <c r="D406" s="6">
        <v>46358714</v>
      </c>
      <c r="E406" s="6" t="s">
        <v>2576</v>
      </c>
      <c r="F406" s="6" t="s">
        <v>2577</v>
      </c>
      <c r="G406" s="6">
        <v>61700</v>
      </c>
      <c r="H406" s="6" t="s">
        <v>272</v>
      </c>
      <c r="I406" s="6" t="s">
        <v>2578</v>
      </c>
      <c r="J406" s="6" t="s">
        <v>2579</v>
      </c>
      <c r="K406" s="6">
        <v>325410999</v>
      </c>
      <c r="L406" s="6" t="s">
        <v>586</v>
      </c>
      <c r="M406" s="6" t="s">
        <v>2580</v>
      </c>
      <c r="N406" s="6" t="s">
        <v>63</v>
      </c>
      <c r="O406" s="6" t="s">
        <v>1976</v>
      </c>
      <c r="P406" s="6"/>
      <c r="Q406" s="6" t="str">
        <f>VLOOKUP(G406,seznampsc!A:B,2,FALSE)</f>
        <v>Brno-město</v>
      </c>
      <c r="R406" s="6" t="str">
        <f>VLOOKUP(G406,seznampsc!A:C,3,FALSE)</f>
        <v>Jihomoravský kraj</v>
      </c>
      <c r="S406" s="6" t="s">
        <v>2581</v>
      </c>
      <c r="T406" s="6" t="s">
        <v>2582</v>
      </c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  <c r="AV406" s="8">
        <v>200000</v>
      </c>
    </row>
    <row r="407" spans="1:48" ht="24" customHeight="1" x14ac:dyDescent="0.3">
      <c r="A407" s="6"/>
      <c r="B407" s="6" t="s">
        <v>65</v>
      </c>
      <c r="C407" s="6" t="s">
        <v>2575</v>
      </c>
      <c r="D407" s="6">
        <v>46358714</v>
      </c>
      <c r="E407" s="6" t="s">
        <v>2576</v>
      </c>
      <c r="F407" s="6" t="s">
        <v>2583</v>
      </c>
      <c r="G407" s="6">
        <v>56802</v>
      </c>
      <c r="H407" s="6" t="s">
        <v>2584</v>
      </c>
      <c r="I407" s="6" t="s">
        <v>2585</v>
      </c>
      <c r="J407" s="7" t="s">
        <v>2586</v>
      </c>
      <c r="K407" s="6">
        <v>325409901</v>
      </c>
      <c r="L407" s="6" t="s">
        <v>586</v>
      </c>
      <c r="M407" s="6" t="s">
        <v>1942</v>
      </c>
      <c r="N407" s="6" t="s">
        <v>63</v>
      </c>
      <c r="O407" s="6" t="s">
        <v>1976</v>
      </c>
      <c r="P407" s="6"/>
      <c r="Q407" s="6" t="str">
        <f>VLOOKUP(G407,seznampsc!A:B,2,FALSE)</f>
        <v>Svitavy</v>
      </c>
      <c r="R407" s="6" t="str">
        <f>VLOOKUP(G407,seznampsc!A:C,3,FALSE)</f>
        <v>Pardubický kraj</v>
      </c>
      <c r="S407" s="6" t="s">
        <v>2587</v>
      </c>
      <c r="T407" s="6" t="s">
        <v>2588</v>
      </c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6"/>
      <c r="AV407" s="8">
        <v>200000</v>
      </c>
    </row>
    <row r="408" spans="1:48" ht="24" customHeight="1" x14ac:dyDescent="0.3">
      <c r="A408" s="6"/>
      <c r="B408" s="6" t="s">
        <v>65</v>
      </c>
      <c r="C408" s="6" t="s">
        <v>2575</v>
      </c>
      <c r="D408" s="6">
        <v>46358714</v>
      </c>
      <c r="E408" s="6" t="s">
        <v>2576</v>
      </c>
      <c r="F408" s="6" t="s">
        <v>2589</v>
      </c>
      <c r="G408" s="6">
        <v>53009</v>
      </c>
      <c r="H408" s="6" t="s">
        <v>2071</v>
      </c>
      <c r="I408" s="6" t="s">
        <v>2590</v>
      </c>
      <c r="J408" s="6" t="s">
        <v>2591</v>
      </c>
      <c r="K408" s="6">
        <v>325402900</v>
      </c>
      <c r="L408" s="6" t="s">
        <v>586</v>
      </c>
      <c r="M408" s="6" t="s">
        <v>2592</v>
      </c>
      <c r="N408" s="6" t="s">
        <v>63</v>
      </c>
      <c r="O408" s="6" t="s">
        <v>1976</v>
      </c>
      <c r="P408" s="6"/>
      <c r="Q408" s="6" t="str">
        <f>VLOOKUP(G408,seznampsc!A:B,2,FALSE)</f>
        <v>Pardubice</v>
      </c>
      <c r="R408" s="6" t="str">
        <f>VLOOKUP(G408,seznampsc!A:C,3,FALSE)</f>
        <v>Pardubický kraj</v>
      </c>
      <c r="S408" s="6" t="s">
        <v>2593</v>
      </c>
      <c r="T408" s="6" t="s">
        <v>2594</v>
      </c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  <c r="AV408" s="8">
        <v>200000</v>
      </c>
    </row>
    <row r="409" spans="1:48" ht="24" customHeight="1" x14ac:dyDescent="0.3">
      <c r="A409" s="6"/>
      <c r="B409" s="6" t="s">
        <v>65</v>
      </c>
      <c r="C409" s="6" t="s">
        <v>2575</v>
      </c>
      <c r="D409" s="6">
        <v>46358714</v>
      </c>
      <c r="E409" s="6" t="s">
        <v>2576</v>
      </c>
      <c r="F409" s="6" t="s">
        <v>2595</v>
      </c>
      <c r="G409" s="6">
        <v>53002</v>
      </c>
      <c r="H409" s="6" t="s">
        <v>2071</v>
      </c>
      <c r="I409" s="6" t="s">
        <v>2596</v>
      </c>
      <c r="J409" s="6" t="s">
        <v>2597</v>
      </c>
      <c r="K409" s="6">
        <v>325403901</v>
      </c>
      <c r="L409" s="6" t="s">
        <v>586</v>
      </c>
      <c r="M409" s="6" t="s">
        <v>84</v>
      </c>
      <c r="N409" s="6" t="s">
        <v>63</v>
      </c>
      <c r="O409" s="6" t="s">
        <v>1976</v>
      </c>
      <c r="P409" s="6"/>
      <c r="Q409" s="6" t="str">
        <f>VLOOKUP(G409,seznampsc!A:B,2,FALSE)</f>
        <v>Pardubice</v>
      </c>
      <c r="R409" s="6" t="str">
        <f>VLOOKUP(G409,seznampsc!A:C,3,FALSE)</f>
        <v>Pardubický kraj</v>
      </c>
      <c r="S409" s="6" t="s">
        <v>2598</v>
      </c>
      <c r="T409" s="6" t="s">
        <v>2599</v>
      </c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  <c r="AV409" s="8">
        <v>200000</v>
      </c>
    </row>
    <row r="410" spans="1:48" ht="24" customHeight="1" x14ac:dyDescent="0.3">
      <c r="A410" s="6"/>
      <c r="B410" s="6" t="s">
        <v>65</v>
      </c>
      <c r="C410" s="6" t="s">
        <v>2575</v>
      </c>
      <c r="D410" s="6">
        <v>46358714</v>
      </c>
      <c r="E410" s="6" t="s">
        <v>2576</v>
      </c>
      <c r="F410" s="6" t="s">
        <v>2600</v>
      </c>
      <c r="G410" s="6">
        <v>28002</v>
      </c>
      <c r="H410" s="6" t="s">
        <v>2601</v>
      </c>
      <c r="I410" s="6" t="s">
        <v>2602</v>
      </c>
      <c r="J410" s="6" t="s">
        <v>2603</v>
      </c>
      <c r="K410" s="6">
        <v>325404101</v>
      </c>
      <c r="L410" s="6" t="s">
        <v>586</v>
      </c>
      <c r="M410" s="6" t="s">
        <v>2604</v>
      </c>
      <c r="N410" s="6" t="s">
        <v>63</v>
      </c>
      <c r="O410" s="6" t="s">
        <v>1976</v>
      </c>
      <c r="P410" s="6"/>
      <c r="Q410" s="6" t="str">
        <f>VLOOKUP(G410,seznampsc!A:B,2,FALSE)</f>
        <v>Kolín</v>
      </c>
      <c r="R410" s="6" t="str">
        <f>VLOOKUP(G410,seznampsc!A:C,3,FALSE)</f>
        <v>Středočeský kraj</v>
      </c>
      <c r="S410" s="6" t="s">
        <v>2605</v>
      </c>
      <c r="T410" s="6" t="s">
        <v>2606</v>
      </c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  <c r="AV410" s="8">
        <v>200000</v>
      </c>
    </row>
    <row r="411" spans="1:48" ht="24" customHeight="1" x14ac:dyDescent="0.3">
      <c r="A411" s="6"/>
      <c r="B411" s="6" t="s">
        <v>65</v>
      </c>
      <c r="C411" s="6" t="s">
        <v>2575</v>
      </c>
      <c r="D411" s="6">
        <v>46358714</v>
      </c>
      <c r="E411" s="6" t="s">
        <v>2576</v>
      </c>
      <c r="F411" s="6" t="s">
        <v>2607</v>
      </c>
      <c r="G411" s="6">
        <v>29001</v>
      </c>
      <c r="H411" s="6" t="s">
        <v>1627</v>
      </c>
      <c r="I411" s="6" t="s">
        <v>2608</v>
      </c>
      <c r="J411" s="6" t="s">
        <v>2609</v>
      </c>
      <c r="K411" s="6">
        <v>325401941</v>
      </c>
      <c r="L411" s="6" t="s">
        <v>586</v>
      </c>
      <c r="M411" s="6" t="s">
        <v>919</v>
      </c>
      <c r="N411" s="6" t="s">
        <v>63</v>
      </c>
      <c r="O411" s="6" t="s">
        <v>1976</v>
      </c>
      <c r="P411" s="6"/>
      <c r="Q411" s="6" t="str">
        <f>VLOOKUP(G411,seznampsc!A:B,2,FALSE)</f>
        <v>Nymburk</v>
      </c>
      <c r="R411" s="6" t="str">
        <f>VLOOKUP(G411,seznampsc!A:C,3,FALSE)</f>
        <v>Středočeský kraj</v>
      </c>
      <c r="S411" s="6" t="s">
        <v>2610</v>
      </c>
      <c r="T411" s="6" t="s">
        <v>2611</v>
      </c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/>
      <c r="AV411" s="8">
        <v>200000</v>
      </c>
    </row>
    <row r="412" spans="1:48" ht="24" customHeight="1" x14ac:dyDescent="0.3">
      <c r="A412" s="6"/>
      <c r="B412" s="6" t="s">
        <v>65</v>
      </c>
      <c r="C412" s="6" t="s">
        <v>2575</v>
      </c>
      <c r="D412" s="6">
        <v>46358714</v>
      </c>
      <c r="E412" s="6" t="s">
        <v>2576</v>
      </c>
      <c r="F412" s="6" t="s">
        <v>2612</v>
      </c>
      <c r="G412" s="6">
        <v>19800</v>
      </c>
      <c r="H412" s="6" t="s">
        <v>978</v>
      </c>
      <c r="I412" s="6" t="s">
        <v>2613</v>
      </c>
      <c r="J412" s="6" t="s">
        <v>2614</v>
      </c>
      <c r="K412" s="6">
        <v>325408408</v>
      </c>
      <c r="L412" s="6" t="s">
        <v>586</v>
      </c>
      <c r="M412" s="6" t="s">
        <v>919</v>
      </c>
      <c r="N412" s="6" t="s">
        <v>63</v>
      </c>
      <c r="O412" s="6" t="s">
        <v>1976</v>
      </c>
      <c r="P412" s="6"/>
      <c r="Q412" s="6" t="str">
        <f>VLOOKUP(G412,seznampsc!A:B,2,FALSE)</f>
        <v>Hlavní město Praha</v>
      </c>
      <c r="R412" s="6" t="str">
        <f>VLOOKUP(G412,seznampsc!A:C,3,FALSE)</f>
        <v>Hlavní město Praha</v>
      </c>
      <c r="S412" s="6" t="s">
        <v>2615</v>
      </c>
      <c r="T412" s="6" t="s">
        <v>2616</v>
      </c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  <c r="AV412" s="8">
        <v>200000</v>
      </c>
    </row>
    <row r="413" spans="1:48" ht="24" customHeight="1" x14ac:dyDescent="0.3">
      <c r="A413" s="6"/>
      <c r="B413" s="6" t="s">
        <v>65</v>
      </c>
      <c r="C413" s="6" t="s">
        <v>2575</v>
      </c>
      <c r="D413" s="6">
        <v>46358714</v>
      </c>
      <c r="E413" s="6" t="s">
        <v>2576</v>
      </c>
      <c r="F413" s="6" t="s">
        <v>2617</v>
      </c>
      <c r="G413" s="6">
        <v>19000</v>
      </c>
      <c r="H413" s="6" t="s">
        <v>2618</v>
      </c>
      <c r="I413" s="6" t="s">
        <v>2619</v>
      </c>
      <c r="J413" s="6" t="s">
        <v>2620</v>
      </c>
      <c r="K413" s="6" t="s">
        <v>2621</v>
      </c>
      <c r="L413" s="6" t="s">
        <v>586</v>
      </c>
      <c r="M413" s="6" t="s">
        <v>2622</v>
      </c>
      <c r="N413" s="6" t="s">
        <v>63</v>
      </c>
      <c r="O413" s="6" t="s">
        <v>1976</v>
      </c>
      <c r="P413" s="6"/>
      <c r="Q413" s="6" t="str">
        <f>VLOOKUP(G413,seznampsc!A:B,2,FALSE)</f>
        <v>Hlavní město Praha</v>
      </c>
      <c r="R413" s="6" t="str">
        <f>VLOOKUP(G413,seznampsc!A:C,3,FALSE)</f>
        <v>Hlavní město Praha</v>
      </c>
      <c r="S413" s="6" t="s">
        <v>2623</v>
      </c>
      <c r="T413" s="6" t="s">
        <v>2624</v>
      </c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6"/>
      <c r="AV413" s="8">
        <v>200000</v>
      </c>
    </row>
    <row r="414" spans="1:48" ht="24" customHeight="1" x14ac:dyDescent="0.3">
      <c r="A414" s="6"/>
      <c r="B414" s="6" t="s">
        <v>65</v>
      </c>
      <c r="C414" s="6" t="s">
        <v>2575</v>
      </c>
      <c r="D414" s="6">
        <v>46358714</v>
      </c>
      <c r="E414" s="6" t="s">
        <v>2576</v>
      </c>
      <c r="F414" s="6" t="s">
        <v>2625</v>
      </c>
      <c r="G414" s="6">
        <v>46311</v>
      </c>
      <c r="H414" s="6" t="s">
        <v>1220</v>
      </c>
      <c r="I414" s="6" t="s">
        <v>2626</v>
      </c>
      <c r="J414" s="6" t="s">
        <v>2627</v>
      </c>
      <c r="K414" s="6">
        <v>482739915</v>
      </c>
      <c r="L414" s="6" t="s">
        <v>586</v>
      </c>
      <c r="M414" s="6" t="s">
        <v>2628</v>
      </c>
      <c r="N414" s="6" t="s">
        <v>63</v>
      </c>
      <c r="O414" s="6" t="s">
        <v>1976</v>
      </c>
      <c r="P414" s="6"/>
      <c r="Q414" s="6" t="str">
        <f>VLOOKUP(G414,seznampsc!A:B,2,FALSE)</f>
        <v>Liberec</v>
      </c>
      <c r="R414" s="6" t="str">
        <f>VLOOKUP(G414,seznampsc!A:C,3,FALSE)</f>
        <v>Liberecký kraj</v>
      </c>
      <c r="S414" s="6" t="s">
        <v>2629</v>
      </c>
      <c r="T414" s="6" t="s">
        <v>2630</v>
      </c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6"/>
      <c r="AV414" s="8">
        <v>200000</v>
      </c>
    </row>
    <row r="415" spans="1:48" ht="24" customHeight="1" x14ac:dyDescent="0.3">
      <c r="A415" s="1"/>
      <c r="B415" s="1" t="s">
        <v>65</v>
      </c>
      <c r="C415" s="1" t="s">
        <v>2575</v>
      </c>
      <c r="D415" s="1">
        <v>46358714</v>
      </c>
      <c r="E415" s="1" t="s">
        <v>2576</v>
      </c>
      <c r="F415" s="1" t="s">
        <v>2631</v>
      </c>
      <c r="G415" s="1">
        <v>40505</v>
      </c>
      <c r="H415" s="1" t="s">
        <v>2632</v>
      </c>
      <c r="I415" s="1" t="s">
        <v>2633</v>
      </c>
      <c r="J415" s="1" t="s">
        <v>2634</v>
      </c>
      <c r="K415" s="1">
        <v>325413902</v>
      </c>
      <c r="L415" s="1" t="s">
        <v>586</v>
      </c>
      <c r="M415" s="1" t="s">
        <v>134</v>
      </c>
      <c r="N415" s="1" t="s">
        <v>63</v>
      </c>
      <c r="O415" s="1" t="s">
        <v>1976</v>
      </c>
      <c r="P415" s="6"/>
      <c r="Q415" s="6" t="str">
        <f>VLOOKUP(G415,seznampsc!A:B,2,FALSE)</f>
        <v>Děčín</v>
      </c>
      <c r="R415" s="6" t="str">
        <f>VLOOKUP(G415,seznampsc!A:C,3,FALSE)</f>
        <v>Ústecký kraj</v>
      </c>
      <c r="S415" s="1" t="s">
        <v>2635</v>
      </c>
      <c r="T415" s="1" t="s">
        <v>2636</v>
      </c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 t="s">
        <v>2637</v>
      </c>
      <c r="AV415" s="2">
        <v>200000</v>
      </c>
    </row>
    <row r="416" spans="1:48" ht="24" customHeight="1" x14ac:dyDescent="0.3">
      <c r="A416" s="6"/>
      <c r="B416" s="6" t="s">
        <v>65</v>
      </c>
      <c r="C416" s="6" t="s">
        <v>2575</v>
      </c>
      <c r="D416" s="6">
        <v>46358714</v>
      </c>
      <c r="E416" s="6" t="s">
        <v>2576</v>
      </c>
      <c r="F416" s="6" t="s">
        <v>446</v>
      </c>
      <c r="G416" s="6">
        <v>40004</v>
      </c>
      <c r="H416" s="6" t="s">
        <v>2638</v>
      </c>
      <c r="I416" s="6" t="s">
        <v>2633</v>
      </c>
      <c r="J416" s="6" t="s">
        <v>2634</v>
      </c>
      <c r="K416" s="6">
        <v>325413902</v>
      </c>
      <c r="L416" s="6" t="s">
        <v>586</v>
      </c>
      <c r="M416" s="6" t="s">
        <v>134</v>
      </c>
      <c r="N416" s="6" t="s">
        <v>63</v>
      </c>
      <c r="O416" s="6" t="s">
        <v>1976</v>
      </c>
      <c r="P416" s="6"/>
      <c r="Q416" s="6" t="str">
        <f>VLOOKUP(G416,seznampsc!A:B,2,FALSE)</f>
        <v>Ústí nad Labem</v>
      </c>
      <c r="R416" s="6" t="str">
        <f>VLOOKUP(G416,seznampsc!A:C,3,FALSE)</f>
        <v>Ústecký kraj</v>
      </c>
      <c r="S416" s="6" t="s">
        <v>2639</v>
      </c>
      <c r="T416" s="6" t="s">
        <v>2640</v>
      </c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  <c r="AV416" s="8">
        <v>200000</v>
      </c>
    </row>
    <row r="417" spans="1:49" ht="24" customHeight="1" x14ac:dyDescent="0.3">
      <c r="A417" s="6"/>
      <c r="B417" s="6" t="s">
        <v>65</v>
      </c>
      <c r="C417" s="6" t="s">
        <v>2575</v>
      </c>
      <c r="D417" s="6">
        <v>46358714</v>
      </c>
      <c r="E417" s="6" t="s">
        <v>2576</v>
      </c>
      <c r="F417" s="6" t="s">
        <v>2641</v>
      </c>
      <c r="G417" s="6">
        <v>41742</v>
      </c>
      <c r="H417" s="6" t="s">
        <v>2642</v>
      </c>
      <c r="I417" s="6" t="s">
        <v>2643</v>
      </c>
      <c r="J417" s="6" t="s">
        <v>2644</v>
      </c>
      <c r="K417" s="6">
        <v>325407900</v>
      </c>
      <c r="L417" s="6" t="s">
        <v>586</v>
      </c>
      <c r="M417" s="6" t="s">
        <v>2645</v>
      </c>
      <c r="N417" s="6" t="s">
        <v>63</v>
      </c>
      <c r="O417" s="6" t="s">
        <v>1976</v>
      </c>
      <c r="P417" s="6"/>
      <c r="Q417" s="6" t="str">
        <f>VLOOKUP(G417,seznampsc!A:B,2,FALSE)</f>
        <v>Teplice</v>
      </c>
      <c r="R417" s="6" t="str">
        <f>VLOOKUP(G417,seznampsc!A:C,3,FALSE)</f>
        <v>Ústecký kraj</v>
      </c>
      <c r="S417" s="6" t="s">
        <v>2646</v>
      </c>
      <c r="T417" s="6" t="s">
        <v>2647</v>
      </c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/>
      <c r="AV417" s="8">
        <v>200000</v>
      </c>
    </row>
    <row r="418" spans="1:49" ht="24" customHeight="1" x14ac:dyDescent="0.3">
      <c r="A418" s="6"/>
      <c r="B418" s="6" t="s">
        <v>65</v>
      </c>
      <c r="C418" s="6" t="s">
        <v>2575</v>
      </c>
      <c r="D418" s="6">
        <v>46358714</v>
      </c>
      <c r="E418" s="6" t="s">
        <v>2576</v>
      </c>
      <c r="F418" s="6" t="s">
        <v>451</v>
      </c>
      <c r="G418" s="6">
        <v>41713</v>
      </c>
      <c r="H418" s="6" t="s">
        <v>2648</v>
      </c>
      <c r="I418" s="6" t="s">
        <v>2649</v>
      </c>
      <c r="J418" s="6" t="s">
        <v>2650</v>
      </c>
      <c r="K418" s="6">
        <v>325411900</v>
      </c>
      <c r="L418" s="6" t="s">
        <v>586</v>
      </c>
      <c r="M418" s="6" t="s">
        <v>120</v>
      </c>
      <c r="N418" s="6" t="s">
        <v>63</v>
      </c>
      <c r="O418" s="6" t="s">
        <v>1976</v>
      </c>
      <c r="P418" s="6"/>
      <c r="Q418" s="6" t="str">
        <f>VLOOKUP(G418,seznampsc!A:B,2,FALSE)</f>
        <v>Teplice</v>
      </c>
      <c r="R418" s="6" t="str">
        <f>VLOOKUP(G418,seznampsc!A:C,3,FALSE)</f>
        <v>Ústecký kraj</v>
      </c>
      <c r="S418" s="6" t="s">
        <v>2651</v>
      </c>
      <c r="T418" s="6" t="s">
        <v>2652</v>
      </c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  <c r="AV418" s="8">
        <v>200000</v>
      </c>
    </row>
    <row r="419" spans="1:49" ht="24" customHeight="1" x14ac:dyDescent="0.3">
      <c r="A419" s="6"/>
      <c r="B419" s="6" t="s">
        <v>65</v>
      </c>
      <c r="C419" s="6" t="s">
        <v>2575</v>
      </c>
      <c r="D419" s="6">
        <v>46358714</v>
      </c>
      <c r="E419" s="6" t="s">
        <v>2576</v>
      </c>
      <c r="F419" s="6" t="s">
        <v>2653</v>
      </c>
      <c r="G419" s="6">
        <v>37011</v>
      </c>
      <c r="H419" s="6" t="s">
        <v>460</v>
      </c>
      <c r="I419" s="6" t="s">
        <v>2654</v>
      </c>
      <c r="J419" s="6" t="s">
        <v>2655</v>
      </c>
      <c r="K419" s="6">
        <v>777456305</v>
      </c>
      <c r="L419" s="6" t="s">
        <v>586</v>
      </c>
      <c r="M419" s="6" t="s">
        <v>120</v>
      </c>
      <c r="N419" s="6" t="s">
        <v>63</v>
      </c>
      <c r="O419" s="6" t="s">
        <v>1976</v>
      </c>
      <c r="P419" s="6"/>
      <c r="Q419" s="6" t="str">
        <f>VLOOKUP(G419,seznampsc!A:B,2,FALSE)</f>
        <v>České Budějovice</v>
      </c>
      <c r="R419" s="6" t="str">
        <f>VLOOKUP(G419,seznampsc!A:C,3,FALSE)</f>
        <v>Jihočeský kraj</v>
      </c>
      <c r="S419" s="6" t="s">
        <v>2656</v>
      </c>
      <c r="T419" s="6" t="s">
        <v>2657</v>
      </c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  <c r="AV419" s="8">
        <v>200000</v>
      </c>
    </row>
    <row r="420" spans="1:49" ht="24" customHeight="1" x14ac:dyDescent="0.3">
      <c r="A420" s="6"/>
      <c r="B420" s="6" t="s">
        <v>65</v>
      </c>
      <c r="C420" s="6" t="s">
        <v>2575</v>
      </c>
      <c r="D420" s="6">
        <v>46358714</v>
      </c>
      <c r="E420" s="6" t="s">
        <v>2576</v>
      </c>
      <c r="F420" s="6" t="s">
        <v>2658</v>
      </c>
      <c r="G420" s="6">
        <v>38601</v>
      </c>
      <c r="H420" s="6" t="s">
        <v>2159</v>
      </c>
      <c r="I420" s="6" t="s">
        <v>2654</v>
      </c>
      <c r="J420" s="6" t="s">
        <v>2655</v>
      </c>
      <c r="K420" s="6">
        <v>777456305</v>
      </c>
      <c r="L420" s="6" t="s">
        <v>586</v>
      </c>
      <c r="M420" s="6" t="s">
        <v>120</v>
      </c>
      <c r="N420" s="6" t="s">
        <v>63</v>
      </c>
      <c r="O420" s="6" t="s">
        <v>1976</v>
      </c>
      <c r="P420" s="6"/>
      <c r="Q420" s="6" t="str">
        <f>VLOOKUP(G420,seznampsc!A:B,2,FALSE)</f>
        <v>Strakonice</v>
      </c>
      <c r="R420" s="6" t="str">
        <f>VLOOKUP(G420,seznampsc!A:C,3,FALSE)</f>
        <v>Jihočeský kraj</v>
      </c>
      <c r="S420" s="6" t="s">
        <v>2659</v>
      </c>
      <c r="T420" s="6" t="s">
        <v>2660</v>
      </c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  <c r="AV420" s="8">
        <v>200000</v>
      </c>
    </row>
    <row r="421" spans="1:49" ht="24" customHeight="1" x14ac:dyDescent="0.3">
      <c r="A421" s="6"/>
      <c r="B421" s="6" t="s">
        <v>65</v>
      </c>
      <c r="C421" s="6" t="s">
        <v>2575</v>
      </c>
      <c r="D421" s="6">
        <v>46358714</v>
      </c>
      <c r="E421" s="6" t="s">
        <v>2576</v>
      </c>
      <c r="F421" s="6" t="s">
        <v>2661</v>
      </c>
      <c r="G421" s="6">
        <v>58601</v>
      </c>
      <c r="H421" s="6" t="s">
        <v>286</v>
      </c>
      <c r="I421" s="6" t="s">
        <v>2662</v>
      </c>
      <c r="J421" s="6" t="s">
        <v>2663</v>
      </c>
      <c r="K421" s="6">
        <v>567306285</v>
      </c>
      <c r="L421" s="6" t="s">
        <v>586</v>
      </c>
      <c r="M421" s="6" t="s">
        <v>2664</v>
      </c>
      <c r="N421" s="6" t="s">
        <v>63</v>
      </c>
      <c r="O421" s="6" t="s">
        <v>1976</v>
      </c>
      <c r="P421" s="6"/>
      <c r="Q421" s="6" t="str">
        <f>VLOOKUP(G421,seznampsc!A:B,2,FALSE)</f>
        <v>Jihlava</v>
      </c>
      <c r="R421" s="6" t="str">
        <f>VLOOKUP(G421,seznampsc!A:C,3,FALSE)</f>
        <v>Kraj Vysočina</v>
      </c>
      <c r="S421" s="6" t="s">
        <v>2665</v>
      </c>
      <c r="T421" s="6" t="s">
        <v>2666</v>
      </c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  <c r="AV421" s="8">
        <v>200000</v>
      </c>
    </row>
    <row r="422" spans="1:49" ht="24" customHeight="1" x14ac:dyDescent="0.3">
      <c r="A422" s="6"/>
      <c r="B422" s="6" t="s">
        <v>65</v>
      </c>
      <c r="C422" s="6" t="s">
        <v>2575</v>
      </c>
      <c r="D422" s="6">
        <v>46358714</v>
      </c>
      <c r="E422" s="6" t="s">
        <v>2576</v>
      </c>
      <c r="F422" s="6" t="s">
        <v>131</v>
      </c>
      <c r="G422" s="6">
        <v>15500</v>
      </c>
      <c r="H422" s="6" t="s">
        <v>2667</v>
      </c>
      <c r="I422" s="6"/>
      <c r="J422" s="6" t="s">
        <v>2668</v>
      </c>
      <c r="K422" s="6">
        <v>225340440</v>
      </c>
      <c r="L422" s="6" t="s">
        <v>586</v>
      </c>
      <c r="M422" s="6" t="s">
        <v>134</v>
      </c>
      <c r="N422" s="6" t="s">
        <v>63</v>
      </c>
      <c r="O422" s="6" t="s">
        <v>1976</v>
      </c>
      <c r="P422" s="6"/>
      <c r="Q422" s="6" t="str">
        <f>VLOOKUP(G422,seznampsc!A:B,2,FALSE)</f>
        <v>Hlavní město Praha</v>
      </c>
      <c r="R422" s="6" t="str">
        <f>VLOOKUP(G422,seznampsc!A:C,3,FALSE)</f>
        <v>Hlavní město Praha</v>
      </c>
      <c r="S422" s="6" t="s">
        <v>2669</v>
      </c>
      <c r="T422" s="6" t="s">
        <v>2670</v>
      </c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  <c r="AV422" s="8">
        <v>200000</v>
      </c>
    </row>
    <row r="423" spans="1:49" ht="24" customHeight="1" x14ac:dyDescent="0.3">
      <c r="A423" s="6" t="s">
        <v>53</v>
      </c>
      <c r="B423" s="6" t="s">
        <v>65</v>
      </c>
      <c r="C423" s="6" t="s">
        <v>2671</v>
      </c>
      <c r="D423" s="6">
        <v>25044746</v>
      </c>
      <c r="E423" s="6" t="s">
        <v>2672</v>
      </c>
      <c r="F423" s="6" t="s">
        <v>2673</v>
      </c>
      <c r="G423" s="6">
        <v>41703</v>
      </c>
      <c r="H423" s="6" t="s">
        <v>2674</v>
      </c>
      <c r="I423" s="6" t="s">
        <v>2675</v>
      </c>
      <c r="J423" s="6" t="s">
        <v>2676</v>
      </c>
      <c r="K423" s="6">
        <v>733312775</v>
      </c>
      <c r="L423" s="6" t="s">
        <v>73</v>
      </c>
      <c r="M423" s="6" t="s">
        <v>62</v>
      </c>
      <c r="N423" s="6" t="s">
        <v>63</v>
      </c>
      <c r="O423" s="6" t="s">
        <v>2282</v>
      </c>
      <c r="P423" s="6"/>
      <c r="Q423" s="6" t="str">
        <f>VLOOKUP(G423,seznampsc!A:B,2,FALSE)</f>
        <v>Teplice</v>
      </c>
      <c r="R423" s="6" t="str">
        <f>VLOOKUP(G423,seznampsc!A:C,3,FALSE)</f>
        <v>Ústecký kraj</v>
      </c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>
        <v>550</v>
      </c>
      <c r="AE423" s="6">
        <v>550</v>
      </c>
      <c r="AF423" s="6"/>
      <c r="AG423" s="6"/>
      <c r="AH423" s="6"/>
      <c r="AI423" s="6"/>
      <c r="AJ423" s="6">
        <v>107</v>
      </c>
      <c r="AK423" s="6">
        <v>116</v>
      </c>
      <c r="AL423" s="6"/>
      <c r="AM423" s="6"/>
      <c r="AN423" s="6"/>
      <c r="AO423" s="6"/>
      <c r="AP423" s="6"/>
      <c r="AQ423" s="6">
        <v>10</v>
      </c>
      <c r="AR423" s="6"/>
      <c r="AS423" s="6"/>
      <c r="AT423" s="6"/>
      <c r="AV423" s="3">
        <v>100000</v>
      </c>
    </row>
    <row r="424" spans="1:49" ht="24" customHeight="1" x14ac:dyDescent="0.3">
      <c r="A424" s="6" t="s">
        <v>53</v>
      </c>
      <c r="B424" s="6" t="s">
        <v>65</v>
      </c>
      <c r="C424" s="6" t="s">
        <v>2677</v>
      </c>
      <c r="D424" s="6">
        <v>26158477</v>
      </c>
      <c r="E424" s="6" t="s">
        <v>2678</v>
      </c>
      <c r="F424" s="6" t="s">
        <v>2679</v>
      </c>
      <c r="G424" s="6">
        <v>27364</v>
      </c>
      <c r="H424" s="6" t="s">
        <v>2680</v>
      </c>
      <c r="I424" s="6" t="s">
        <v>2681</v>
      </c>
      <c r="J424" s="6" t="s">
        <v>2682</v>
      </c>
      <c r="K424" s="6">
        <v>777117611</v>
      </c>
      <c r="L424" s="6" t="s">
        <v>73</v>
      </c>
      <c r="M424" s="6" t="s">
        <v>62</v>
      </c>
      <c r="N424" s="6" t="s">
        <v>63</v>
      </c>
      <c r="O424" s="6" t="s">
        <v>2282</v>
      </c>
      <c r="P424" s="6"/>
      <c r="Q424" s="6" t="str">
        <f>VLOOKUP(G424,seznampsc!A:B,2,FALSE)</f>
        <v>Kladno</v>
      </c>
      <c r="R424" s="6" t="str">
        <f>VLOOKUP(G424,seznampsc!A:C,3,FALSE)</f>
        <v>Středočeský kraj</v>
      </c>
      <c r="S424" s="6" t="s">
        <v>2683</v>
      </c>
      <c r="T424" s="6" t="s">
        <v>2684</v>
      </c>
      <c r="U424" s="6"/>
      <c r="V424" s="6"/>
      <c r="W424" s="6"/>
      <c r="X424" s="6"/>
      <c r="Y424" s="6"/>
      <c r="Z424" s="6"/>
      <c r="AA424" s="6"/>
      <c r="AB424" s="6"/>
      <c r="AC424" s="6"/>
      <c r="AD424" s="6">
        <v>650</v>
      </c>
      <c r="AE424" s="6">
        <v>650</v>
      </c>
      <c r="AF424" s="6">
        <v>670</v>
      </c>
      <c r="AG424" s="6"/>
      <c r="AH424" s="6"/>
      <c r="AI424" s="6"/>
      <c r="AJ424" s="6">
        <v>107</v>
      </c>
      <c r="AK424" s="6">
        <v>107</v>
      </c>
      <c r="AL424" s="6"/>
      <c r="AM424" s="6"/>
      <c r="AN424" s="6"/>
      <c r="AO424" s="6"/>
      <c r="AP424" s="6">
        <v>5</v>
      </c>
      <c r="AQ424" s="6">
        <v>5</v>
      </c>
      <c r="AR424" s="6"/>
      <c r="AS424" s="6" t="s">
        <v>199</v>
      </c>
      <c r="AT424" s="6"/>
      <c r="AV424" s="3">
        <v>100000</v>
      </c>
    </row>
    <row r="425" spans="1:49" ht="24" customHeight="1" x14ac:dyDescent="0.3">
      <c r="A425" s="3" t="s">
        <v>53</v>
      </c>
      <c r="B425" s="6" t="s">
        <v>65</v>
      </c>
      <c r="C425" s="6" t="s">
        <v>2685</v>
      </c>
      <c r="D425" s="6">
        <v>6833381</v>
      </c>
      <c r="E425" s="6" t="s">
        <v>2686</v>
      </c>
      <c r="F425" s="6" t="s">
        <v>2687</v>
      </c>
      <c r="G425" s="6">
        <v>57001</v>
      </c>
      <c r="H425" s="6" t="s">
        <v>2336</v>
      </c>
      <c r="I425" s="6" t="s">
        <v>2688</v>
      </c>
      <c r="J425" s="6" t="s">
        <v>2689</v>
      </c>
      <c r="K425" s="6">
        <v>720057304.60108697</v>
      </c>
      <c r="L425" s="6" t="s">
        <v>151</v>
      </c>
      <c r="M425" s="6" t="s">
        <v>152</v>
      </c>
      <c r="N425" s="3" t="s">
        <v>63</v>
      </c>
      <c r="O425" s="8" t="s">
        <v>198</v>
      </c>
      <c r="P425" s="6"/>
      <c r="Q425" s="6" t="str">
        <f>VLOOKUP(G425,seznampsc!A:B,2,FALSE)</f>
        <v>Svitavy</v>
      </c>
      <c r="R425" s="6" t="str">
        <f>VLOOKUP(G425,seznampsc!A:C,3,FALSE)</f>
        <v>Pardubický kraj</v>
      </c>
      <c r="S425" s="6">
        <v>49.878540000000001</v>
      </c>
      <c r="T425" s="6">
        <v>16.300039999999999</v>
      </c>
      <c r="AD425" s="3">
        <v>710</v>
      </c>
      <c r="AE425" s="3">
        <v>740</v>
      </c>
      <c r="AF425" s="3">
        <v>740</v>
      </c>
      <c r="AJ425" s="3">
        <v>107</v>
      </c>
      <c r="AK425" s="3">
        <v>116</v>
      </c>
      <c r="AQ425" s="3">
        <v>10</v>
      </c>
      <c r="AS425" s="3" t="s">
        <v>2690</v>
      </c>
      <c r="AT425" s="3">
        <v>250</v>
      </c>
      <c r="AU425" s="3" t="s">
        <v>2691</v>
      </c>
      <c r="AV425" s="3">
        <v>200000</v>
      </c>
    </row>
    <row r="426" spans="1:49" ht="24" customHeight="1" x14ac:dyDescent="0.3">
      <c r="A426" s="6" t="s">
        <v>53</v>
      </c>
      <c r="B426" s="6" t="s">
        <v>65</v>
      </c>
      <c r="C426" s="6" t="s">
        <v>2685</v>
      </c>
      <c r="D426" s="9">
        <v>6833381</v>
      </c>
      <c r="E426" s="6" t="s">
        <v>2686</v>
      </c>
      <c r="F426" s="6" t="s">
        <v>2692</v>
      </c>
      <c r="G426" s="6">
        <v>57201</v>
      </c>
      <c r="H426" s="6" t="s">
        <v>2693</v>
      </c>
      <c r="I426" s="6" t="s">
        <v>2688</v>
      </c>
      <c r="J426" s="6" t="s">
        <v>2689</v>
      </c>
      <c r="K426" s="8">
        <v>601087533</v>
      </c>
      <c r="L426" s="6" t="s">
        <v>197</v>
      </c>
      <c r="M426" s="6" t="s">
        <v>62</v>
      </c>
      <c r="N426" s="6" t="s">
        <v>158</v>
      </c>
      <c r="O426" s="8" t="s">
        <v>198</v>
      </c>
      <c r="P426" s="6"/>
      <c r="Q426" s="6" t="str">
        <f>VLOOKUP(G426,seznampsc!A:B,2,FALSE)</f>
        <v>Svitavy</v>
      </c>
      <c r="R426" s="6" t="str">
        <f>VLOOKUP(G426,seznampsc!A:C,3,FALSE)</f>
        <v>Pardubický kraj</v>
      </c>
      <c r="S426" s="6" t="s">
        <v>2694</v>
      </c>
      <c r="T426" s="6" t="s">
        <v>2695</v>
      </c>
      <c r="U426" s="6"/>
      <c r="V426" s="6"/>
      <c r="W426" s="6"/>
      <c r="X426" s="6"/>
      <c r="Y426" s="6"/>
      <c r="Z426" s="6"/>
      <c r="AA426" s="6"/>
      <c r="AB426" s="6"/>
      <c r="AC426" s="6"/>
      <c r="AD426" s="3">
        <v>710</v>
      </c>
      <c r="AE426" s="3">
        <v>740</v>
      </c>
      <c r="AF426" s="3">
        <v>740</v>
      </c>
      <c r="AG426" s="6"/>
      <c r="AH426" s="6"/>
      <c r="AI426" s="6"/>
      <c r="AJ426" s="3">
        <v>107</v>
      </c>
      <c r="AK426" s="3">
        <v>116</v>
      </c>
      <c r="AL426" s="6"/>
      <c r="AM426" s="6"/>
      <c r="AN426" s="6"/>
      <c r="AO426" s="6"/>
      <c r="AP426" s="6"/>
      <c r="AQ426" s="6">
        <v>10</v>
      </c>
      <c r="AR426" s="6"/>
      <c r="AS426" s="6" t="s">
        <v>2690</v>
      </c>
      <c r="AT426" s="6">
        <v>250</v>
      </c>
      <c r="AU426" s="3" t="s">
        <v>2691</v>
      </c>
      <c r="AV426" s="10">
        <v>200000</v>
      </c>
    </row>
    <row r="427" spans="1:49" ht="24" customHeight="1" x14ac:dyDescent="0.3">
      <c r="A427" s="1" t="s">
        <v>381</v>
      </c>
      <c r="B427" s="1" t="s">
        <v>2541</v>
      </c>
      <c r="C427" s="1" t="s">
        <v>2696</v>
      </c>
      <c r="D427" s="1">
        <v>3867871</v>
      </c>
      <c r="E427" s="1" t="s">
        <v>2697</v>
      </c>
      <c r="F427" s="1" t="s">
        <v>2698</v>
      </c>
      <c r="G427" s="1">
        <v>19300</v>
      </c>
      <c r="H427" s="1" t="s">
        <v>2699</v>
      </c>
      <c r="I427" s="1" t="s">
        <v>2700</v>
      </c>
      <c r="J427" s="1" t="s">
        <v>2701</v>
      </c>
      <c r="K427" s="1">
        <v>605153535</v>
      </c>
      <c r="L427" s="1" t="s">
        <v>577</v>
      </c>
      <c r="M427" s="1" t="s">
        <v>389</v>
      </c>
      <c r="N427" s="1" t="s">
        <v>63</v>
      </c>
      <c r="O427" s="1" t="s">
        <v>2548</v>
      </c>
      <c r="P427" s="1"/>
      <c r="Q427" s="1"/>
      <c r="R427" s="1"/>
      <c r="S427" s="1" t="s">
        <v>2702</v>
      </c>
      <c r="T427" s="1" t="s">
        <v>2703</v>
      </c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 t="s">
        <v>2704</v>
      </c>
      <c r="AV427" s="1"/>
    </row>
    <row r="428" spans="1:49" ht="24" customHeight="1" x14ac:dyDescent="0.3">
      <c r="A428" s="6" t="s">
        <v>53</v>
      </c>
      <c r="B428" s="6" t="s">
        <v>65</v>
      </c>
      <c r="C428" s="6" t="s">
        <v>2705</v>
      </c>
      <c r="D428" s="6">
        <v>13952927</v>
      </c>
      <c r="E428" s="6" t="s">
        <v>2706</v>
      </c>
      <c r="F428" s="6" t="s">
        <v>2707</v>
      </c>
      <c r="G428" s="6">
        <v>66459</v>
      </c>
      <c r="H428" s="6" t="s">
        <v>2708</v>
      </c>
      <c r="I428" s="6"/>
      <c r="J428" s="6" t="s">
        <v>2709</v>
      </c>
      <c r="K428" s="6">
        <v>771203810</v>
      </c>
      <c r="L428" s="6" t="s">
        <v>73</v>
      </c>
      <c r="M428" s="6" t="s">
        <v>62</v>
      </c>
      <c r="N428" s="6" t="s">
        <v>63</v>
      </c>
      <c r="O428" s="6" t="s">
        <v>2282</v>
      </c>
      <c r="P428" s="6"/>
      <c r="Q428" s="6" t="str">
        <f>VLOOKUP(G428,seznampsc!A:B,2,FALSE)</f>
        <v>Brno-venkov</v>
      </c>
      <c r="R428" s="6" t="str">
        <f>VLOOKUP(G428,seznampsc!A:C,3,FALSE)</f>
        <v>Jihomoravský kraj</v>
      </c>
      <c r="S428" s="6" t="s">
        <v>2710</v>
      </c>
      <c r="T428" s="6" t="s">
        <v>2711</v>
      </c>
      <c r="U428" s="6"/>
      <c r="V428" s="6"/>
      <c r="W428" s="6"/>
      <c r="X428" s="6"/>
      <c r="Y428" s="6"/>
      <c r="Z428" s="6"/>
      <c r="AA428" s="6"/>
      <c r="AB428" s="6"/>
      <c r="AC428" s="6"/>
      <c r="AD428" s="6">
        <v>620</v>
      </c>
      <c r="AE428" s="6">
        <v>620</v>
      </c>
      <c r="AF428" s="6">
        <v>620</v>
      </c>
      <c r="AG428" s="6"/>
      <c r="AH428" s="6"/>
      <c r="AI428" s="6"/>
      <c r="AJ428" s="6">
        <v>107</v>
      </c>
      <c r="AK428" s="6">
        <v>116</v>
      </c>
      <c r="AL428" s="6"/>
      <c r="AM428" s="6"/>
      <c r="AN428" s="6"/>
      <c r="AO428" s="6"/>
      <c r="AP428" s="6">
        <v>0</v>
      </c>
      <c r="AQ428" s="6">
        <v>6</v>
      </c>
      <c r="AR428" s="6"/>
      <c r="AS428" s="6"/>
      <c r="AT428" s="6"/>
      <c r="AU428" s="3" t="s">
        <v>2712</v>
      </c>
      <c r="AW428" s="3">
        <v>720</v>
      </c>
    </row>
    <row r="429" spans="1:49" ht="24" customHeight="1" x14ac:dyDescent="0.3">
      <c r="A429" s="6" t="s">
        <v>53</v>
      </c>
      <c r="B429" s="6" t="s">
        <v>65</v>
      </c>
      <c r="C429" s="6" t="s">
        <v>2713</v>
      </c>
      <c r="D429" s="6">
        <v>42937736</v>
      </c>
      <c r="E429" s="6" t="s">
        <v>2714</v>
      </c>
      <c r="F429" s="6" t="s">
        <v>2715</v>
      </c>
      <c r="G429" s="6">
        <v>53002</v>
      </c>
      <c r="H429" s="6" t="s">
        <v>2716</v>
      </c>
      <c r="I429" s="6" t="s">
        <v>2717</v>
      </c>
      <c r="J429" s="6" t="s">
        <v>2718</v>
      </c>
      <c r="K429" s="6">
        <v>737249614</v>
      </c>
      <c r="L429" s="6" t="s">
        <v>73</v>
      </c>
      <c r="M429" s="6" t="s">
        <v>62</v>
      </c>
      <c r="N429" s="6" t="s">
        <v>63</v>
      </c>
      <c r="O429" s="6" t="s">
        <v>2282</v>
      </c>
      <c r="P429" s="6"/>
      <c r="Q429" s="6" t="str">
        <f>VLOOKUP(G429,seznampsc!A:B,2,FALSE)</f>
        <v>Pardubice</v>
      </c>
      <c r="R429" s="6" t="str">
        <f>VLOOKUP(G429,seznampsc!A:C,3,FALSE)</f>
        <v>Pardubický kraj</v>
      </c>
      <c r="S429" s="6" t="s">
        <v>2719</v>
      </c>
      <c r="T429" s="6" t="s">
        <v>2720</v>
      </c>
      <c r="U429" s="6"/>
      <c r="V429" s="6"/>
      <c r="W429" s="6"/>
      <c r="X429" s="6"/>
      <c r="Y429" s="6"/>
      <c r="Z429" s="6"/>
      <c r="AA429" s="6"/>
      <c r="AB429" s="6"/>
      <c r="AC429" s="6"/>
      <c r="AD429" s="6">
        <v>710</v>
      </c>
      <c r="AE429" s="6">
        <v>710</v>
      </c>
      <c r="AF429" s="6">
        <v>710</v>
      </c>
      <c r="AG429" s="6"/>
      <c r="AH429" s="6"/>
      <c r="AI429" s="6"/>
      <c r="AJ429" s="6">
        <v>107</v>
      </c>
      <c r="AK429" s="6">
        <v>116</v>
      </c>
      <c r="AL429" s="6"/>
      <c r="AM429" s="6"/>
      <c r="AN429" s="6"/>
      <c r="AO429" s="6"/>
      <c r="AP429" s="6"/>
      <c r="AQ429" s="6">
        <v>5</v>
      </c>
      <c r="AR429" s="6">
        <v>5</v>
      </c>
      <c r="AS429" s="6"/>
      <c r="AT429" s="6"/>
      <c r="AU429" s="6"/>
      <c r="AV429" s="3">
        <v>100000</v>
      </c>
    </row>
    <row r="430" spans="1:49" ht="24" customHeight="1" x14ac:dyDescent="0.3">
      <c r="A430" s="6" t="s">
        <v>53</v>
      </c>
      <c r="B430" s="6" t="s">
        <v>65</v>
      </c>
      <c r="C430" s="6" t="s">
        <v>2721</v>
      </c>
      <c r="D430" s="6">
        <v>14266971</v>
      </c>
      <c r="E430" s="6" t="s">
        <v>2722</v>
      </c>
      <c r="F430" s="6" t="s">
        <v>2723</v>
      </c>
      <c r="G430" s="6">
        <v>72200</v>
      </c>
      <c r="H430" s="6" t="s">
        <v>574</v>
      </c>
      <c r="I430" s="6" t="s">
        <v>2724</v>
      </c>
      <c r="J430" s="6" t="s">
        <v>575</v>
      </c>
      <c r="K430" s="6" t="s">
        <v>2725</v>
      </c>
      <c r="L430" s="6" t="s">
        <v>73</v>
      </c>
      <c r="M430" s="6" t="s">
        <v>62</v>
      </c>
      <c r="N430" s="6" t="s">
        <v>63</v>
      </c>
      <c r="O430" s="6" t="s">
        <v>2282</v>
      </c>
      <c r="P430" s="6"/>
      <c r="Q430" s="6" t="str">
        <f>VLOOKUP(G430,seznampsc!A:B,2,FALSE)</f>
        <v>Ostrava-město</v>
      </c>
      <c r="R430" s="6" t="str">
        <f>VLOOKUP(G430,seznampsc!A:C,3,FALSE)</f>
        <v>Moravskoslezský kraj</v>
      </c>
      <c r="S430" s="6" t="s">
        <v>2726</v>
      </c>
      <c r="T430" s="6" t="s">
        <v>2727</v>
      </c>
      <c r="U430" s="30">
        <v>0.05</v>
      </c>
      <c r="V430" s="30">
        <v>0.05</v>
      </c>
      <c r="W430" s="30">
        <v>0.05</v>
      </c>
      <c r="X430" s="9">
        <v>1500</v>
      </c>
      <c r="Y430" s="9">
        <v>800</v>
      </c>
      <c r="Z430" s="9"/>
      <c r="AA430" s="9"/>
      <c r="AB430" s="6"/>
      <c r="AC430" s="6"/>
      <c r="AD430" s="6">
        <v>550</v>
      </c>
      <c r="AE430" s="6">
        <v>550</v>
      </c>
      <c r="AF430" s="6">
        <v>550</v>
      </c>
      <c r="AG430" s="6"/>
      <c r="AH430" s="6"/>
      <c r="AI430" s="6"/>
      <c r="AJ430" s="6">
        <v>107</v>
      </c>
      <c r="AK430" s="6">
        <v>116</v>
      </c>
      <c r="AL430" s="6"/>
      <c r="AM430" s="6"/>
      <c r="AN430" s="30">
        <v>0.05</v>
      </c>
      <c r="AO430" s="30"/>
      <c r="AP430" s="30"/>
      <c r="AQ430" s="30"/>
      <c r="AR430" s="30"/>
      <c r="AS430" s="30"/>
      <c r="AT430" s="30"/>
      <c r="AU430" s="6" t="s">
        <v>2728</v>
      </c>
      <c r="AV430" s="3">
        <v>100000</v>
      </c>
    </row>
    <row r="431" spans="1:49" ht="24" customHeight="1" x14ac:dyDescent="0.3">
      <c r="A431" s="6"/>
      <c r="B431" s="6" t="s">
        <v>65</v>
      </c>
      <c r="C431" s="6" t="s">
        <v>2729</v>
      </c>
      <c r="D431" s="6">
        <v>29148537</v>
      </c>
      <c r="E431" s="6" t="s">
        <v>2730</v>
      </c>
      <c r="F431" s="6" t="s">
        <v>2731</v>
      </c>
      <c r="G431" s="6">
        <v>29306</v>
      </c>
      <c r="H431" s="6" t="s">
        <v>2732</v>
      </c>
      <c r="I431" s="6" t="s">
        <v>2733</v>
      </c>
      <c r="J431" s="6" t="s">
        <v>2734</v>
      </c>
      <c r="K431" s="6">
        <v>326211021</v>
      </c>
      <c r="L431" s="6" t="s">
        <v>586</v>
      </c>
      <c r="M431" s="6" t="s">
        <v>349</v>
      </c>
      <c r="N431" s="6" t="s">
        <v>63</v>
      </c>
      <c r="O431" s="6" t="s">
        <v>2119</v>
      </c>
      <c r="P431" s="6"/>
      <c r="Q431" s="6" t="str">
        <f>VLOOKUP(G431,seznampsc!A:B,2,FALSE)</f>
        <v>Mladá Boleslav</v>
      </c>
      <c r="R431" s="6" t="str">
        <f>VLOOKUP(G431,seznampsc!A:C,3,FALSE)</f>
        <v>Středočeský kraj</v>
      </c>
      <c r="S431" s="6" t="s">
        <v>2735</v>
      </c>
      <c r="T431" s="6" t="s">
        <v>2736</v>
      </c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  <c r="AV431" s="10">
        <v>200000</v>
      </c>
    </row>
    <row r="432" spans="1:49" ht="24" customHeight="1" x14ac:dyDescent="0.3">
      <c r="A432" s="6" t="s">
        <v>53</v>
      </c>
      <c r="B432" s="6" t="s">
        <v>65</v>
      </c>
      <c r="C432" s="6" t="s">
        <v>2737</v>
      </c>
      <c r="D432" s="6">
        <v>28648781</v>
      </c>
      <c r="E432" s="6" t="s">
        <v>2738</v>
      </c>
      <c r="F432" s="6" t="s">
        <v>2739</v>
      </c>
      <c r="G432" s="6">
        <v>74601</v>
      </c>
      <c r="H432" s="6" t="s">
        <v>1644</v>
      </c>
      <c r="I432" s="6" t="s">
        <v>2740</v>
      </c>
      <c r="J432" s="6" t="s">
        <v>2741</v>
      </c>
      <c r="K432" s="6">
        <v>608910905</v>
      </c>
      <c r="L432" s="6" t="s">
        <v>73</v>
      </c>
      <c r="M432" s="6" t="s">
        <v>62</v>
      </c>
      <c r="N432" s="6" t="s">
        <v>63</v>
      </c>
      <c r="O432" s="6" t="s">
        <v>787</v>
      </c>
      <c r="P432" s="6"/>
      <c r="Q432" s="6" t="str">
        <f>VLOOKUP(G432,seznampsc!A:B,2,FALSE)</f>
        <v>Opava</v>
      </c>
      <c r="R432" s="6" t="str">
        <f>VLOOKUP(G432,seznampsc!A:C,3,FALSE)</f>
        <v>Moravskoslezský kraj</v>
      </c>
      <c r="S432" s="6" t="s">
        <v>2742</v>
      </c>
      <c r="T432" s="6" t="s">
        <v>2743</v>
      </c>
      <c r="U432" s="6"/>
      <c r="V432" s="6"/>
      <c r="W432" s="6"/>
      <c r="X432" s="6"/>
      <c r="Y432" s="6"/>
      <c r="Z432" s="6"/>
      <c r="AA432" s="6"/>
      <c r="AB432" s="6"/>
      <c r="AC432" s="6"/>
      <c r="AD432" s="6">
        <v>620</v>
      </c>
      <c r="AE432" s="6">
        <v>620</v>
      </c>
      <c r="AF432" s="6">
        <v>620</v>
      </c>
      <c r="AG432" s="6"/>
      <c r="AH432" s="6"/>
      <c r="AI432" s="6"/>
      <c r="AJ432" s="6">
        <v>107</v>
      </c>
      <c r="AK432" s="6">
        <v>107</v>
      </c>
      <c r="AL432" s="6"/>
      <c r="AM432" s="6"/>
      <c r="AN432" s="6"/>
      <c r="AO432" s="6"/>
      <c r="AP432" s="6">
        <v>2</v>
      </c>
      <c r="AQ432" s="6">
        <v>10</v>
      </c>
      <c r="AR432" s="6"/>
      <c r="AS432" s="6" t="s">
        <v>2690</v>
      </c>
      <c r="AT432" s="6"/>
      <c r="AU432" s="6" t="s">
        <v>1386</v>
      </c>
      <c r="AV432" s="6">
        <v>100000</v>
      </c>
    </row>
    <row r="433" spans="1:48" ht="24" customHeight="1" x14ac:dyDescent="0.3">
      <c r="A433" s="3" t="s">
        <v>53</v>
      </c>
      <c r="B433" s="6" t="s">
        <v>65</v>
      </c>
      <c r="C433" s="6" t="s">
        <v>2744</v>
      </c>
      <c r="D433" s="6">
        <v>25081934</v>
      </c>
      <c r="E433" s="6" t="s">
        <v>2745</v>
      </c>
      <c r="F433" s="6" t="s">
        <v>2746</v>
      </c>
      <c r="G433" s="6">
        <v>27351</v>
      </c>
      <c r="H433" s="6" t="s">
        <v>2747</v>
      </c>
      <c r="I433" s="6" t="s">
        <v>149</v>
      </c>
      <c r="J433" s="6" t="s">
        <v>2748</v>
      </c>
      <c r="K433" s="6">
        <v>737283065</v>
      </c>
      <c r="L433" s="6" t="s">
        <v>151</v>
      </c>
      <c r="M433" s="6" t="s">
        <v>152</v>
      </c>
      <c r="N433" s="3" t="s">
        <v>63</v>
      </c>
      <c r="O433" s="6" t="s">
        <v>2282</v>
      </c>
      <c r="P433" s="6"/>
      <c r="Q433" s="6" t="str">
        <f>VLOOKUP(G433,seznampsc!A:B,2,FALSE)</f>
        <v>Kladno</v>
      </c>
      <c r="R433" s="6" t="str">
        <f>VLOOKUP(G433,seznampsc!A:C,3,FALSE)</f>
        <v>Středočeský kraj</v>
      </c>
      <c r="S433" s="6" t="s">
        <v>2749</v>
      </c>
      <c r="T433" s="6" t="s">
        <v>2750</v>
      </c>
      <c r="AD433" s="3">
        <v>660</v>
      </c>
      <c r="AE433" s="3">
        <v>660</v>
      </c>
      <c r="AF433" s="3">
        <v>700</v>
      </c>
      <c r="AJ433" s="3">
        <v>107</v>
      </c>
      <c r="AK433" s="3">
        <v>116</v>
      </c>
      <c r="AP433" s="3">
        <v>5</v>
      </c>
      <c r="AQ433" s="3">
        <v>5</v>
      </c>
      <c r="AU433" s="6"/>
      <c r="AV433" s="3">
        <v>100000</v>
      </c>
    </row>
    <row r="434" spans="1:48" ht="24" customHeight="1" x14ac:dyDescent="0.3">
      <c r="A434" s="3" t="s">
        <v>53</v>
      </c>
      <c r="B434" s="6" t="s">
        <v>65</v>
      </c>
      <c r="C434" s="6" t="s">
        <v>2751</v>
      </c>
      <c r="D434" s="6">
        <v>6690416</v>
      </c>
      <c r="E434" s="6" t="s">
        <v>2752</v>
      </c>
      <c r="F434" s="6" t="s">
        <v>2753</v>
      </c>
      <c r="G434" s="6">
        <v>28201</v>
      </c>
      <c r="H434" s="6" t="s">
        <v>2754</v>
      </c>
      <c r="I434" s="6" t="s">
        <v>149</v>
      </c>
      <c r="J434" s="6" t="s">
        <v>2755</v>
      </c>
      <c r="K434" s="6">
        <v>737125770</v>
      </c>
      <c r="L434" s="6" t="s">
        <v>151</v>
      </c>
      <c r="M434" s="6" t="s">
        <v>152</v>
      </c>
      <c r="N434" s="3" t="s">
        <v>63</v>
      </c>
      <c r="O434" s="6" t="s">
        <v>2282</v>
      </c>
      <c r="P434" s="6"/>
      <c r="Q434" s="6" t="str">
        <f>VLOOKUP(G434,seznampsc!A:B,2,FALSE)</f>
        <v>Kolín</v>
      </c>
      <c r="R434" s="6" t="str">
        <f>VLOOKUP(G434,seznampsc!A:C,3,FALSE)</f>
        <v>Středočeský kraj</v>
      </c>
      <c r="S434" s="6" t="s">
        <v>2756</v>
      </c>
      <c r="T434" s="6" t="s">
        <v>2757</v>
      </c>
      <c r="AD434" s="3">
        <v>630</v>
      </c>
      <c r="AE434" s="3">
        <v>630</v>
      </c>
      <c r="AF434" s="3">
        <v>670</v>
      </c>
      <c r="AJ434" s="3">
        <v>107</v>
      </c>
      <c r="AK434" s="3">
        <v>116</v>
      </c>
      <c r="AP434" s="3">
        <v>5</v>
      </c>
      <c r="AQ434" s="3">
        <v>10</v>
      </c>
      <c r="AU434" s="6"/>
      <c r="AV434" s="3">
        <v>100000</v>
      </c>
    </row>
    <row r="435" spans="1:48" ht="24" customHeight="1" x14ac:dyDescent="0.3">
      <c r="A435" s="6" t="s">
        <v>53</v>
      </c>
      <c r="B435" s="6" t="s">
        <v>65</v>
      </c>
      <c r="C435" s="6" t="s">
        <v>2758</v>
      </c>
      <c r="D435" s="6">
        <v>5867509</v>
      </c>
      <c r="E435" s="6" t="s">
        <v>2759</v>
      </c>
      <c r="F435" s="6" t="s">
        <v>2760</v>
      </c>
      <c r="G435" s="6">
        <v>37701</v>
      </c>
      <c r="H435" s="6" t="s">
        <v>2125</v>
      </c>
      <c r="I435" s="6" t="s">
        <v>2761</v>
      </c>
      <c r="J435" s="6" t="s">
        <v>2762</v>
      </c>
      <c r="K435" s="6">
        <v>606335226</v>
      </c>
      <c r="L435" s="6" t="s">
        <v>73</v>
      </c>
      <c r="M435" s="6" t="s">
        <v>62</v>
      </c>
      <c r="N435" s="6" t="s">
        <v>63</v>
      </c>
      <c r="O435" s="6" t="s">
        <v>2282</v>
      </c>
      <c r="P435" s="6"/>
      <c r="Q435" s="6" t="str">
        <f>VLOOKUP(G435,seznampsc!A:B,2,FALSE)</f>
        <v>Jindřichův Hradec</v>
      </c>
      <c r="R435" s="6" t="str">
        <f>VLOOKUP(G435,seznampsc!A:C,3,FALSE)</f>
        <v>Jihočeský kraj</v>
      </c>
      <c r="S435" s="6" t="s">
        <v>2763</v>
      </c>
      <c r="T435" s="6" t="s">
        <v>2764</v>
      </c>
      <c r="U435" s="6"/>
      <c r="V435" s="6"/>
      <c r="W435" s="6"/>
      <c r="X435" s="6"/>
      <c r="Y435" s="6"/>
      <c r="Z435" s="6"/>
      <c r="AA435" s="6"/>
      <c r="AB435" s="6"/>
      <c r="AC435" s="6"/>
      <c r="AD435" s="6">
        <v>700</v>
      </c>
      <c r="AE435" s="6">
        <v>700</v>
      </c>
      <c r="AF435" s="6">
        <v>700</v>
      </c>
      <c r="AG435" s="6"/>
      <c r="AH435" s="6"/>
      <c r="AI435" s="6"/>
      <c r="AJ435" s="6">
        <v>107</v>
      </c>
      <c r="AK435" s="6">
        <v>107</v>
      </c>
      <c r="AL435" s="6"/>
      <c r="AM435" s="6"/>
      <c r="AN435" s="6"/>
      <c r="AO435" s="6"/>
      <c r="AP435" s="6"/>
      <c r="AQ435" s="6">
        <v>10</v>
      </c>
      <c r="AR435" s="6"/>
      <c r="AS435" s="6"/>
      <c r="AT435" s="6"/>
      <c r="AU435" s="3" t="s">
        <v>1386</v>
      </c>
      <c r="AV435" s="3">
        <v>100000</v>
      </c>
    </row>
    <row r="436" spans="1:48" ht="24" customHeight="1" x14ac:dyDescent="0.3">
      <c r="A436" s="6" t="s">
        <v>53</v>
      </c>
      <c r="B436" s="6" t="s">
        <v>65</v>
      </c>
      <c r="C436" s="6" t="s">
        <v>2765</v>
      </c>
      <c r="D436" s="6">
        <v>6418732</v>
      </c>
      <c r="E436" s="6" t="s">
        <v>2766</v>
      </c>
      <c r="F436" s="6" t="s">
        <v>2767</v>
      </c>
      <c r="G436" s="6">
        <v>26901</v>
      </c>
      <c r="H436" s="6" t="s">
        <v>1789</v>
      </c>
      <c r="I436" s="6" t="s">
        <v>2768</v>
      </c>
      <c r="J436" s="6" t="s">
        <v>2769</v>
      </c>
      <c r="K436" s="6">
        <v>608611251</v>
      </c>
      <c r="L436" s="6" t="s">
        <v>73</v>
      </c>
      <c r="M436" s="6" t="s">
        <v>62</v>
      </c>
      <c r="N436" s="6" t="s">
        <v>63</v>
      </c>
      <c r="O436" s="6" t="s">
        <v>2282</v>
      </c>
      <c r="P436" s="6"/>
      <c r="Q436" s="6" t="str">
        <f>VLOOKUP(G436,seznampsc!A:B,2,FALSE)</f>
        <v>Rakovník</v>
      </c>
      <c r="R436" s="6" t="str">
        <f>VLOOKUP(G436,seznampsc!A:C,3,FALSE)</f>
        <v>Středočeský kraj</v>
      </c>
      <c r="S436" s="6" t="s">
        <v>2770</v>
      </c>
      <c r="T436" s="6" t="s">
        <v>2771</v>
      </c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>
        <v>650</v>
      </c>
      <c r="AF436" s="6">
        <v>650</v>
      </c>
      <c r="AG436" s="6">
        <v>650</v>
      </c>
      <c r="AH436" s="6"/>
      <c r="AI436" s="6"/>
      <c r="AJ436" s="6">
        <v>107</v>
      </c>
      <c r="AK436" s="6">
        <v>116</v>
      </c>
      <c r="AL436" s="6"/>
      <c r="AM436" s="6"/>
      <c r="AN436" s="6"/>
      <c r="AO436" s="6"/>
      <c r="AP436" s="6"/>
      <c r="AQ436" s="6">
        <v>7</v>
      </c>
      <c r="AR436" s="6"/>
      <c r="AS436" s="6"/>
      <c r="AT436" s="6"/>
      <c r="AU436" s="6"/>
      <c r="AV436" s="3">
        <v>100000</v>
      </c>
    </row>
    <row r="437" spans="1:48" ht="24" customHeight="1" x14ac:dyDescent="0.3">
      <c r="A437" s="6" t="s">
        <v>53</v>
      </c>
      <c r="B437" s="6" t="s">
        <v>65</v>
      </c>
      <c r="C437" s="6" t="s">
        <v>2765</v>
      </c>
      <c r="D437" s="6">
        <v>6418732</v>
      </c>
      <c r="E437" s="6" t="s">
        <v>2766</v>
      </c>
      <c r="F437" s="6" t="s">
        <v>2772</v>
      </c>
      <c r="G437" s="6">
        <v>26901</v>
      </c>
      <c r="H437" s="6" t="s">
        <v>1789</v>
      </c>
      <c r="I437" s="6" t="s">
        <v>2768</v>
      </c>
      <c r="J437" s="6" t="s">
        <v>2769</v>
      </c>
      <c r="K437" s="6">
        <v>608611251</v>
      </c>
      <c r="L437" s="6" t="s">
        <v>73</v>
      </c>
      <c r="M437" s="6" t="s">
        <v>62</v>
      </c>
      <c r="N437" s="6" t="s">
        <v>63</v>
      </c>
      <c r="O437" s="6" t="s">
        <v>2282</v>
      </c>
      <c r="P437" s="6"/>
      <c r="Q437" s="6" t="str">
        <f>VLOOKUP(G437,seznampsc!A:B,2,FALSE)</f>
        <v>Rakovník</v>
      </c>
      <c r="R437" s="6" t="str">
        <f>VLOOKUP(G437,seznampsc!A:C,3,FALSE)</f>
        <v>Středočeský kraj</v>
      </c>
      <c r="S437" s="6" t="s">
        <v>2773</v>
      </c>
      <c r="T437" s="6" t="s">
        <v>2774</v>
      </c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>
        <v>650</v>
      </c>
      <c r="AF437" s="6">
        <v>650</v>
      </c>
      <c r="AG437" s="6">
        <v>650</v>
      </c>
      <c r="AH437" s="6"/>
      <c r="AI437" s="6"/>
      <c r="AJ437" s="6">
        <v>107</v>
      </c>
      <c r="AK437" s="6">
        <v>116</v>
      </c>
      <c r="AL437" s="6"/>
      <c r="AM437" s="6"/>
      <c r="AN437" s="6"/>
      <c r="AO437" s="6"/>
      <c r="AP437" s="6"/>
      <c r="AQ437" s="6">
        <v>7</v>
      </c>
      <c r="AR437" s="6"/>
      <c r="AS437" s="6"/>
      <c r="AT437" s="6"/>
      <c r="AU437" s="6"/>
      <c r="AV437" s="3">
        <v>100000</v>
      </c>
    </row>
    <row r="438" spans="1:48" ht="24" customHeight="1" x14ac:dyDescent="0.3">
      <c r="A438" s="6" t="s">
        <v>53</v>
      </c>
      <c r="B438" s="6" t="s">
        <v>65</v>
      </c>
      <c r="C438" s="6" t="s">
        <v>2775</v>
      </c>
      <c r="D438" s="6">
        <v>10715215</v>
      </c>
      <c r="E438" s="6" t="s">
        <v>2776</v>
      </c>
      <c r="F438" s="6" t="s">
        <v>2777</v>
      </c>
      <c r="G438" s="6">
        <v>66434</v>
      </c>
      <c r="H438" s="6" t="s">
        <v>1866</v>
      </c>
      <c r="I438" s="6" t="s">
        <v>2778</v>
      </c>
      <c r="J438" s="6" t="s">
        <v>2779</v>
      </c>
      <c r="K438" s="6">
        <v>775688237</v>
      </c>
      <c r="L438" s="6" t="s">
        <v>73</v>
      </c>
      <c r="M438" s="6" t="s">
        <v>62</v>
      </c>
      <c r="N438" s="6" t="s">
        <v>63</v>
      </c>
      <c r="O438" s="6" t="s">
        <v>2282</v>
      </c>
      <c r="P438" s="6"/>
      <c r="Q438" s="6" t="str">
        <f>VLOOKUP(G438,seznampsc!A:B,2,FALSE)</f>
        <v>Brno-město</v>
      </c>
      <c r="R438" s="6" t="str">
        <f>VLOOKUP(G438,seznampsc!A:C,3,FALSE)</f>
        <v>Jihomoravský kraj</v>
      </c>
      <c r="S438" s="6" t="s">
        <v>2780</v>
      </c>
      <c r="T438" s="6" t="s">
        <v>2781</v>
      </c>
      <c r="U438" s="6"/>
      <c r="V438" s="6"/>
      <c r="W438" s="6"/>
      <c r="X438" s="6"/>
      <c r="Y438" s="6"/>
      <c r="Z438" s="6"/>
      <c r="AA438" s="6"/>
      <c r="AB438" s="6"/>
      <c r="AC438" s="6"/>
      <c r="AD438" s="6">
        <v>600</v>
      </c>
      <c r="AE438" s="6">
        <v>600</v>
      </c>
      <c r="AF438" s="6">
        <v>660</v>
      </c>
      <c r="AG438" s="6"/>
      <c r="AH438" s="6"/>
      <c r="AI438" s="6"/>
      <c r="AJ438" s="6">
        <v>107</v>
      </c>
      <c r="AK438" s="6">
        <v>116</v>
      </c>
      <c r="AL438" s="6"/>
      <c r="AM438" s="6"/>
      <c r="AN438" s="6"/>
      <c r="AO438" s="6"/>
      <c r="AP438" s="6"/>
      <c r="AQ438" s="6">
        <v>10</v>
      </c>
      <c r="AR438" s="6"/>
      <c r="AS438" s="6"/>
      <c r="AT438" s="6"/>
      <c r="AU438" s="3" t="s">
        <v>1386</v>
      </c>
      <c r="AV438" s="3">
        <v>100000</v>
      </c>
    </row>
    <row r="439" spans="1:48" ht="24" customHeight="1" x14ac:dyDescent="0.3">
      <c r="A439" s="6"/>
      <c r="B439" s="6" t="s">
        <v>65</v>
      </c>
      <c r="C439" s="6" t="s">
        <v>1958</v>
      </c>
      <c r="D439" s="6">
        <v>26217996</v>
      </c>
      <c r="E439" s="6" t="s">
        <v>1959</v>
      </c>
      <c r="F439" s="6" t="s">
        <v>2782</v>
      </c>
      <c r="G439" s="6">
        <v>68601</v>
      </c>
      <c r="H439" s="6" t="s">
        <v>1684</v>
      </c>
      <c r="I439" s="6" t="s">
        <v>2783</v>
      </c>
      <c r="J439" s="6" t="s">
        <v>2784</v>
      </c>
      <c r="K439" s="6">
        <v>728485838</v>
      </c>
      <c r="L439" s="6" t="s">
        <v>586</v>
      </c>
      <c r="M439" s="6" t="s">
        <v>1861</v>
      </c>
      <c r="N439" s="6" t="s">
        <v>63</v>
      </c>
      <c r="O439" s="6" t="s">
        <v>1963</v>
      </c>
      <c r="P439" s="6"/>
      <c r="Q439" s="6" t="str">
        <f>VLOOKUP(G439,seznampsc!A:B,2,FALSE)</f>
        <v>Uherské Hradiště</v>
      </c>
      <c r="R439" s="6" t="str">
        <f>VLOOKUP(G439,seznampsc!A:C,3,FALSE)</f>
        <v>Zlínský kraj</v>
      </c>
      <c r="S439" s="6" t="s">
        <v>2785</v>
      </c>
      <c r="T439" s="6" t="s">
        <v>2786</v>
      </c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V439" s="10">
        <v>200000</v>
      </c>
    </row>
    <row r="440" spans="1:48" ht="24" customHeight="1" x14ac:dyDescent="0.3">
      <c r="A440" s="6" t="s">
        <v>53</v>
      </c>
      <c r="B440" s="6" t="s">
        <v>65</v>
      </c>
      <c r="C440" s="6" t="s">
        <v>2787</v>
      </c>
      <c r="D440" s="6">
        <v>7916051</v>
      </c>
      <c r="E440" s="6" t="s">
        <v>2788</v>
      </c>
      <c r="F440" s="6" t="s">
        <v>2789</v>
      </c>
      <c r="G440" s="6">
        <v>37341</v>
      </c>
      <c r="H440" s="6" t="s">
        <v>2790</v>
      </c>
      <c r="I440" s="6" t="s">
        <v>2791</v>
      </c>
      <c r="J440" s="6" t="s">
        <v>2792</v>
      </c>
      <c r="K440" s="6">
        <v>775213185</v>
      </c>
      <c r="L440" s="6" t="s">
        <v>73</v>
      </c>
      <c r="M440" s="6" t="s">
        <v>62</v>
      </c>
      <c r="N440" s="6" t="s">
        <v>63</v>
      </c>
      <c r="O440" s="6" t="s">
        <v>2282</v>
      </c>
      <c r="P440" s="6"/>
      <c r="Q440" s="6" t="str">
        <f>VLOOKUP(G440,seznampsc!A:B,2,FALSE)</f>
        <v>České Budějovice</v>
      </c>
      <c r="R440" s="6" t="str">
        <f>VLOOKUP(G440,seznampsc!A:C,3,FALSE)</f>
        <v>Jihočeský kraj</v>
      </c>
      <c r="S440" s="6" t="s">
        <v>2793</v>
      </c>
      <c r="T440" s="6" t="s">
        <v>2794</v>
      </c>
      <c r="U440" s="6"/>
      <c r="V440" s="6"/>
      <c r="W440" s="6"/>
      <c r="X440" s="6"/>
      <c r="Y440" s="6"/>
      <c r="Z440" s="6"/>
      <c r="AA440" s="6"/>
      <c r="AB440" s="6"/>
      <c r="AC440" s="6"/>
      <c r="AD440" s="6">
        <v>600</v>
      </c>
      <c r="AE440" s="6">
        <v>600</v>
      </c>
      <c r="AF440" s="6">
        <v>600</v>
      </c>
      <c r="AG440" s="6"/>
      <c r="AH440" s="6"/>
      <c r="AI440" s="6"/>
      <c r="AJ440" s="6">
        <v>107</v>
      </c>
      <c r="AK440" s="6">
        <v>107</v>
      </c>
      <c r="AL440" s="6"/>
      <c r="AM440" s="6"/>
      <c r="AN440" s="6"/>
      <c r="AO440" s="6"/>
      <c r="AP440" s="6"/>
      <c r="AQ440" s="6">
        <v>10</v>
      </c>
      <c r="AR440" s="6"/>
      <c r="AS440" s="6"/>
      <c r="AT440" s="6"/>
      <c r="AU440" s="6" t="s">
        <v>2795</v>
      </c>
      <c r="AV440" s="3">
        <v>100000</v>
      </c>
    </row>
    <row r="441" spans="1:48" ht="24" customHeight="1" x14ac:dyDescent="0.3">
      <c r="A441" s="6"/>
      <c r="B441" s="6" t="s">
        <v>65</v>
      </c>
      <c r="C441" s="6" t="s">
        <v>2796</v>
      </c>
      <c r="D441" s="6">
        <v>25370774</v>
      </c>
      <c r="E441" s="6" t="s">
        <v>2797</v>
      </c>
      <c r="F441" s="6" t="s">
        <v>2798</v>
      </c>
      <c r="G441" s="6">
        <v>70800</v>
      </c>
      <c r="H441" s="6" t="s">
        <v>1935</v>
      </c>
      <c r="I441" s="6" t="s">
        <v>2528</v>
      </c>
      <c r="J441" s="6" t="s">
        <v>2529</v>
      </c>
      <c r="K441" s="6">
        <v>739521905</v>
      </c>
      <c r="L441" s="6" t="s">
        <v>586</v>
      </c>
      <c r="M441" s="6" t="s">
        <v>2799</v>
      </c>
      <c r="N441" s="6" t="s">
        <v>63</v>
      </c>
      <c r="O441" s="6" t="s">
        <v>1976</v>
      </c>
      <c r="P441" s="6"/>
      <c r="Q441" s="6" t="str">
        <f>VLOOKUP(G441,seznampsc!A:B,2,FALSE)</f>
        <v>Ostrava-město</v>
      </c>
      <c r="R441" s="6" t="str">
        <f>VLOOKUP(G441,seznampsc!A:C,3,FALSE)</f>
        <v>Moravskoslezský kraj</v>
      </c>
      <c r="S441" s="6" t="s">
        <v>2531</v>
      </c>
      <c r="T441" s="6" t="s">
        <v>2532</v>
      </c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  <c r="AV441" s="8">
        <v>200000</v>
      </c>
    </row>
    <row r="442" spans="1:48" ht="24" customHeight="1" x14ac:dyDescent="0.3">
      <c r="A442" s="3" t="s">
        <v>53</v>
      </c>
      <c r="B442" s="6" t="s">
        <v>65</v>
      </c>
      <c r="C442" s="6" t="s">
        <v>2800</v>
      </c>
      <c r="D442" s="6">
        <v>27763196</v>
      </c>
      <c r="E442" s="6" t="s">
        <v>2801</v>
      </c>
      <c r="F442" s="6" t="s">
        <v>2802</v>
      </c>
      <c r="G442" s="6">
        <v>74101</v>
      </c>
      <c r="H442" s="6" t="s">
        <v>1593</v>
      </c>
      <c r="I442" s="6" t="s">
        <v>149</v>
      </c>
      <c r="J442" s="6" t="s">
        <v>2803</v>
      </c>
      <c r="K442" s="8">
        <v>605271580</v>
      </c>
      <c r="L442" s="6" t="s">
        <v>151</v>
      </c>
      <c r="M442" s="6" t="s">
        <v>62</v>
      </c>
      <c r="N442" s="3" t="s">
        <v>63</v>
      </c>
      <c r="O442" s="6" t="s">
        <v>198</v>
      </c>
      <c r="P442" s="6"/>
      <c r="Q442" s="6" t="str">
        <f>VLOOKUP(G442,seznampsc!A:B,2,FALSE)</f>
        <v>Nový Jičín</v>
      </c>
      <c r="R442" s="6" t="str">
        <f>VLOOKUP(G442,seznampsc!A:C,3,FALSE)</f>
        <v>Moravskoslezský kraj</v>
      </c>
      <c r="S442" s="6" t="s">
        <v>198</v>
      </c>
      <c r="T442" s="6" t="s">
        <v>198</v>
      </c>
      <c r="AD442" s="3">
        <v>650</v>
      </c>
      <c r="AE442" s="3">
        <v>650</v>
      </c>
      <c r="AF442" s="3">
        <v>670</v>
      </c>
      <c r="AJ442" s="3">
        <v>107</v>
      </c>
      <c r="AK442" s="3">
        <v>107</v>
      </c>
      <c r="AQ442" s="3" t="s">
        <v>199</v>
      </c>
      <c r="AU442" s="6" t="s">
        <v>2804</v>
      </c>
      <c r="AV442" s="3">
        <v>100000</v>
      </c>
    </row>
    <row r="443" spans="1:48" ht="24" customHeight="1" x14ac:dyDescent="0.3">
      <c r="A443" s="6" t="s">
        <v>53</v>
      </c>
      <c r="B443" s="6" t="s">
        <v>65</v>
      </c>
      <c r="C443" s="6" t="s">
        <v>2805</v>
      </c>
      <c r="D443" s="6">
        <v>72221232</v>
      </c>
      <c r="E443" s="6" t="s">
        <v>2806</v>
      </c>
      <c r="F443" s="6" t="s">
        <v>2807</v>
      </c>
      <c r="G443" s="6">
        <v>36225</v>
      </c>
      <c r="H443" s="6" t="s">
        <v>2808</v>
      </c>
      <c r="I443" s="6" t="s">
        <v>2809</v>
      </c>
      <c r="J443" s="6" t="s">
        <v>2810</v>
      </c>
      <c r="K443" s="6">
        <v>602480169</v>
      </c>
      <c r="L443" s="6" t="s">
        <v>73</v>
      </c>
      <c r="M443" s="6" t="s">
        <v>62</v>
      </c>
      <c r="N443" s="6" t="s">
        <v>63</v>
      </c>
      <c r="O443" s="6" t="s">
        <v>198</v>
      </c>
      <c r="P443" s="6"/>
      <c r="Q443" s="6" t="str">
        <f>VLOOKUP(G443,seznampsc!A:B,2,FALSE)</f>
        <v>Karlovy Vary</v>
      </c>
      <c r="R443" s="6" t="str">
        <f>VLOOKUP(G443,seznampsc!A:C,3,FALSE)</f>
        <v>Karlovarský kraj</v>
      </c>
      <c r="S443" s="6" t="s">
        <v>2811</v>
      </c>
      <c r="T443" s="6" t="s">
        <v>2812</v>
      </c>
      <c r="U443" s="6"/>
      <c r="V443" s="6"/>
      <c r="W443" s="6"/>
      <c r="X443" s="6"/>
      <c r="Y443" s="6"/>
      <c r="Z443" s="6"/>
      <c r="AA443" s="6"/>
      <c r="AB443" s="6"/>
      <c r="AC443" s="6"/>
      <c r="AD443" s="6">
        <v>580</v>
      </c>
      <c r="AE443" s="6">
        <v>580</v>
      </c>
      <c r="AF443" s="6">
        <v>580</v>
      </c>
      <c r="AG443" s="6"/>
      <c r="AH443" s="6"/>
      <c r="AI443" s="6"/>
      <c r="AJ443" s="6">
        <v>107</v>
      </c>
      <c r="AK443" s="6">
        <v>107</v>
      </c>
      <c r="AL443" s="6"/>
      <c r="AM443" s="6"/>
      <c r="AN443" s="6"/>
      <c r="AO443" s="6"/>
      <c r="AP443" s="6"/>
      <c r="AQ443" s="6">
        <v>5</v>
      </c>
      <c r="AR443" s="6"/>
      <c r="AS443" s="6"/>
      <c r="AT443" s="6"/>
      <c r="AU443" s="6" t="s">
        <v>1386</v>
      </c>
      <c r="AV443" s="6">
        <v>100000</v>
      </c>
    </row>
    <row r="444" spans="1:48" ht="24" customHeight="1" x14ac:dyDescent="0.3">
      <c r="A444" s="6" t="s">
        <v>53</v>
      </c>
      <c r="B444" s="6" t="s">
        <v>65</v>
      </c>
      <c r="C444" s="6" t="s">
        <v>2813</v>
      </c>
      <c r="D444" s="6">
        <v>17721083</v>
      </c>
      <c r="E444" s="6" t="s">
        <v>2814</v>
      </c>
      <c r="F444" s="6" t="s">
        <v>2009</v>
      </c>
      <c r="G444" s="6">
        <v>29448</v>
      </c>
      <c r="H444" s="6" t="s">
        <v>1579</v>
      </c>
      <c r="I444" s="6" t="s">
        <v>2008</v>
      </c>
      <c r="J444" s="6" t="s">
        <v>2010</v>
      </c>
      <c r="K444" s="6">
        <v>721108367</v>
      </c>
      <c r="L444" s="6" t="s">
        <v>73</v>
      </c>
      <c r="M444" s="6" t="s">
        <v>62</v>
      </c>
      <c r="N444" s="6" t="s">
        <v>63</v>
      </c>
      <c r="O444" s="6" t="s">
        <v>198</v>
      </c>
      <c r="P444" s="6"/>
      <c r="Q444" s="6" t="str">
        <f>VLOOKUP(G444,seznampsc!A:B,2,FALSE)</f>
        <v>Mladá Boleslav</v>
      </c>
      <c r="R444" s="6" t="str">
        <f>VLOOKUP(G444,seznampsc!A:C,3,FALSE)</f>
        <v>Středočeský kraj</v>
      </c>
      <c r="S444" s="6" t="s">
        <v>2011</v>
      </c>
      <c r="T444" s="6" t="s">
        <v>2012</v>
      </c>
      <c r="U444" s="6"/>
      <c r="V444" s="6"/>
      <c r="W444" s="6"/>
      <c r="X444" s="6"/>
      <c r="Y444" s="6"/>
      <c r="Z444" s="6"/>
      <c r="AA444" s="6"/>
      <c r="AB444" s="6"/>
      <c r="AC444" s="6"/>
      <c r="AD444" s="6">
        <v>700</v>
      </c>
      <c r="AE444" s="6">
        <v>700</v>
      </c>
      <c r="AF444" s="6">
        <v>700</v>
      </c>
      <c r="AG444" s="6"/>
      <c r="AH444" s="6"/>
      <c r="AI444" s="6"/>
      <c r="AJ444" s="6">
        <v>107</v>
      </c>
      <c r="AK444" s="6">
        <v>107</v>
      </c>
      <c r="AL444" s="6"/>
      <c r="AM444" s="6"/>
      <c r="AN444" s="6"/>
      <c r="AO444" s="6"/>
      <c r="AP444" s="6"/>
      <c r="AQ444" s="6">
        <v>10</v>
      </c>
      <c r="AR444" s="6"/>
      <c r="AS444" s="6"/>
      <c r="AT444" s="6"/>
      <c r="AU444" s="6" t="s">
        <v>1386</v>
      </c>
      <c r="AV444" s="6">
        <v>100000</v>
      </c>
    </row>
    <row r="445" spans="1:48" ht="24" customHeight="1" x14ac:dyDescent="0.3">
      <c r="A445" s="6"/>
      <c r="B445" s="6" t="s">
        <v>65</v>
      </c>
      <c r="C445" s="6" t="s">
        <v>2815</v>
      </c>
      <c r="D445" s="6">
        <v>7907729</v>
      </c>
      <c r="E445" s="6" t="s">
        <v>2816</v>
      </c>
      <c r="F445" s="6" t="s">
        <v>2817</v>
      </c>
      <c r="G445" s="6">
        <v>58001</v>
      </c>
      <c r="H445" s="6" t="s">
        <v>2818</v>
      </c>
      <c r="I445" s="6" t="s">
        <v>2819</v>
      </c>
      <c r="J445" s="6" t="s">
        <v>2820</v>
      </c>
      <c r="K445" s="6" t="s">
        <v>2821</v>
      </c>
      <c r="L445" s="6" t="s">
        <v>586</v>
      </c>
      <c r="M445" s="6" t="s">
        <v>120</v>
      </c>
      <c r="N445" s="6" t="s">
        <v>63</v>
      </c>
      <c r="O445" s="6" t="s">
        <v>2119</v>
      </c>
      <c r="P445" s="6"/>
      <c r="Q445" s="6" t="str">
        <f>VLOOKUP(G445,seznampsc!A:B,2,FALSE)</f>
        <v>Havlíčkův Brod</v>
      </c>
      <c r="R445" s="6" t="str">
        <f>VLOOKUP(G445,seznampsc!A:C,3,FALSE)</f>
        <v>Kraj Vysočina</v>
      </c>
      <c r="S445" s="6" t="s">
        <v>2822</v>
      </c>
      <c r="T445" s="6" t="s">
        <v>2823</v>
      </c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  <c r="AV445" s="8">
        <v>200000</v>
      </c>
    </row>
    <row r="446" spans="1:48" ht="24" customHeight="1" x14ac:dyDescent="0.3">
      <c r="A446" s="6" t="s">
        <v>53</v>
      </c>
      <c r="B446" s="6" t="s">
        <v>65</v>
      </c>
      <c r="C446" s="6" t="s">
        <v>2824</v>
      </c>
      <c r="D446" s="6">
        <v>27671011</v>
      </c>
      <c r="E446" s="6" t="s">
        <v>2825</v>
      </c>
      <c r="F446" s="6" t="s">
        <v>2826</v>
      </c>
      <c r="G446" s="6">
        <v>66467</v>
      </c>
      <c r="H446" s="6" t="s">
        <v>2827</v>
      </c>
      <c r="I446" s="6" t="s">
        <v>2828</v>
      </c>
      <c r="J446" s="6" t="s">
        <v>2829</v>
      </c>
      <c r="K446" s="6">
        <v>721336953</v>
      </c>
      <c r="L446" s="6" t="s">
        <v>73</v>
      </c>
      <c r="M446" s="6" t="s">
        <v>62</v>
      </c>
      <c r="N446" s="6" t="s">
        <v>63</v>
      </c>
      <c r="O446" s="6" t="s">
        <v>198</v>
      </c>
      <c r="P446" s="6"/>
      <c r="Q446" s="6" t="str">
        <f>VLOOKUP(G446,seznampsc!A:B,2,FALSE)</f>
        <v>Brno-venkov</v>
      </c>
      <c r="R446" s="6" t="str">
        <f>VLOOKUP(G446,seznampsc!A:C,3,FALSE)</f>
        <v>Jihomoravský kraj</v>
      </c>
      <c r="S446" s="6" t="s">
        <v>2830</v>
      </c>
      <c r="T446" s="6" t="s">
        <v>2831</v>
      </c>
      <c r="U446" s="6"/>
      <c r="V446" s="6"/>
      <c r="W446" s="6"/>
      <c r="X446" s="6"/>
      <c r="Y446" s="6"/>
      <c r="Z446" s="6"/>
      <c r="AA446" s="6"/>
      <c r="AB446" s="6"/>
      <c r="AC446" s="6"/>
      <c r="AD446" s="6">
        <v>700</v>
      </c>
      <c r="AE446" s="6">
        <v>700</v>
      </c>
      <c r="AF446" s="6">
        <v>700</v>
      </c>
      <c r="AG446" s="6"/>
      <c r="AH446" s="6"/>
      <c r="AI446" s="6"/>
      <c r="AJ446" s="6">
        <v>107</v>
      </c>
      <c r="AK446" s="6">
        <v>107</v>
      </c>
      <c r="AL446" s="6"/>
      <c r="AM446" s="6"/>
      <c r="AN446" s="6"/>
      <c r="AO446" s="6"/>
      <c r="AP446" s="6"/>
      <c r="AQ446" s="6">
        <v>5</v>
      </c>
      <c r="AR446" s="6"/>
      <c r="AS446" s="6"/>
      <c r="AT446" s="6"/>
      <c r="AU446" s="6" t="s">
        <v>1386</v>
      </c>
      <c r="AV446" s="6">
        <v>100000</v>
      </c>
    </row>
    <row r="447" spans="1:48" ht="24" customHeight="1" x14ac:dyDescent="0.3">
      <c r="A447" s="6" t="s">
        <v>53</v>
      </c>
      <c r="B447" s="6" t="s">
        <v>65</v>
      </c>
      <c r="C447" s="6" t="s">
        <v>2832</v>
      </c>
      <c r="D447" s="6">
        <v>42362857</v>
      </c>
      <c r="E447" s="6" t="s">
        <v>2833</v>
      </c>
      <c r="F447" s="6" t="s">
        <v>2834</v>
      </c>
      <c r="G447" s="6">
        <v>39001</v>
      </c>
      <c r="H447" s="6" t="s">
        <v>106</v>
      </c>
      <c r="I447" s="6" t="s">
        <v>2833</v>
      </c>
      <c r="J447" s="6" t="s">
        <v>2835</v>
      </c>
      <c r="K447" s="6">
        <v>602486157</v>
      </c>
      <c r="L447" s="6" t="s">
        <v>73</v>
      </c>
      <c r="M447" s="6" t="s">
        <v>62</v>
      </c>
      <c r="N447" s="6" t="s">
        <v>63</v>
      </c>
      <c r="O447" s="6" t="s">
        <v>198</v>
      </c>
      <c r="P447" s="6"/>
      <c r="Q447" s="6" t="str">
        <f>VLOOKUP(G447,seznampsc!A:B,2,FALSE)</f>
        <v>Tábor</v>
      </c>
      <c r="R447" s="6" t="str">
        <f>VLOOKUP(G447,seznampsc!A:C,3,FALSE)</f>
        <v>Jihočeský kraj</v>
      </c>
      <c r="S447" s="6" t="s">
        <v>2836</v>
      </c>
      <c r="T447" s="6" t="s">
        <v>2837</v>
      </c>
      <c r="U447" s="6"/>
      <c r="V447" s="6"/>
      <c r="W447" s="6"/>
      <c r="X447" s="6"/>
      <c r="Y447" s="6"/>
      <c r="Z447" s="6"/>
      <c r="AA447" s="6"/>
      <c r="AB447" s="6"/>
      <c r="AC447" s="6"/>
      <c r="AD447" s="6">
        <v>590</v>
      </c>
      <c r="AE447" s="6">
        <v>620</v>
      </c>
      <c r="AF447" s="6">
        <v>620</v>
      </c>
      <c r="AG447" s="6"/>
      <c r="AH447" s="6"/>
      <c r="AI447" s="6"/>
      <c r="AJ447" s="6">
        <v>107</v>
      </c>
      <c r="AK447" s="6">
        <v>107</v>
      </c>
      <c r="AL447" s="6"/>
      <c r="AM447" s="6"/>
      <c r="AN447" s="6"/>
      <c r="AO447" s="6"/>
      <c r="AP447" s="6"/>
      <c r="AQ447" s="6">
        <v>5</v>
      </c>
      <c r="AR447" s="6"/>
      <c r="AS447" s="6"/>
      <c r="AT447" s="6"/>
      <c r="AU447" s="6" t="s">
        <v>2804</v>
      </c>
      <c r="AV447" s="6">
        <v>100000</v>
      </c>
    </row>
    <row r="448" spans="1:48" ht="24" customHeight="1" x14ac:dyDescent="0.3">
      <c r="B448" s="6" t="s">
        <v>65</v>
      </c>
      <c r="C448" s="6" t="s">
        <v>2838</v>
      </c>
      <c r="D448" s="6">
        <v>9263870</v>
      </c>
      <c r="E448" s="6" t="s">
        <v>2839</v>
      </c>
      <c r="F448" s="6" t="s">
        <v>2840</v>
      </c>
      <c r="G448" s="6">
        <v>53002</v>
      </c>
      <c r="H448" s="6" t="s">
        <v>2841</v>
      </c>
      <c r="I448" s="6" t="s">
        <v>149</v>
      </c>
      <c r="J448" s="6" t="s">
        <v>2842</v>
      </c>
      <c r="K448" s="8">
        <v>774486321</v>
      </c>
      <c r="L448" s="6" t="s">
        <v>151</v>
      </c>
      <c r="M448" s="6" t="s">
        <v>152</v>
      </c>
      <c r="N448" s="3" t="s">
        <v>63</v>
      </c>
      <c r="P448" s="6"/>
      <c r="Q448" s="6" t="str">
        <f>VLOOKUP(G448,seznampsc!A:B,2,FALSE)</f>
        <v>Pardubice</v>
      </c>
      <c r="R448" s="6" t="str">
        <f>VLOOKUP(G448,seznampsc!A:C,3,FALSE)</f>
        <v>Pardubický kraj</v>
      </c>
      <c r="AU448" s="6"/>
    </row>
    <row r="449" spans="1:48" ht="24" customHeight="1" x14ac:dyDescent="0.3">
      <c r="B449" s="6" t="s">
        <v>65</v>
      </c>
      <c r="C449" s="6" t="s">
        <v>2838</v>
      </c>
      <c r="D449" s="6">
        <v>9263870</v>
      </c>
      <c r="E449" s="6" t="s">
        <v>2816</v>
      </c>
      <c r="F449" s="6" t="s">
        <v>2817</v>
      </c>
      <c r="G449" s="6">
        <v>58001</v>
      </c>
      <c r="H449" s="6" t="s">
        <v>2818</v>
      </c>
      <c r="I449" s="6" t="s">
        <v>149</v>
      </c>
      <c r="J449" s="6" t="s">
        <v>2820</v>
      </c>
      <c r="K449" s="8">
        <v>774756836</v>
      </c>
      <c r="L449" s="6" t="s">
        <v>151</v>
      </c>
      <c r="M449" s="6" t="s">
        <v>120</v>
      </c>
      <c r="N449" s="3" t="s">
        <v>63</v>
      </c>
      <c r="P449" s="6"/>
      <c r="Q449" s="6" t="str">
        <f>VLOOKUP(G449,seznampsc!A:B,2,FALSE)</f>
        <v>Havlíčkův Brod</v>
      </c>
      <c r="R449" s="6" t="str">
        <f>VLOOKUP(G449,seznampsc!A:C,3,FALSE)</f>
        <v>Kraj Vysočina</v>
      </c>
      <c r="AU449" s="6"/>
    </row>
    <row r="450" spans="1:48" ht="24" customHeight="1" x14ac:dyDescent="0.3">
      <c r="A450" s="6"/>
      <c r="B450" s="6" t="s">
        <v>65</v>
      </c>
      <c r="C450" s="6" t="s">
        <v>2838</v>
      </c>
      <c r="D450" s="16">
        <v>9263870</v>
      </c>
      <c r="E450" s="6" t="s">
        <v>2839</v>
      </c>
      <c r="F450" s="6" t="s">
        <v>2840</v>
      </c>
      <c r="G450" s="6">
        <v>53002</v>
      </c>
      <c r="H450" s="6" t="s">
        <v>2841</v>
      </c>
      <c r="I450" s="6" t="s">
        <v>2843</v>
      </c>
      <c r="J450" s="6" t="s">
        <v>2842</v>
      </c>
      <c r="K450" s="6">
        <v>703146308</v>
      </c>
      <c r="L450" s="6" t="s">
        <v>73</v>
      </c>
      <c r="M450" s="6" t="s">
        <v>62</v>
      </c>
      <c r="N450" s="6" t="s">
        <v>63</v>
      </c>
      <c r="O450" s="6" t="s">
        <v>198</v>
      </c>
      <c r="P450" s="6"/>
      <c r="Q450" s="6" t="str">
        <f>VLOOKUP(G450,seznampsc!A:B,2,FALSE)</f>
        <v>Pardubice</v>
      </c>
      <c r="R450" s="6" t="str">
        <f>VLOOKUP(G450,seznampsc!A:C,3,FALSE)</f>
        <v>Pardubický kraj</v>
      </c>
      <c r="S450" s="6" t="s">
        <v>2844</v>
      </c>
      <c r="T450" s="6" t="s">
        <v>2845</v>
      </c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 t="s">
        <v>2846</v>
      </c>
      <c r="AV450" s="6" t="s">
        <v>1386</v>
      </c>
    </row>
    <row r="451" spans="1:48" ht="24" customHeight="1" x14ac:dyDescent="0.3">
      <c r="A451" s="6"/>
      <c r="B451" s="6" t="s">
        <v>65</v>
      </c>
      <c r="C451" s="6" t="s">
        <v>2838</v>
      </c>
      <c r="D451" s="6">
        <v>9263870</v>
      </c>
      <c r="E451" s="6" t="s">
        <v>2839</v>
      </c>
      <c r="F451" s="6" t="s">
        <v>2817</v>
      </c>
      <c r="G451" s="6">
        <v>58001</v>
      </c>
      <c r="H451" s="6" t="s">
        <v>2818</v>
      </c>
      <c r="I451" s="6" t="s">
        <v>2847</v>
      </c>
      <c r="J451" s="6" t="s">
        <v>2842</v>
      </c>
      <c r="K451" s="6" t="s">
        <v>2848</v>
      </c>
      <c r="L451" s="6" t="s">
        <v>73</v>
      </c>
      <c r="M451" s="6" t="s">
        <v>62</v>
      </c>
      <c r="N451" s="6" t="s">
        <v>63</v>
      </c>
      <c r="O451" s="6" t="s">
        <v>198</v>
      </c>
      <c r="P451" s="6"/>
      <c r="Q451" s="6" t="str">
        <f>VLOOKUP(G451,seznampsc!A:B,2,FALSE)</f>
        <v>Havlíčkův Brod</v>
      </c>
      <c r="R451" s="6" t="str">
        <f>VLOOKUP(G451,seznampsc!A:C,3,FALSE)</f>
        <v>Kraj Vysočina</v>
      </c>
      <c r="S451" s="6" t="s">
        <v>2822</v>
      </c>
      <c r="T451" s="6" t="s">
        <v>2823</v>
      </c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 t="s">
        <v>2846</v>
      </c>
      <c r="AV451" s="6"/>
    </row>
    <row r="452" spans="1:48" ht="24" customHeight="1" x14ac:dyDescent="0.3">
      <c r="A452" s="3" t="s">
        <v>53</v>
      </c>
      <c r="B452" s="3" t="s">
        <v>54</v>
      </c>
      <c r="C452" s="3" t="s">
        <v>55</v>
      </c>
      <c r="D452" s="3" t="s">
        <v>2849</v>
      </c>
      <c r="E452" s="3" t="s">
        <v>2850</v>
      </c>
      <c r="F452" s="3" t="s">
        <v>2851</v>
      </c>
      <c r="G452" s="3">
        <v>56132</v>
      </c>
      <c r="H452" s="3" t="s">
        <v>2852</v>
      </c>
      <c r="I452" s="3" t="s">
        <v>2853</v>
      </c>
      <c r="J452" s="3" t="s">
        <v>2854</v>
      </c>
      <c r="K452" s="3" t="s">
        <v>2855</v>
      </c>
      <c r="L452" s="3" t="s">
        <v>61</v>
      </c>
      <c r="M452" s="6" t="s">
        <v>62</v>
      </c>
      <c r="N452" s="6" t="s">
        <v>63</v>
      </c>
      <c r="O452" s="3" t="s">
        <v>64</v>
      </c>
      <c r="Q452" s="6" t="str">
        <f>VLOOKUP(G452,seznampsc!A:B,2,FALSE)</f>
        <v>Ústí nad Orlicí</v>
      </c>
      <c r="R452" s="6" t="str">
        <f>VLOOKUP(G452,seznampsc!A:C,3,FALSE)</f>
        <v>Pardubický kraj</v>
      </c>
      <c r="S452" s="6">
        <v>49.937829999999998</v>
      </c>
      <c r="T452" s="6">
        <v>16.722090000000001</v>
      </c>
      <c r="U452" s="6"/>
      <c r="V452" s="6"/>
      <c r="W452" s="6"/>
      <c r="X452" s="6"/>
      <c r="Y452" s="6"/>
      <c r="Z452" s="6"/>
      <c r="AA452" s="6"/>
      <c r="AB452" s="6"/>
      <c r="AC452" s="6"/>
      <c r="AD452" s="6">
        <v>680</v>
      </c>
      <c r="AE452" s="6">
        <v>680</v>
      </c>
      <c r="AF452" s="6">
        <v>680</v>
      </c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>
        <v>10</v>
      </c>
      <c r="AR452" s="6"/>
      <c r="AS452" s="6"/>
      <c r="AT452" s="6"/>
      <c r="AV452" s="3">
        <v>100000</v>
      </c>
    </row>
    <row r="453" spans="1:48" ht="24" customHeight="1" x14ac:dyDescent="0.3">
      <c r="A453" s="3" t="s">
        <v>53</v>
      </c>
      <c r="B453" s="3" t="s">
        <v>54</v>
      </c>
      <c r="C453" s="3" t="s">
        <v>55</v>
      </c>
      <c r="D453" s="3">
        <v>62060902</v>
      </c>
      <c r="E453" s="3" t="s">
        <v>2856</v>
      </c>
      <c r="F453" s="3" t="s">
        <v>2857</v>
      </c>
      <c r="G453" s="3">
        <v>56203</v>
      </c>
      <c r="H453" s="3" t="s">
        <v>2858</v>
      </c>
      <c r="J453" s="3" t="s">
        <v>2859</v>
      </c>
      <c r="K453" s="3">
        <v>777166087</v>
      </c>
      <c r="L453" s="3" t="s">
        <v>61</v>
      </c>
      <c r="M453" s="6" t="s">
        <v>62</v>
      </c>
      <c r="N453" s="6" t="s">
        <v>63</v>
      </c>
      <c r="O453" s="3" t="s">
        <v>64</v>
      </c>
      <c r="Q453" s="6" t="str">
        <f>VLOOKUP(G453,seznampsc!A:B,2,FALSE)</f>
        <v>Ústí nad Orlicí</v>
      </c>
      <c r="R453" s="6" t="str">
        <f>VLOOKUP(G453,seznampsc!A:C,3,FALSE)</f>
        <v>Pardubický kraj</v>
      </c>
      <c r="S453" s="6">
        <v>49.955266199999997</v>
      </c>
      <c r="T453" s="6">
        <v>16.4102909</v>
      </c>
      <c r="U453" s="6"/>
      <c r="V453" s="6"/>
      <c r="W453" s="6"/>
      <c r="X453" s="6"/>
      <c r="Y453" s="6"/>
      <c r="Z453" s="6"/>
      <c r="AA453" s="6"/>
      <c r="AB453" s="6"/>
      <c r="AC453" s="6"/>
      <c r="AD453" s="6">
        <v>680</v>
      </c>
      <c r="AE453" s="6">
        <v>680</v>
      </c>
      <c r="AF453" s="6">
        <v>680</v>
      </c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>
        <v>10</v>
      </c>
      <c r="AR453" s="6"/>
      <c r="AS453" s="6"/>
      <c r="AT453" s="6"/>
      <c r="AV453" s="3">
        <v>100000</v>
      </c>
    </row>
    <row r="454" spans="1:48" ht="24" customHeight="1" x14ac:dyDescent="0.3">
      <c r="A454" s="6" t="s">
        <v>53</v>
      </c>
      <c r="B454" s="6" t="s">
        <v>65</v>
      </c>
      <c r="C454" s="6" t="s">
        <v>2860</v>
      </c>
      <c r="D454" s="6" t="s">
        <v>2861</v>
      </c>
      <c r="E454" s="6" t="s">
        <v>2862</v>
      </c>
      <c r="F454" s="6" t="s">
        <v>2863</v>
      </c>
      <c r="G454" s="6">
        <v>56141</v>
      </c>
      <c r="H454" s="6" t="s">
        <v>2864</v>
      </c>
      <c r="I454" s="6" t="s">
        <v>2865</v>
      </c>
      <c r="J454" s="6" t="s">
        <v>2866</v>
      </c>
      <c r="K454" s="6">
        <v>736444964</v>
      </c>
      <c r="L454" s="6" t="s">
        <v>73</v>
      </c>
      <c r="M454" s="6" t="s">
        <v>62</v>
      </c>
      <c r="N454" s="6" t="s">
        <v>63</v>
      </c>
      <c r="O454" s="6" t="s">
        <v>64</v>
      </c>
      <c r="Q454" s="6" t="str">
        <f>VLOOKUP(G454,seznampsc!A:B,2,FALSE)</f>
        <v>Ústí nad Orlicí</v>
      </c>
      <c r="R454" s="6" t="str">
        <f>VLOOKUP(G454,seznampsc!A:C,3,FALSE)</f>
        <v>Pardubický kraj</v>
      </c>
      <c r="S454" s="6">
        <v>49.941339999999997</v>
      </c>
      <c r="T454" s="6">
        <v>16.389299999999999</v>
      </c>
      <c r="U454" s="6"/>
      <c r="V454" s="6"/>
      <c r="W454" s="6"/>
      <c r="X454" s="6"/>
      <c r="Y454" s="6"/>
      <c r="Z454" s="6"/>
      <c r="AA454" s="6"/>
      <c r="AB454" s="6"/>
      <c r="AC454" s="6"/>
      <c r="AD454" s="6">
        <v>450</v>
      </c>
      <c r="AE454" s="6">
        <v>450</v>
      </c>
      <c r="AF454" s="6">
        <v>450</v>
      </c>
      <c r="AG454" s="6"/>
      <c r="AH454" s="6"/>
      <c r="AI454" s="6"/>
      <c r="AJ454" s="6">
        <v>107</v>
      </c>
      <c r="AK454" s="6">
        <v>116</v>
      </c>
      <c r="AL454" s="6"/>
      <c r="AM454" s="6"/>
      <c r="AN454" s="6"/>
      <c r="AO454" s="6"/>
      <c r="AP454" s="6"/>
      <c r="AQ454" s="6">
        <v>5</v>
      </c>
      <c r="AR454" s="6"/>
      <c r="AS454" s="6"/>
      <c r="AT454" s="6"/>
      <c r="AV454" s="3">
        <v>50000</v>
      </c>
    </row>
    <row r="455" spans="1:48" ht="24" customHeight="1" x14ac:dyDescent="0.3">
      <c r="B455" s="6" t="s">
        <v>65</v>
      </c>
      <c r="C455" s="6" t="s">
        <v>2867</v>
      </c>
      <c r="D455" s="6">
        <v>47540761</v>
      </c>
      <c r="E455" s="6" t="s">
        <v>2868</v>
      </c>
      <c r="F455" s="6" t="s">
        <v>2869</v>
      </c>
      <c r="G455" s="6">
        <v>26101</v>
      </c>
      <c r="H455" s="6" t="s">
        <v>760</v>
      </c>
      <c r="I455" s="6" t="s">
        <v>149</v>
      </c>
      <c r="J455" s="6" t="s">
        <v>2870</v>
      </c>
      <c r="K455" s="6">
        <v>725452099</v>
      </c>
      <c r="L455" s="6" t="s">
        <v>151</v>
      </c>
      <c r="M455" s="6" t="s">
        <v>2871</v>
      </c>
      <c r="N455" s="3" t="s">
        <v>63</v>
      </c>
      <c r="P455" s="6"/>
      <c r="Q455" s="6" t="str">
        <f>VLOOKUP(G455,seznampsc!A:B,2,FALSE)</f>
        <v>Příbram</v>
      </c>
      <c r="R455" s="6" t="str">
        <f>VLOOKUP(G455,seznampsc!A:C,3,FALSE)</f>
        <v>Středočeský kraj</v>
      </c>
      <c r="AU455" s="6"/>
    </row>
    <row r="456" spans="1:48" ht="24" customHeight="1" x14ac:dyDescent="0.3">
      <c r="A456" s="6"/>
      <c r="B456" s="6" t="s">
        <v>65</v>
      </c>
      <c r="C456" s="6" t="s">
        <v>2867</v>
      </c>
      <c r="D456" s="6">
        <v>47540761</v>
      </c>
      <c r="E456" s="6" t="s">
        <v>2868</v>
      </c>
      <c r="F456" s="6" t="s">
        <v>2869</v>
      </c>
      <c r="G456" s="6">
        <v>26101</v>
      </c>
      <c r="H456" s="6" t="s">
        <v>760</v>
      </c>
      <c r="I456" s="6" t="s">
        <v>2872</v>
      </c>
      <c r="J456" s="6" t="s">
        <v>2870</v>
      </c>
      <c r="K456" s="6">
        <v>725452099</v>
      </c>
      <c r="L456" s="6" t="s">
        <v>340</v>
      </c>
      <c r="M456" s="6" t="s">
        <v>2873</v>
      </c>
      <c r="N456" s="6" t="s">
        <v>63</v>
      </c>
      <c r="O456" s="6" t="s">
        <v>198</v>
      </c>
      <c r="P456" s="6"/>
      <c r="Q456" s="6" t="str">
        <f>VLOOKUP(G456,seznampsc!A:B,2,FALSE)</f>
        <v>Příbram</v>
      </c>
      <c r="R456" s="6" t="str">
        <f>VLOOKUP(G456,seznampsc!A:C,3,FALSE)</f>
        <v>Středočeský kraj</v>
      </c>
      <c r="S456" s="6" t="s">
        <v>2874</v>
      </c>
      <c r="T456" s="6" t="s">
        <v>2875</v>
      </c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 t="s">
        <v>2876</v>
      </c>
      <c r="AV456" s="8" t="s">
        <v>342</v>
      </c>
    </row>
    <row r="457" spans="1:48" ht="24" customHeight="1" x14ac:dyDescent="0.3">
      <c r="A457" s="6"/>
      <c r="B457" s="6" t="s">
        <v>65</v>
      </c>
      <c r="C457" s="6" t="s">
        <v>2877</v>
      </c>
      <c r="D457" s="6">
        <v>24191817</v>
      </c>
      <c r="E457" s="6" t="s">
        <v>2878</v>
      </c>
      <c r="F457" s="6" t="s">
        <v>2879</v>
      </c>
      <c r="G457" s="6">
        <v>15500</v>
      </c>
      <c r="H457" s="6" t="s">
        <v>984</v>
      </c>
      <c r="I457" s="6"/>
      <c r="J457" s="6" t="s">
        <v>2880</v>
      </c>
      <c r="K457" s="6">
        <v>251119011</v>
      </c>
      <c r="L457" s="6" t="s">
        <v>586</v>
      </c>
      <c r="M457" s="6" t="s">
        <v>2881</v>
      </c>
      <c r="N457" s="6" t="s">
        <v>63</v>
      </c>
      <c r="O457" s="6" t="s">
        <v>1976</v>
      </c>
      <c r="P457" s="6"/>
      <c r="Q457" s="6" t="str">
        <f>VLOOKUP(G457,seznampsc!A:B,2,FALSE)</f>
        <v>Hlavní město Praha</v>
      </c>
      <c r="R457" s="6" t="str">
        <f>VLOOKUP(G457,seznampsc!A:C,3,FALSE)</f>
        <v>Hlavní město Praha</v>
      </c>
      <c r="S457" s="6" t="s">
        <v>2882</v>
      </c>
      <c r="T457" s="6" t="s">
        <v>2883</v>
      </c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8">
        <v>200000</v>
      </c>
    </row>
    <row r="458" spans="1:48" ht="24" customHeight="1" x14ac:dyDescent="0.3">
      <c r="A458" s="6"/>
      <c r="B458" s="6" t="s">
        <v>65</v>
      </c>
      <c r="C458" s="6" t="s">
        <v>2884</v>
      </c>
      <c r="D458" s="6">
        <v>27567575</v>
      </c>
      <c r="E458" s="6" t="s">
        <v>1031</v>
      </c>
      <c r="F458" s="6" t="s">
        <v>2885</v>
      </c>
      <c r="G458" s="6">
        <v>19000</v>
      </c>
      <c r="H458" s="6" t="s">
        <v>2886</v>
      </c>
      <c r="I458" s="6" t="s">
        <v>2887</v>
      </c>
      <c r="J458" s="6" t="s">
        <v>2888</v>
      </c>
      <c r="K458" s="6" t="s">
        <v>2889</v>
      </c>
      <c r="L458" s="6" t="s">
        <v>586</v>
      </c>
      <c r="M458" s="6" t="s">
        <v>2890</v>
      </c>
      <c r="N458" s="6" t="s">
        <v>63</v>
      </c>
      <c r="O458" s="6" t="s">
        <v>1976</v>
      </c>
      <c r="P458" s="6"/>
      <c r="Q458" s="6" t="str">
        <f>VLOOKUP(G458,seznampsc!A:B,2,FALSE)</f>
        <v>Hlavní město Praha</v>
      </c>
      <c r="R458" s="6" t="str">
        <f>VLOOKUP(G458,seznampsc!A:C,3,FALSE)</f>
        <v>Hlavní město Praha</v>
      </c>
      <c r="S458" s="6" t="s">
        <v>2891</v>
      </c>
      <c r="T458" s="6" t="s">
        <v>2892</v>
      </c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/>
      <c r="AV458" s="8">
        <v>200000</v>
      </c>
    </row>
    <row r="459" spans="1:48" ht="24" customHeight="1" x14ac:dyDescent="0.3">
      <c r="A459" s="6"/>
      <c r="B459" s="6" t="s">
        <v>65</v>
      </c>
      <c r="C459" s="6" t="s">
        <v>2884</v>
      </c>
      <c r="D459" s="6">
        <v>27567575</v>
      </c>
      <c r="E459" s="6" t="s">
        <v>1031</v>
      </c>
      <c r="F459" s="6" t="s">
        <v>2893</v>
      </c>
      <c r="G459" s="6">
        <v>36007</v>
      </c>
      <c r="H459" s="6" t="s">
        <v>2894</v>
      </c>
      <c r="I459" s="6" t="s">
        <v>2895</v>
      </c>
      <c r="J459" s="6" t="s">
        <v>2896</v>
      </c>
      <c r="K459" s="6">
        <v>770198169</v>
      </c>
      <c r="L459" s="6" t="s">
        <v>586</v>
      </c>
      <c r="M459" s="6" t="s">
        <v>1315</v>
      </c>
      <c r="N459" s="6" t="s">
        <v>63</v>
      </c>
      <c r="O459" s="6" t="s">
        <v>1976</v>
      </c>
      <c r="P459" s="6"/>
      <c r="Q459" s="6" t="str">
        <f>VLOOKUP(G459,seznampsc!A:B,2,FALSE)</f>
        <v>Karlovy Vary</v>
      </c>
      <c r="R459" s="6" t="str">
        <f>VLOOKUP(G459,seznampsc!A:C,3,FALSE)</f>
        <v>Karlovarský kraj</v>
      </c>
      <c r="S459" s="6" t="s">
        <v>2897</v>
      </c>
      <c r="T459" s="6" t="s">
        <v>2898</v>
      </c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 t="s">
        <v>2899</v>
      </c>
      <c r="AV459" s="8">
        <v>200000</v>
      </c>
    </row>
    <row r="460" spans="1:48" ht="24" customHeight="1" x14ac:dyDescent="0.3">
      <c r="A460" s="1"/>
      <c r="B460" s="1" t="s">
        <v>65</v>
      </c>
      <c r="C460" s="1" t="s">
        <v>2884</v>
      </c>
      <c r="D460" s="1">
        <v>27567575</v>
      </c>
      <c r="E460" s="1" t="s">
        <v>1031</v>
      </c>
      <c r="F460" s="1" t="s">
        <v>2900</v>
      </c>
      <c r="G460" s="1">
        <v>32600</v>
      </c>
      <c r="H460" s="1" t="s">
        <v>2901</v>
      </c>
      <c r="I460" s="1" t="s">
        <v>2902</v>
      </c>
      <c r="J460" s="1" t="s">
        <v>2903</v>
      </c>
      <c r="K460" s="1">
        <v>734692335</v>
      </c>
      <c r="L460" s="1" t="s">
        <v>586</v>
      </c>
      <c r="M460" s="1" t="s">
        <v>2904</v>
      </c>
      <c r="N460" s="1" t="s">
        <v>63</v>
      </c>
      <c r="O460" s="1" t="s">
        <v>1976</v>
      </c>
      <c r="P460" s="6"/>
      <c r="Q460" s="6" t="str">
        <f>VLOOKUP(G460,seznampsc!A:B,2,FALSE)</f>
        <v>Plzeň-město</v>
      </c>
      <c r="R460" s="6" t="str">
        <f>VLOOKUP(G460,seznampsc!A:C,3,FALSE)</f>
        <v>Plzeňský kraj</v>
      </c>
      <c r="S460" s="1" t="s">
        <v>2905</v>
      </c>
      <c r="T460" s="1" t="s">
        <v>2906</v>
      </c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 t="s">
        <v>2907</v>
      </c>
      <c r="AV460" s="2">
        <v>200000</v>
      </c>
    </row>
    <row r="461" spans="1:48" ht="24" customHeight="1" x14ac:dyDescent="0.3">
      <c r="A461" s="6"/>
      <c r="B461" s="6" t="s">
        <v>65</v>
      </c>
      <c r="C461" s="6" t="s">
        <v>2884</v>
      </c>
      <c r="D461" s="6">
        <v>27567575</v>
      </c>
      <c r="E461" s="6" t="s">
        <v>1031</v>
      </c>
      <c r="F461" s="6" t="s">
        <v>2908</v>
      </c>
      <c r="G461" s="6">
        <v>72000</v>
      </c>
      <c r="H461" s="6" t="s">
        <v>2909</v>
      </c>
      <c r="I461" s="6" t="s">
        <v>2910</v>
      </c>
      <c r="J461" s="6" t="s">
        <v>2911</v>
      </c>
      <c r="K461" s="6">
        <v>599505416</v>
      </c>
      <c r="L461" s="6" t="s">
        <v>586</v>
      </c>
      <c r="M461" s="6" t="s">
        <v>2912</v>
      </c>
      <c r="N461" s="6" t="s">
        <v>63</v>
      </c>
      <c r="O461" s="6" t="s">
        <v>1976</v>
      </c>
      <c r="P461" s="6"/>
      <c r="Q461" s="6" t="str">
        <f>VLOOKUP(G461,seznampsc!A:B,2,FALSE)</f>
        <v>Ostrava-město</v>
      </c>
      <c r="R461" s="6" t="str">
        <f>VLOOKUP(G461,seznampsc!A:C,3,FALSE)</f>
        <v>Moravskoslezský kraj</v>
      </c>
      <c r="S461" s="6" t="s">
        <v>2913</v>
      </c>
      <c r="T461" s="6" t="s">
        <v>2914</v>
      </c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 t="s">
        <v>2915</v>
      </c>
      <c r="AV461" s="8">
        <v>200000</v>
      </c>
    </row>
    <row r="462" spans="1:48" ht="24" customHeight="1" x14ac:dyDescent="0.3">
      <c r="A462" s="6"/>
      <c r="B462" s="6" t="s">
        <v>65</v>
      </c>
      <c r="C462" s="6" t="s">
        <v>2884</v>
      </c>
      <c r="D462" s="6">
        <v>27567575</v>
      </c>
      <c r="E462" s="6" t="s">
        <v>1031</v>
      </c>
      <c r="F462" s="6" t="s">
        <v>2916</v>
      </c>
      <c r="G462" s="6">
        <v>72100</v>
      </c>
      <c r="H462" s="6" t="s">
        <v>2917</v>
      </c>
      <c r="I462" s="6" t="s">
        <v>2918</v>
      </c>
      <c r="J462" s="6" t="s">
        <v>2919</v>
      </c>
      <c r="K462" s="6">
        <v>773265046</v>
      </c>
      <c r="L462" s="6" t="s">
        <v>586</v>
      </c>
      <c r="M462" s="6" t="s">
        <v>2920</v>
      </c>
      <c r="N462" s="6" t="s">
        <v>63</v>
      </c>
      <c r="O462" s="6" t="s">
        <v>1976</v>
      </c>
      <c r="P462" s="6"/>
      <c r="Q462" s="6" t="str">
        <f>VLOOKUP(G462,seznampsc!A:B,2,FALSE)</f>
        <v>Ostrava-město</v>
      </c>
      <c r="R462" s="6" t="str">
        <f>VLOOKUP(G462,seznampsc!A:C,3,FALSE)</f>
        <v>Moravskoslezský kraj</v>
      </c>
      <c r="S462" s="6" t="s">
        <v>2921</v>
      </c>
      <c r="T462" s="6" t="s">
        <v>2922</v>
      </c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  <c r="AV462" s="8">
        <v>200000</v>
      </c>
    </row>
    <row r="463" spans="1:48" ht="24" customHeight="1" x14ac:dyDescent="0.3">
      <c r="A463" s="6"/>
      <c r="B463" s="6" t="s">
        <v>65</v>
      </c>
      <c r="C463" s="6" t="s">
        <v>2884</v>
      </c>
      <c r="D463" s="6">
        <v>27567575</v>
      </c>
      <c r="E463" s="6" t="s">
        <v>1031</v>
      </c>
      <c r="F463" s="6" t="s">
        <v>2923</v>
      </c>
      <c r="G463" s="6">
        <v>74601</v>
      </c>
      <c r="H463" s="6" t="s">
        <v>1644</v>
      </c>
      <c r="I463" s="6" t="s">
        <v>2924</v>
      </c>
      <c r="J463" s="6" t="s">
        <v>2925</v>
      </c>
      <c r="K463" s="6">
        <v>602594184</v>
      </c>
      <c r="L463" s="6" t="s">
        <v>586</v>
      </c>
      <c r="M463" s="6" t="s">
        <v>2920</v>
      </c>
      <c r="N463" s="6" t="s">
        <v>63</v>
      </c>
      <c r="O463" s="6" t="s">
        <v>1976</v>
      </c>
      <c r="P463" s="6"/>
      <c r="Q463" s="6" t="str">
        <f>VLOOKUP(G463,seznampsc!A:B,2,FALSE)</f>
        <v>Opava</v>
      </c>
      <c r="R463" s="6" t="str">
        <f>VLOOKUP(G463,seznampsc!A:C,3,FALSE)</f>
        <v>Moravskoslezský kraj</v>
      </c>
      <c r="S463" s="6" t="s">
        <v>2926</v>
      </c>
      <c r="T463" s="6" t="s">
        <v>2927</v>
      </c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  <c r="AV463" s="8">
        <v>200000</v>
      </c>
    </row>
    <row r="464" spans="1:48" ht="24" customHeight="1" x14ac:dyDescent="0.3">
      <c r="A464" s="6"/>
      <c r="B464" s="6" t="s">
        <v>65</v>
      </c>
      <c r="C464" s="6" t="s">
        <v>2884</v>
      </c>
      <c r="D464" s="6">
        <v>27567575</v>
      </c>
      <c r="E464" s="6" t="s">
        <v>1031</v>
      </c>
      <c r="F464" s="6" t="s">
        <v>2928</v>
      </c>
      <c r="G464" s="6">
        <v>73961</v>
      </c>
      <c r="H464" s="6" t="s">
        <v>473</v>
      </c>
      <c r="I464" s="6" t="s">
        <v>2929</v>
      </c>
      <c r="J464" s="6" t="s">
        <v>2930</v>
      </c>
      <c r="K464" s="6">
        <v>770129220</v>
      </c>
      <c r="L464" s="6" t="s">
        <v>586</v>
      </c>
      <c r="M464" s="6" t="s">
        <v>2920</v>
      </c>
      <c r="N464" s="6" t="s">
        <v>63</v>
      </c>
      <c r="O464" s="6" t="s">
        <v>1976</v>
      </c>
      <c r="P464" s="6"/>
      <c r="Q464" s="6" t="str">
        <f>VLOOKUP(G464,seznampsc!A:B,2,FALSE)</f>
        <v>Frýdek-Místek</v>
      </c>
      <c r="R464" s="6" t="str">
        <f>VLOOKUP(G464,seznampsc!A:C,3,FALSE)</f>
        <v>Moravskoslezský kraj</v>
      </c>
      <c r="S464" s="6" t="s">
        <v>2931</v>
      </c>
      <c r="T464" s="6" t="s">
        <v>2932</v>
      </c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  <c r="AV464" s="8">
        <v>200000</v>
      </c>
    </row>
    <row r="465" spans="1:49" ht="24" customHeight="1" x14ac:dyDescent="0.3">
      <c r="A465" s="6"/>
      <c r="B465" s="6" t="s">
        <v>65</v>
      </c>
      <c r="C465" s="6" t="s">
        <v>2884</v>
      </c>
      <c r="D465" s="6">
        <v>27567575</v>
      </c>
      <c r="E465" s="6" t="s">
        <v>1031</v>
      </c>
      <c r="F465" s="6" t="s">
        <v>2933</v>
      </c>
      <c r="G465" s="6">
        <v>78701</v>
      </c>
      <c r="H465" s="6" t="s">
        <v>261</v>
      </c>
      <c r="I465" s="6" t="s">
        <v>2934</v>
      </c>
      <c r="J465" s="6" t="s">
        <v>2935</v>
      </c>
      <c r="K465" s="6">
        <v>602688625</v>
      </c>
      <c r="L465" s="6" t="s">
        <v>586</v>
      </c>
      <c r="M465" s="6" t="s">
        <v>2920</v>
      </c>
      <c r="N465" s="6" t="s">
        <v>63</v>
      </c>
      <c r="O465" s="6" t="s">
        <v>1976</v>
      </c>
      <c r="P465" s="6"/>
      <c r="Q465" s="6" t="str">
        <f>VLOOKUP(G465,seznampsc!A:B,2,FALSE)</f>
        <v>Šumperk</v>
      </c>
      <c r="R465" s="6" t="str">
        <f>VLOOKUP(G465,seznampsc!A:C,3,FALSE)</f>
        <v>Olomoucký kraj</v>
      </c>
      <c r="S465" s="6" t="s">
        <v>2936</v>
      </c>
      <c r="T465" s="6" t="s">
        <v>2937</v>
      </c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6" t="s">
        <v>2938</v>
      </c>
      <c r="AV465" s="8">
        <v>200000</v>
      </c>
    </row>
    <row r="466" spans="1:49" ht="24" customHeight="1" x14ac:dyDescent="0.3">
      <c r="A466" s="6"/>
      <c r="B466" s="6" t="s">
        <v>65</v>
      </c>
      <c r="C466" s="6" t="s">
        <v>2884</v>
      </c>
      <c r="D466" s="6">
        <v>27567575</v>
      </c>
      <c r="E466" s="6" t="s">
        <v>1031</v>
      </c>
      <c r="F466" s="6" t="s">
        <v>1032</v>
      </c>
      <c r="G466" s="6">
        <v>27201</v>
      </c>
      <c r="H466" s="6" t="s">
        <v>916</v>
      </c>
      <c r="I466" s="6" t="s">
        <v>1033</v>
      </c>
      <c r="J466" s="7" t="s">
        <v>1034</v>
      </c>
      <c r="K466" s="6">
        <v>777922017</v>
      </c>
      <c r="L466" s="6" t="s">
        <v>586</v>
      </c>
      <c r="M466" s="6" t="s">
        <v>120</v>
      </c>
      <c r="N466" s="6" t="s">
        <v>63</v>
      </c>
      <c r="O466" s="6" t="s">
        <v>1976</v>
      </c>
      <c r="P466" s="6"/>
      <c r="Q466" s="6" t="str">
        <f>VLOOKUP(G466,seznampsc!A:B,2,FALSE)</f>
        <v>Kladno</v>
      </c>
      <c r="R466" s="6" t="str">
        <f>VLOOKUP(G466,seznampsc!A:C,3,FALSE)</f>
        <v>Středočeský kraj</v>
      </c>
      <c r="S466" s="6">
        <v>50.126182</v>
      </c>
      <c r="T466" s="6">
        <v>14.1216977</v>
      </c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3" t="s">
        <v>1036</v>
      </c>
      <c r="AV466" s="10">
        <v>200000</v>
      </c>
    </row>
    <row r="467" spans="1:49" ht="24" customHeight="1" x14ac:dyDescent="0.3">
      <c r="A467" s="6"/>
      <c r="B467" s="6" t="s">
        <v>65</v>
      </c>
      <c r="C467" s="6" t="s">
        <v>2939</v>
      </c>
      <c r="D467" s="6">
        <v>42408393</v>
      </c>
      <c r="E467" s="6" t="s">
        <v>2940</v>
      </c>
      <c r="F467" s="6" t="s">
        <v>2941</v>
      </c>
      <c r="G467" s="6">
        <v>37701</v>
      </c>
      <c r="H467" s="6" t="s">
        <v>2125</v>
      </c>
      <c r="I467" s="6" t="s">
        <v>2942</v>
      </c>
      <c r="J467" s="6" t="s">
        <v>2943</v>
      </c>
      <c r="K467" s="6">
        <v>603240389</v>
      </c>
      <c r="L467" s="6" t="s">
        <v>586</v>
      </c>
      <c r="M467" s="6" t="s">
        <v>2944</v>
      </c>
      <c r="N467" s="6" t="s">
        <v>63</v>
      </c>
      <c r="O467" s="6" t="s">
        <v>2119</v>
      </c>
      <c r="P467" s="6"/>
      <c r="Q467" s="6" t="str">
        <f>VLOOKUP(G467,seznampsc!A:B,2,FALSE)</f>
        <v>Jindřichův Hradec</v>
      </c>
      <c r="R467" s="6" t="str">
        <f>VLOOKUP(G467,seznampsc!A:C,3,FALSE)</f>
        <v>Jihočeský kraj</v>
      </c>
      <c r="S467" s="6" t="s">
        <v>2945</v>
      </c>
      <c r="T467" s="6" t="s">
        <v>2946</v>
      </c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6"/>
      <c r="AV467" s="8">
        <v>200000</v>
      </c>
    </row>
    <row r="468" spans="1:49" ht="24" customHeight="1" x14ac:dyDescent="0.3">
      <c r="A468" s="6"/>
      <c r="B468" s="6" t="s">
        <v>65</v>
      </c>
      <c r="C468" s="6" t="s">
        <v>2947</v>
      </c>
      <c r="D468" s="6">
        <v>27684369</v>
      </c>
      <c r="E468" s="6" t="s">
        <v>2948</v>
      </c>
      <c r="F468" s="6" t="s">
        <v>2949</v>
      </c>
      <c r="G468" s="6">
        <v>76701</v>
      </c>
      <c r="H468" s="6" t="s">
        <v>567</v>
      </c>
      <c r="I468" s="6"/>
      <c r="J468" s="7" t="s">
        <v>2950</v>
      </c>
      <c r="K468" s="6">
        <v>724274698</v>
      </c>
      <c r="L468" s="6" t="s">
        <v>586</v>
      </c>
      <c r="M468" s="6" t="s">
        <v>2951</v>
      </c>
      <c r="N468" s="6" t="s">
        <v>63</v>
      </c>
      <c r="O468" s="6" t="s">
        <v>1976</v>
      </c>
      <c r="P468" s="6"/>
      <c r="Q468" s="6" t="str">
        <f>VLOOKUP(G468,seznampsc!A:B,2,FALSE)</f>
        <v>Kroměříž</v>
      </c>
      <c r="R468" s="6" t="str">
        <f>VLOOKUP(G468,seznampsc!A:C,3,FALSE)</f>
        <v>Zlínský kraj</v>
      </c>
      <c r="S468" s="6" t="s">
        <v>2952</v>
      </c>
      <c r="T468" s="6" t="s">
        <v>2953</v>
      </c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  <c r="AV468" s="8">
        <v>200000</v>
      </c>
    </row>
    <row r="469" spans="1:49" ht="24" customHeight="1" x14ac:dyDescent="0.3">
      <c r="A469" s="6" t="s">
        <v>53</v>
      </c>
      <c r="B469" s="6" t="s">
        <v>65</v>
      </c>
      <c r="C469" s="6" t="s">
        <v>2954</v>
      </c>
      <c r="D469" s="6">
        <v>47974672</v>
      </c>
      <c r="E469" s="6" t="s">
        <v>2955</v>
      </c>
      <c r="F469" s="6" t="s">
        <v>2956</v>
      </c>
      <c r="G469" s="6">
        <v>78991</v>
      </c>
      <c r="H469" s="6" t="s">
        <v>2957</v>
      </c>
      <c r="I469" s="6" t="s">
        <v>2958</v>
      </c>
      <c r="J469" s="6" t="s">
        <v>2959</v>
      </c>
      <c r="K469" s="6" t="s">
        <v>2960</v>
      </c>
      <c r="L469" s="6" t="s">
        <v>73</v>
      </c>
      <c r="M469" s="6" t="s">
        <v>62</v>
      </c>
      <c r="N469" s="6" t="s">
        <v>63</v>
      </c>
      <c r="O469" s="6" t="s">
        <v>198</v>
      </c>
      <c r="P469" s="6"/>
      <c r="Q469" s="6" t="str">
        <f>VLOOKUP(G469,seznampsc!A:B,2,FALSE)</f>
        <v>Šumperk</v>
      </c>
      <c r="R469" s="6" t="str">
        <f>VLOOKUP(G469,seznampsc!A:C,3,FALSE)</f>
        <v>Olomoucký kraj</v>
      </c>
      <c r="S469" s="6" t="s">
        <v>2961</v>
      </c>
      <c r="T469" s="6" t="s">
        <v>2962</v>
      </c>
      <c r="U469" s="6"/>
      <c r="V469" s="6"/>
      <c r="W469" s="6"/>
      <c r="X469" s="6"/>
      <c r="Y469" s="6"/>
      <c r="Z469" s="6"/>
      <c r="AA469" s="6"/>
      <c r="AB469" s="6"/>
      <c r="AC469" s="6"/>
      <c r="AD469" s="6">
        <v>650</v>
      </c>
      <c r="AE469" s="6">
        <v>650</v>
      </c>
      <c r="AF469" s="6">
        <v>650</v>
      </c>
      <c r="AG469" s="6"/>
      <c r="AH469" s="6"/>
      <c r="AI469" s="6"/>
      <c r="AJ469" s="6">
        <v>107</v>
      </c>
      <c r="AK469" s="6">
        <v>107</v>
      </c>
      <c r="AL469" s="6"/>
      <c r="AM469" s="6"/>
      <c r="AN469" s="6"/>
      <c r="AO469" s="6"/>
      <c r="AP469" s="6"/>
      <c r="AQ469" s="6"/>
      <c r="AR469" s="6"/>
      <c r="AS469" s="6"/>
      <c r="AT469" s="6"/>
      <c r="AU469" s="6" t="s">
        <v>1386</v>
      </c>
      <c r="AV469" s="6">
        <v>100000</v>
      </c>
    </row>
    <row r="470" spans="1:49" ht="24" customHeight="1" x14ac:dyDescent="0.3">
      <c r="A470" s="6" t="s">
        <v>53</v>
      </c>
      <c r="B470" s="6" t="s">
        <v>65</v>
      </c>
      <c r="C470" s="6" t="s">
        <v>2963</v>
      </c>
      <c r="D470" s="6">
        <v>19582901</v>
      </c>
      <c r="E470" s="6" t="s">
        <v>2964</v>
      </c>
      <c r="F470" s="6" t="s">
        <v>2965</v>
      </c>
      <c r="G470" s="6">
        <v>74722</v>
      </c>
      <c r="H470" s="6" t="s">
        <v>2966</v>
      </c>
      <c r="I470" s="6" t="s">
        <v>2967</v>
      </c>
      <c r="J470" s="6" t="s">
        <v>2968</v>
      </c>
      <c r="K470" s="6">
        <v>775787772</v>
      </c>
      <c r="L470" s="6" t="s">
        <v>73</v>
      </c>
      <c r="M470" s="6" t="s">
        <v>62</v>
      </c>
      <c r="N470" s="6" t="s">
        <v>63</v>
      </c>
      <c r="O470" s="6" t="s">
        <v>198</v>
      </c>
      <c r="P470" s="6"/>
      <c r="Q470" s="6" t="str">
        <f>VLOOKUP(G470,seznampsc!A:B,2,FALSE)</f>
        <v>Opava</v>
      </c>
      <c r="R470" s="6" t="str">
        <f>VLOOKUP(G470,seznampsc!A:C,3,FALSE)</f>
        <v>Moravskoslezský kraj</v>
      </c>
      <c r="S470" s="6" t="s">
        <v>2969</v>
      </c>
      <c r="T470" s="6" t="s">
        <v>2970</v>
      </c>
      <c r="U470" s="6"/>
      <c r="V470" s="6"/>
      <c r="W470" s="6"/>
      <c r="X470" s="6"/>
      <c r="Y470" s="6"/>
      <c r="Z470" s="6"/>
      <c r="AA470" s="6"/>
      <c r="AB470" s="6"/>
      <c r="AC470" s="6"/>
      <c r="AD470" s="6">
        <v>500</v>
      </c>
      <c r="AE470" s="6">
        <v>550</v>
      </c>
      <c r="AF470" s="6">
        <v>600</v>
      </c>
      <c r="AG470" s="6"/>
      <c r="AH470" s="6"/>
      <c r="AI470" s="6"/>
      <c r="AJ470" s="6"/>
      <c r="AK470" s="6">
        <v>107</v>
      </c>
      <c r="AL470" s="6">
        <v>107</v>
      </c>
      <c r="AM470" s="6"/>
      <c r="AN470" s="6"/>
      <c r="AO470" s="6"/>
      <c r="AP470" s="6">
        <v>3</v>
      </c>
      <c r="AQ470" s="6">
        <v>10</v>
      </c>
      <c r="AR470" s="6"/>
      <c r="AS470" s="6"/>
      <c r="AT470" s="6"/>
      <c r="AU470" s="6" t="s">
        <v>2804</v>
      </c>
      <c r="AV470" s="6">
        <v>100000</v>
      </c>
    </row>
    <row r="471" spans="1:49" ht="24" customHeight="1" x14ac:dyDescent="0.3">
      <c r="A471" s="6" t="s">
        <v>53</v>
      </c>
      <c r="B471" s="6" t="s">
        <v>65</v>
      </c>
      <c r="C471" s="6" t="s">
        <v>2971</v>
      </c>
      <c r="D471" s="6">
        <v>24196436</v>
      </c>
      <c r="E471" s="6" t="s">
        <v>2972</v>
      </c>
      <c r="F471" s="6" t="s">
        <v>2973</v>
      </c>
      <c r="G471" s="6">
        <v>44001</v>
      </c>
      <c r="H471" s="6" t="s">
        <v>440</v>
      </c>
      <c r="I471" s="6" t="s">
        <v>2974</v>
      </c>
      <c r="J471" s="6" t="s">
        <v>2975</v>
      </c>
      <c r="K471" s="6">
        <v>604207718</v>
      </c>
      <c r="L471" s="6" t="s">
        <v>73</v>
      </c>
      <c r="M471" s="6" t="s">
        <v>62</v>
      </c>
      <c r="N471" s="6" t="s">
        <v>63</v>
      </c>
      <c r="O471" s="6" t="s">
        <v>787</v>
      </c>
      <c r="P471" s="6"/>
      <c r="Q471" s="6" t="str">
        <f>VLOOKUP(G471,seznampsc!A:B,2,FALSE)</f>
        <v>Louny</v>
      </c>
      <c r="R471" s="6" t="str">
        <f>VLOOKUP(G471,seznampsc!A:C,3,FALSE)</f>
        <v>Ústecký kraj</v>
      </c>
      <c r="S471" s="6" t="s">
        <v>2976</v>
      </c>
      <c r="T471" s="6" t="s">
        <v>2977</v>
      </c>
      <c r="U471" s="6"/>
      <c r="V471" s="6"/>
      <c r="W471" s="6"/>
      <c r="X471" s="6"/>
      <c r="Y471" s="6"/>
      <c r="Z471" s="6"/>
      <c r="AA471" s="6"/>
      <c r="AB471" s="6"/>
      <c r="AC471" s="6"/>
      <c r="AD471" s="6">
        <v>600</v>
      </c>
      <c r="AE471" s="6">
        <v>600</v>
      </c>
      <c r="AF471" s="6">
        <v>600</v>
      </c>
      <c r="AG471" s="6"/>
      <c r="AH471" s="6"/>
      <c r="AI471" s="6"/>
      <c r="AJ471" s="6">
        <v>100</v>
      </c>
      <c r="AK471" s="6">
        <v>100</v>
      </c>
      <c r="AL471" s="6"/>
      <c r="AM471" s="6"/>
      <c r="AN471" s="6"/>
      <c r="AO471" s="6"/>
      <c r="AP471" s="6"/>
      <c r="AQ471" s="6"/>
      <c r="AR471" s="6"/>
      <c r="AS471" s="6"/>
      <c r="AT471" s="6"/>
      <c r="AU471" s="6" t="s">
        <v>1386</v>
      </c>
      <c r="AV471" s="6">
        <v>100000</v>
      </c>
      <c r="AW471" s="3">
        <v>800</v>
      </c>
    </row>
    <row r="472" spans="1:49" ht="24" customHeight="1" x14ac:dyDescent="0.3">
      <c r="A472" s="3" t="s">
        <v>53</v>
      </c>
      <c r="B472" s="6" t="s">
        <v>65</v>
      </c>
      <c r="C472" s="6" t="s">
        <v>2978</v>
      </c>
      <c r="D472" s="6">
        <v>66812909</v>
      </c>
      <c r="E472" s="6" t="s">
        <v>2979</v>
      </c>
      <c r="F472" s="6" t="s">
        <v>2980</v>
      </c>
      <c r="G472" s="6">
        <v>53313</v>
      </c>
      <c r="H472" s="6" t="s">
        <v>2981</v>
      </c>
      <c r="I472" s="6" t="s">
        <v>149</v>
      </c>
      <c r="J472" s="6" t="s">
        <v>2982</v>
      </c>
      <c r="K472" s="6">
        <v>723438338.72450995</v>
      </c>
      <c r="L472" s="6" t="s">
        <v>151</v>
      </c>
      <c r="M472" s="6" t="s">
        <v>152</v>
      </c>
      <c r="N472" s="3" t="s">
        <v>63</v>
      </c>
      <c r="O472" s="6" t="s">
        <v>198</v>
      </c>
      <c r="P472" s="6"/>
      <c r="Q472" s="6" t="str">
        <f>VLOOKUP(G472,seznampsc!A:B,2,FALSE)</f>
        <v>Pardubice</v>
      </c>
      <c r="R472" s="6" t="str">
        <f>VLOOKUP(G472,seznampsc!A:C,3,FALSE)</f>
        <v>Pardubický kraj</v>
      </c>
      <c r="S472" s="6" t="s">
        <v>2983</v>
      </c>
      <c r="T472" s="6" t="s">
        <v>2984</v>
      </c>
      <c r="AD472" s="3">
        <v>750</v>
      </c>
      <c r="AE472" s="3">
        <v>750</v>
      </c>
      <c r="AF472" s="3">
        <v>750</v>
      </c>
      <c r="AJ472" s="3">
        <v>107</v>
      </c>
      <c r="AK472" s="3">
        <v>107</v>
      </c>
      <c r="AN472" s="3">
        <v>5</v>
      </c>
      <c r="AP472" s="3" t="s">
        <v>199</v>
      </c>
      <c r="AQ472" s="3">
        <v>40</v>
      </c>
      <c r="AT472" s="3">
        <v>250</v>
      </c>
      <c r="AU472" s="6"/>
      <c r="AV472" s="3">
        <v>200000</v>
      </c>
    </row>
    <row r="473" spans="1:49" ht="24" customHeight="1" x14ac:dyDescent="0.3">
      <c r="A473" s="6"/>
      <c r="B473" s="6" t="s">
        <v>65</v>
      </c>
      <c r="C473" s="6" t="s">
        <v>2985</v>
      </c>
      <c r="D473" s="6">
        <v>25367404</v>
      </c>
      <c r="E473" s="6" t="s">
        <v>2986</v>
      </c>
      <c r="F473" s="6" t="s">
        <v>2987</v>
      </c>
      <c r="G473" s="6">
        <v>74707</v>
      </c>
      <c r="H473" s="6" t="s">
        <v>485</v>
      </c>
      <c r="I473" s="6" t="s">
        <v>2988</v>
      </c>
      <c r="J473" s="6" t="s">
        <v>2989</v>
      </c>
      <c r="K473" s="6" t="s">
        <v>2990</v>
      </c>
      <c r="L473" s="6" t="s">
        <v>586</v>
      </c>
      <c r="M473" s="6" t="s">
        <v>2991</v>
      </c>
      <c r="N473" s="6" t="s">
        <v>63</v>
      </c>
      <c r="O473" s="6" t="s">
        <v>1976</v>
      </c>
      <c r="P473" s="6"/>
      <c r="Q473" s="6" t="str">
        <f>VLOOKUP(G473,seznampsc!A:B,2,FALSE)</f>
        <v>Opava</v>
      </c>
      <c r="R473" s="6" t="str">
        <f>VLOOKUP(G473,seznampsc!A:C,3,FALSE)</f>
        <v>Moravskoslezský kraj</v>
      </c>
      <c r="S473" s="6" t="s">
        <v>2992</v>
      </c>
      <c r="T473" s="6" t="s">
        <v>2993</v>
      </c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  <c r="AV473" s="8">
        <v>200000</v>
      </c>
    </row>
    <row r="474" spans="1:49" ht="24" customHeight="1" x14ac:dyDescent="0.3">
      <c r="A474" s="6" t="s">
        <v>53</v>
      </c>
      <c r="B474" s="6" t="s">
        <v>65</v>
      </c>
      <c r="C474" s="6" t="s">
        <v>2994</v>
      </c>
      <c r="D474" s="6">
        <v>17682479</v>
      </c>
      <c r="E474" s="6" t="s">
        <v>2995</v>
      </c>
      <c r="F474" s="6" t="s">
        <v>2996</v>
      </c>
      <c r="G474" s="6">
        <v>74775</v>
      </c>
      <c r="H474" s="6" t="s">
        <v>2997</v>
      </c>
      <c r="I474" s="6" t="s">
        <v>2998</v>
      </c>
      <c r="J474" s="6" t="s">
        <v>2999</v>
      </c>
      <c r="K474" s="6" t="s">
        <v>3000</v>
      </c>
      <c r="L474" s="6" t="s">
        <v>73</v>
      </c>
      <c r="M474" s="6" t="s">
        <v>62</v>
      </c>
      <c r="N474" s="6" t="s">
        <v>63</v>
      </c>
      <c r="O474" s="6" t="s">
        <v>198</v>
      </c>
      <c r="P474" s="6"/>
      <c r="Q474" s="6" t="str">
        <f>VLOOKUP(G474,seznampsc!A:B,2,FALSE)</f>
        <v>Opava</v>
      </c>
      <c r="R474" s="6" t="str">
        <f>VLOOKUP(G474,seznampsc!A:C,3,FALSE)</f>
        <v>Moravskoslezský kraj</v>
      </c>
      <c r="S474" s="6" t="s">
        <v>3001</v>
      </c>
      <c r="T474" s="6" t="s">
        <v>3002</v>
      </c>
      <c r="U474" s="6"/>
      <c r="V474" s="6"/>
      <c r="W474" s="6"/>
      <c r="X474" s="6"/>
      <c r="Y474" s="6"/>
      <c r="Z474" s="6"/>
      <c r="AA474" s="6"/>
      <c r="AB474" s="6"/>
      <c r="AC474" s="6"/>
      <c r="AD474" s="6">
        <v>580</v>
      </c>
      <c r="AE474" s="6">
        <v>600</v>
      </c>
      <c r="AF474" s="6">
        <v>600</v>
      </c>
      <c r="AG474" s="6"/>
      <c r="AH474" s="6"/>
      <c r="AI474" s="6"/>
      <c r="AJ474" s="6">
        <v>107</v>
      </c>
      <c r="AK474" s="6">
        <v>107</v>
      </c>
      <c r="AL474" s="6"/>
      <c r="AM474" s="6"/>
      <c r="AN474" s="6"/>
      <c r="AO474" s="6"/>
      <c r="AP474" s="6"/>
      <c r="AQ474" s="6">
        <v>5</v>
      </c>
      <c r="AR474" s="6"/>
      <c r="AS474" s="6"/>
      <c r="AT474" s="6"/>
      <c r="AU474" s="6" t="s">
        <v>2804</v>
      </c>
      <c r="AV474" s="6">
        <v>100000</v>
      </c>
    </row>
    <row r="475" spans="1:49" ht="24" customHeight="1" x14ac:dyDescent="0.3">
      <c r="A475" s="6"/>
      <c r="B475" s="6" t="s">
        <v>65</v>
      </c>
      <c r="C475" s="6" t="s">
        <v>2994</v>
      </c>
      <c r="D475" s="6">
        <v>17682479</v>
      </c>
      <c r="E475" s="6" t="s">
        <v>2995</v>
      </c>
      <c r="F475" s="6" t="s">
        <v>2996</v>
      </c>
      <c r="G475" s="6">
        <v>74775</v>
      </c>
      <c r="H475" s="6" t="s">
        <v>3003</v>
      </c>
      <c r="I475" s="6" t="s">
        <v>2998</v>
      </c>
      <c r="J475" s="6" t="s">
        <v>2999</v>
      </c>
      <c r="K475" s="6" t="s">
        <v>3000</v>
      </c>
      <c r="L475" s="6" t="s">
        <v>155</v>
      </c>
      <c r="M475" s="6" t="s">
        <v>62</v>
      </c>
      <c r="N475" s="6" t="s">
        <v>63</v>
      </c>
      <c r="O475" s="6" t="s">
        <v>198</v>
      </c>
      <c r="P475" s="6"/>
      <c r="Q475" s="6" t="str">
        <f>VLOOKUP(G475,seznampsc!A:B,2,FALSE)</f>
        <v>Opava</v>
      </c>
      <c r="R475" s="6" t="str">
        <f>VLOOKUP(G475,seznampsc!A:C,3,FALSE)</f>
        <v>Moravskoslezský kraj</v>
      </c>
      <c r="S475" s="6" t="s">
        <v>3001</v>
      </c>
      <c r="T475" s="6" t="s">
        <v>3002</v>
      </c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</row>
    <row r="476" spans="1:49" ht="24" customHeight="1" x14ac:dyDescent="0.3">
      <c r="A476" s="6" t="s">
        <v>53</v>
      </c>
      <c r="B476" s="6" t="s">
        <v>65</v>
      </c>
      <c r="C476" s="6" t="s">
        <v>3004</v>
      </c>
      <c r="D476" s="6">
        <v>19753110</v>
      </c>
      <c r="E476" s="6" t="s">
        <v>3005</v>
      </c>
      <c r="F476" s="6" t="s">
        <v>770</v>
      </c>
      <c r="G476" s="6">
        <v>69617</v>
      </c>
      <c r="H476" s="6" t="s">
        <v>771</v>
      </c>
      <c r="I476" s="6" t="s">
        <v>772</v>
      </c>
      <c r="J476" s="6" t="s">
        <v>3006</v>
      </c>
      <c r="K476" s="6">
        <v>602745557.51837206</v>
      </c>
      <c r="L476" s="6" t="s">
        <v>73</v>
      </c>
      <c r="M476" s="6" t="s">
        <v>62</v>
      </c>
      <c r="N476" s="6" t="s">
        <v>63</v>
      </c>
      <c r="O476" s="6" t="s">
        <v>787</v>
      </c>
      <c r="P476" s="6"/>
      <c r="Q476" s="6" t="str">
        <f>VLOOKUP(G476,seznampsc!A:B,2,FALSE)</f>
        <v>Hodonín</v>
      </c>
      <c r="R476" s="6" t="str">
        <f>VLOOKUP(G476,seznampsc!A:C,3,FALSE)</f>
        <v>Jihomoravský kraj</v>
      </c>
      <c r="S476" s="6" t="s">
        <v>3007</v>
      </c>
      <c r="T476" s="6" t="s">
        <v>3008</v>
      </c>
      <c r="U476" s="6"/>
      <c r="V476" s="6"/>
      <c r="W476" s="6"/>
      <c r="X476" s="6"/>
      <c r="Y476" s="6"/>
      <c r="Z476" s="6"/>
      <c r="AA476" s="6"/>
      <c r="AB476" s="6"/>
      <c r="AC476" s="6"/>
      <c r="AD476" s="6">
        <v>580</v>
      </c>
      <c r="AE476" s="6">
        <v>600</v>
      </c>
      <c r="AF476" s="6">
        <v>620</v>
      </c>
      <c r="AG476" s="6"/>
      <c r="AH476" s="6"/>
      <c r="AI476" s="6"/>
      <c r="AJ476" s="6">
        <v>107</v>
      </c>
      <c r="AK476" s="6">
        <v>107</v>
      </c>
      <c r="AL476" s="6"/>
      <c r="AM476" s="6"/>
      <c r="AN476" s="6"/>
      <c r="AO476" s="6"/>
      <c r="AP476" s="6"/>
      <c r="AQ476" s="6">
        <v>5</v>
      </c>
      <c r="AR476" s="6"/>
      <c r="AS476" s="6" t="s">
        <v>199</v>
      </c>
      <c r="AT476" s="6"/>
      <c r="AU476" s="6" t="s">
        <v>3009</v>
      </c>
      <c r="AV476" s="6">
        <v>100000</v>
      </c>
    </row>
    <row r="477" spans="1:49" ht="24" customHeight="1" x14ac:dyDescent="0.3">
      <c r="A477" s="6"/>
      <c r="B477" s="6" t="s">
        <v>65</v>
      </c>
      <c r="C477" s="6" t="s">
        <v>3010</v>
      </c>
      <c r="D477" s="6">
        <v>42196841</v>
      </c>
      <c r="E477" s="6" t="s">
        <v>3011</v>
      </c>
      <c r="F477" s="6" t="s">
        <v>3012</v>
      </c>
      <c r="G477" s="6">
        <v>50003</v>
      </c>
      <c r="H477" s="6" t="s">
        <v>330</v>
      </c>
      <c r="I477" s="6" t="s">
        <v>3013</v>
      </c>
      <c r="J477" s="6" t="s">
        <v>3014</v>
      </c>
      <c r="K477" s="6">
        <v>606641540</v>
      </c>
      <c r="L477" s="6" t="s">
        <v>586</v>
      </c>
      <c r="M477" s="6" t="s">
        <v>3015</v>
      </c>
      <c r="N477" s="6" t="s">
        <v>63</v>
      </c>
      <c r="O477" s="6" t="s">
        <v>1976</v>
      </c>
      <c r="P477" s="6"/>
      <c r="Q477" s="6" t="str">
        <f>VLOOKUP(G477,seznampsc!A:B,2,FALSE)</f>
        <v>Hradec Králové</v>
      </c>
      <c r="R477" s="6" t="str">
        <f>VLOOKUP(G477,seznampsc!A:C,3,FALSE)</f>
        <v>Královéhradecký kraj</v>
      </c>
      <c r="S477" s="6" t="s">
        <v>3016</v>
      </c>
      <c r="T477" s="6" t="s">
        <v>3017</v>
      </c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8">
        <v>200000</v>
      </c>
    </row>
    <row r="478" spans="1:49" ht="24" customHeight="1" x14ac:dyDescent="0.3">
      <c r="A478" s="6"/>
      <c r="B478" s="6" t="s">
        <v>65</v>
      </c>
      <c r="C478" s="6" t="s">
        <v>3018</v>
      </c>
      <c r="D478" s="6">
        <v>26493276</v>
      </c>
      <c r="E478" s="6" t="s">
        <v>3019</v>
      </c>
      <c r="F478" s="6" t="s">
        <v>3020</v>
      </c>
      <c r="G478" s="6">
        <v>76502</v>
      </c>
      <c r="H478" s="6" t="s">
        <v>3021</v>
      </c>
      <c r="I478" s="6" t="s">
        <v>3022</v>
      </c>
      <c r="J478" s="6" t="s">
        <v>3023</v>
      </c>
      <c r="K478" s="6" t="s">
        <v>3024</v>
      </c>
      <c r="L478" s="6" t="s">
        <v>586</v>
      </c>
      <c r="M478" s="6" t="s">
        <v>3025</v>
      </c>
      <c r="N478" s="6" t="s">
        <v>63</v>
      </c>
      <c r="O478" s="6" t="s">
        <v>1976</v>
      </c>
      <c r="P478" s="6"/>
      <c r="Q478" s="6" t="str">
        <f>VLOOKUP(G478,seznampsc!A:B,2,FALSE)</f>
        <v>Zlín</v>
      </c>
      <c r="R478" s="6" t="str">
        <f>VLOOKUP(G478,seznampsc!A:C,3,FALSE)</f>
        <v>Zlínský kraj</v>
      </c>
      <c r="S478" s="6" t="s">
        <v>3026</v>
      </c>
      <c r="T478" s="6" t="s">
        <v>3027</v>
      </c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  <c r="AV478" s="8">
        <v>200000</v>
      </c>
    </row>
    <row r="479" spans="1:49" ht="24" customHeight="1" x14ac:dyDescent="0.3">
      <c r="A479" s="6"/>
      <c r="B479" s="6" t="s">
        <v>65</v>
      </c>
      <c r="C479" s="6" t="s">
        <v>3018</v>
      </c>
      <c r="D479" s="6">
        <v>26493276</v>
      </c>
      <c r="E479" s="6" t="s">
        <v>3019</v>
      </c>
      <c r="F479" s="6" t="s">
        <v>3028</v>
      </c>
      <c r="G479" s="6">
        <v>76302</v>
      </c>
      <c r="H479" s="6" t="s">
        <v>230</v>
      </c>
      <c r="I479" s="6" t="s">
        <v>3029</v>
      </c>
      <c r="J479" s="6" t="s">
        <v>3030</v>
      </c>
      <c r="K479" s="6" t="s">
        <v>3031</v>
      </c>
      <c r="L479" s="6" t="s">
        <v>586</v>
      </c>
      <c r="M479" s="6" t="s">
        <v>3025</v>
      </c>
      <c r="N479" s="6" t="s">
        <v>63</v>
      </c>
      <c r="O479" s="6" t="s">
        <v>1976</v>
      </c>
      <c r="P479" s="6"/>
      <c r="Q479" s="6" t="str">
        <f>VLOOKUP(G479,seznampsc!A:B,2,FALSE)</f>
        <v>Zlín</v>
      </c>
      <c r="R479" s="6" t="str">
        <f>VLOOKUP(G479,seznampsc!A:C,3,FALSE)</f>
        <v>Zlínský kraj</v>
      </c>
      <c r="S479" s="6" t="s">
        <v>3032</v>
      </c>
      <c r="T479" s="6" t="s">
        <v>3033</v>
      </c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6"/>
      <c r="AV479" s="8">
        <v>200000</v>
      </c>
    </row>
    <row r="480" spans="1:49" ht="24" customHeight="1" x14ac:dyDescent="0.3">
      <c r="A480" s="6"/>
      <c r="B480" s="6" t="s">
        <v>65</v>
      </c>
      <c r="C480" s="6" t="s">
        <v>3034</v>
      </c>
      <c r="D480" s="6">
        <v>29157773</v>
      </c>
      <c r="E480" s="6" t="s">
        <v>3035</v>
      </c>
      <c r="F480" s="6" t="s">
        <v>3036</v>
      </c>
      <c r="G480" s="6">
        <v>32600</v>
      </c>
      <c r="H480" s="6" t="s">
        <v>3037</v>
      </c>
      <c r="I480" s="6" t="s">
        <v>3038</v>
      </c>
      <c r="J480" s="6" t="s">
        <v>3039</v>
      </c>
      <c r="K480" s="6">
        <v>730105935</v>
      </c>
      <c r="L480" s="6" t="s">
        <v>73</v>
      </c>
      <c r="M480" s="6" t="s">
        <v>62</v>
      </c>
      <c r="N480" s="6" t="s">
        <v>63</v>
      </c>
      <c r="O480" s="6" t="s">
        <v>198</v>
      </c>
      <c r="P480" s="6"/>
      <c r="Q480" s="6" t="str">
        <f>VLOOKUP(G480,seznampsc!A:B,2,FALSE)</f>
        <v>Plzeň-město</v>
      </c>
      <c r="R480" s="6" t="str">
        <f>VLOOKUP(G480,seznampsc!A:C,3,FALSE)</f>
        <v>Plzeňský kraj</v>
      </c>
      <c r="S480" s="6" t="s">
        <v>3040</v>
      </c>
      <c r="T480" s="6" t="s">
        <v>3041</v>
      </c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  <c r="AV480" s="6" t="s">
        <v>2804</v>
      </c>
    </row>
    <row r="481" spans="1:48" ht="24" customHeight="1" x14ac:dyDescent="0.3">
      <c r="A481" s="6"/>
      <c r="B481" s="6" t="s">
        <v>65</v>
      </c>
      <c r="C481" s="6" t="s">
        <v>3042</v>
      </c>
      <c r="D481" s="6">
        <v>29107164</v>
      </c>
      <c r="E481" s="6" t="s">
        <v>3043</v>
      </c>
      <c r="F481" s="6" t="s">
        <v>3044</v>
      </c>
      <c r="G481" s="6">
        <v>34401</v>
      </c>
      <c r="H481" s="6" t="s">
        <v>3045</v>
      </c>
      <c r="I481" s="6" t="s">
        <v>3046</v>
      </c>
      <c r="J481" s="6" t="s">
        <v>3047</v>
      </c>
      <c r="K481" s="6" t="s">
        <v>3048</v>
      </c>
      <c r="L481" s="6" t="s">
        <v>586</v>
      </c>
      <c r="M481" s="6" t="s">
        <v>2645</v>
      </c>
      <c r="N481" s="6" t="s">
        <v>63</v>
      </c>
      <c r="O481" s="6" t="s">
        <v>1976</v>
      </c>
      <c r="P481" s="6"/>
      <c r="Q481" s="6" t="str">
        <f>VLOOKUP(G481,seznampsc!A:B,2,FALSE)</f>
        <v>Domažlice</v>
      </c>
      <c r="R481" s="6" t="str">
        <f>VLOOKUP(G481,seznampsc!A:C,3,FALSE)</f>
        <v>Plzeňský kraj</v>
      </c>
      <c r="S481" s="6" t="s">
        <v>3049</v>
      </c>
      <c r="T481" s="6" t="s">
        <v>3050</v>
      </c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  <c r="AV481" s="8">
        <v>200000</v>
      </c>
    </row>
    <row r="482" spans="1:48" ht="24" customHeight="1" x14ac:dyDescent="0.3">
      <c r="A482" s="6"/>
      <c r="B482" s="6" t="s">
        <v>65</v>
      </c>
      <c r="C482" s="6" t="s">
        <v>3051</v>
      </c>
      <c r="D482" s="6">
        <v>26824108</v>
      </c>
      <c r="E482" s="6" t="s">
        <v>3052</v>
      </c>
      <c r="F482" s="6" t="s">
        <v>3053</v>
      </c>
      <c r="G482" s="6">
        <v>75701</v>
      </c>
      <c r="H482" s="6" t="s">
        <v>3054</v>
      </c>
      <c r="I482" s="6" t="s">
        <v>3055</v>
      </c>
      <c r="J482" s="6" t="s">
        <v>3056</v>
      </c>
      <c r="K482" s="6">
        <v>737283671.70346797</v>
      </c>
      <c r="L482" s="6" t="s">
        <v>586</v>
      </c>
      <c r="M482" s="6" t="s">
        <v>3057</v>
      </c>
      <c r="N482" s="6" t="s">
        <v>63</v>
      </c>
      <c r="O482" s="6" t="s">
        <v>1976</v>
      </c>
      <c r="P482" s="6"/>
      <c r="Q482" s="6" t="str">
        <f>VLOOKUP(G482,seznampsc!A:B,2,FALSE)</f>
        <v>Vsetín</v>
      </c>
      <c r="R482" s="6" t="str">
        <f>VLOOKUP(G482,seznampsc!A:C,3,FALSE)</f>
        <v>Zlínský kraj</v>
      </c>
      <c r="S482" s="6" t="s">
        <v>3058</v>
      </c>
      <c r="T482" s="6" t="s">
        <v>3059</v>
      </c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  <c r="AV482" s="8">
        <v>200000</v>
      </c>
    </row>
    <row r="483" spans="1:48" ht="24" customHeight="1" x14ac:dyDescent="0.3">
      <c r="A483" s="6"/>
      <c r="B483" s="6" t="s">
        <v>65</v>
      </c>
      <c r="C483" s="6" t="s">
        <v>3051</v>
      </c>
      <c r="D483" s="6">
        <v>26824108</v>
      </c>
      <c r="E483" s="6" t="s">
        <v>3052</v>
      </c>
      <c r="F483" s="6" t="s">
        <v>3060</v>
      </c>
      <c r="G483" s="6">
        <v>75661</v>
      </c>
      <c r="H483" s="6" t="s">
        <v>3061</v>
      </c>
      <c r="I483" s="6" t="s">
        <v>3062</v>
      </c>
      <c r="J483" s="6" t="s">
        <v>3063</v>
      </c>
      <c r="K483" s="6">
        <v>605208874</v>
      </c>
      <c r="L483" s="6" t="s">
        <v>586</v>
      </c>
      <c r="M483" s="6" t="s">
        <v>3057</v>
      </c>
      <c r="N483" s="6" t="s">
        <v>63</v>
      </c>
      <c r="O483" s="6" t="s">
        <v>1976</v>
      </c>
      <c r="P483" s="6"/>
      <c r="Q483" s="6" t="str">
        <f>VLOOKUP(G483,seznampsc!A:B,2,FALSE)</f>
        <v>Vsetín</v>
      </c>
      <c r="R483" s="6" t="str">
        <f>VLOOKUP(G483,seznampsc!A:C,3,FALSE)</f>
        <v>Zlínský kraj</v>
      </c>
      <c r="S483" s="6" t="s">
        <v>3064</v>
      </c>
      <c r="T483" s="6" t="s">
        <v>3065</v>
      </c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8">
        <v>200000</v>
      </c>
    </row>
    <row r="484" spans="1:48" ht="24" customHeight="1" x14ac:dyDescent="0.3">
      <c r="A484" s="6"/>
      <c r="B484" s="6" t="s">
        <v>65</v>
      </c>
      <c r="C484" s="6" t="s">
        <v>3051</v>
      </c>
      <c r="D484" s="6">
        <v>26824108</v>
      </c>
      <c r="E484" s="6" t="s">
        <v>3052</v>
      </c>
      <c r="F484" s="6" t="s">
        <v>479</v>
      </c>
      <c r="G484" s="6">
        <v>74242</v>
      </c>
      <c r="H484" s="6" t="s">
        <v>1928</v>
      </c>
      <c r="I484" s="6" t="s">
        <v>3066</v>
      </c>
      <c r="J484" s="6" t="s">
        <v>3067</v>
      </c>
      <c r="K484" s="8">
        <v>737283672</v>
      </c>
      <c r="L484" s="6" t="s">
        <v>586</v>
      </c>
      <c r="M484" s="6" t="s">
        <v>3057</v>
      </c>
      <c r="N484" s="6" t="s">
        <v>63</v>
      </c>
      <c r="O484" s="6" t="s">
        <v>1976</v>
      </c>
      <c r="P484" s="6"/>
      <c r="Q484" s="6" t="str">
        <f>VLOOKUP(G484,seznampsc!A:B,2,FALSE)</f>
        <v>Nový Jičín</v>
      </c>
      <c r="R484" s="6" t="str">
        <f>VLOOKUP(G484,seznampsc!A:C,3,FALSE)</f>
        <v>Moravskoslezský kraj</v>
      </c>
      <c r="S484" s="6" t="s">
        <v>3068</v>
      </c>
      <c r="T484" s="6" t="s">
        <v>3069</v>
      </c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  <c r="AV484" s="8">
        <v>200000</v>
      </c>
    </row>
    <row r="485" spans="1:48" ht="24" customHeight="1" x14ac:dyDescent="0.3">
      <c r="A485" s="3" t="s">
        <v>53</v>
      </c>
      <c r="B485" s="6" t="s">
        <v>65</v>
      </c>
      <c r="C485" s="6" t="s">
        <v>3070</v>
      </c>
      <c r="D485" s="6">
        <v>25767381</v>
      </c>
      <c r="E485" s="6" t="s">
        <v>3071</v>
      </c>
      <c r="F485" s="6" t="s">
        <v>3072</v>
      </c>
      <c r="G485" s="6">
        <v>19300</v>
      </c>
      <c r="H485" s="6" t="s">
        <v>3073</v>
      </c>
      <c r="I485" s="6" t="s">
        <v>3074</v>
      </c>
      <c r="J485" s="6" t="s">
        <v>3075</v>
      </c>
      <c r="K485" s="8">
        <v>720177177.60649395</v>
      </c>
      <c r="L485" s="6" t="s">
        <v>151</v>
      </c>
      <c r="M485" s="6" t="s">
        <v>62</v>
      </c>
      <c r="N485" s="3" t="s">
        <v>63</v>
      </c>
      <c r="O485" s="6" t="s">
        <v>198</v>
      </c>
      <c r="P485" s="6"/>
      <c r="Q485" s="6" t="str">
        <f>VLOOKUP(G485,seznampsc!A:B,2,FALSE)</f>
        <v>Hlavní město Praha</v>
      </c>
      <c r="R485" s="6" t="str">
        <f>VLOOKUP(G485,seznampsc!A:C,3,FALSE)</f>
        <v>Hlavní město Praha</v>
      </c>
      <c r="S485" s="3" t="s">
        <v>3076</v>
      </c>
      <c r="T485" s="3" t="s">
        <v>3077</v>
      </c>
      <c r="AD485" s="3">
        <v>690</v>
      </c>
      <c r="AE485" s="3">
        <v>690</v>
      </c>
      <c r="AF485" s="3">
        <v>720</v>
      </c>
      <c r="AJ485" s="3">
        <v>107</v>
      </c>
      <c r="AK485" s="3">
        <v>107</v>
      </c>
      <c r="AP485" s="3">
        <v>2</v>
      </c>
      <c r="AQ485" s="3">
        <v>8</v>
      </c>
      <c r="AU485" s="6" t="s">
        <v>1386</v>
      </c>
      <c r="AV485" s="3">
        <v>100000</v>
      </c>
    </row>
    <row r="486" spans="1:48" ht="24" customHeight="1" x14ac:dyDescent="0.3">
      <c r="A486" s="6"/>
      <c r="B486" s="6" t="s">
        <v>65</v>
      </c>
      <c r="C486" s="6" t="s">
        <v>3078</v>
      </c>
      <c r="D486" s="6">
        <v>25281232</v>
      </c>
      <c r="E486" s="6" t="s">
        <v>3079</v>
      </c>
      <c r="F486" s="6" t="s">
        <v>3080</v>
      </c>
      <c r="G486" s="6">
        <v>50003</v>
      </c>
      <c r="H486" s="6" t="s">
        <v>330</v>
      </c>
      <c r="I486" s="6" t="s">
        <v>3081</v>
      </c>
      <c r="J486" s="6" t="s">
        <v>3082</v>
      </c>
      <c r="K486" s="6">
        <v>731947582</v>
      </c>
      <c r="L486" s="6" t="s">
        <v>586</v>
      </c>
      <c r="M486" s="6" t="s">
        <v>134</v>
      </c>
      <c r="N486" s="6" t="s">
        <v>63</v>
      </c>
      <c r="O486" s="6" t="s">
        <v>1976</v>
      </c>
      <c r="P486" s="6"/>
      <c r="Q486" s="6" t="str">
        <f>VLOOKUP(G486,seznampsc!A:B,2,FALSE)</f>
        <v>Hradec Králové</v>
      </c>
      <c r="R486" s="6" t="str">
        <f>VLOOKUP(G486,seznampsc!A:C,3,FALSE)</f>
        <v>Královéhradecký kraj</v>
      </c>
      <c r="S486" s="6" t="s">
        <v>3083</v>
      </c>
      <c r="T486" s="6" t="s">
        <v>3084</v>
      </c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8">
        <v>200000</v>
      </c>
    </row>
    <row r="487" spans="1:48" ht="24" customHeight="1" x14ac:dyDescent="0.3">
      <c r="A487" s="6"/>
      <c r="B487" s="6" t="s">
        <v>65</v>
      </c>
      <c r="C487" s="6" t="s">
        <v>3078</v>
      </c>
      <c r="D487" s="6">
        <v>25281232</v>
      </c>
      <c r="E487" s="6" t="s">
        <v>3079</v>
      </c>
      <c r="F487" s="6" t="s">
        <v>3085</v>
      </c>
      <c r="G487" s="6">
        <v>53333</v>
      </c>
      <c r="H487" s="6" t="s">
        <v>3086</v>
      </c>
      <c r="I487" s="6" t="s">
        <v>3087</v>
      </c>
      <c r="J487" s="6" t="s">
        <v>3088</v>
      </c>
      <c r="K487" s="6">
        <v>721563861</v>
      </c>
      <c r="L487" s="6" t="s">
        <v>586</v>
      </c>
      <c r="M487" s="6" t="s">
        <v>134</v>
      </c>
      <c r="N487" s="6" t="s">
        <v>63</v>
      </c>
      <c r="O487" s="6" t="s">
        <v>1976</v>
      </c>
      <c r="P487" s="6"/>
      <c r="Q487" s="6" t="str">
        <f>VLOOKUP(G487,seznampsc!A:B,2,FALSE)</f>
        <v>Pardubice</v>
      </c>
      <c r="R487" s="6" t="str">
        <f>VLOOKUP(G487,seznampsc!A:C,3,FALSE)</f>
        <v>Pardubický kraj</v>
      </c>
      <c r="S487" s="6" t="s">
        <v>3089</v>
      </c>
      <c r="T487" s="6" t="s">
        <v>3090</v>
      </c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8">
        <v>200000</v>
      </c>
    </row>
    <row r="488" spans="1:48" ht="24" customHeight="1" x14ac:dyDescent="0.3">
      <c r="A488" s="6"/>
      <c r="B488" s="6" t="s">
        <v>65</v>
      </c>
      <c r="C488" s="6" t="s">
        <v>3091</v>
      </c>
      <c r="D488" s="6">
        <v>5109990</v>
      </c>
      <c r="E488" s="6" t="s">
        <v>3092</v>
      </c>
      <c r="F488" s="6" t="s">
        <v>3080</v>
      </c>
      <c r="G488" s="6">
        <v>50003</v>
      </c>
      <c r="H488" s="6" t="s">
        <v>330</v>
      </c>
      <c r="I488" s="6" t="s">
        <v>3093</v>
      </c>
      <c r="J488" s="6" t="s">
        <v>3094</v>
      </c>
      <c r="K488" s="6">
        <v>602490013</v>
      </c>
      <c r="L488" s="6" t="s">
        <v>586</v>
      </c>
      <c r="M488" s="6" t="s">
        <v>120</v>
      </c>
      <c r="N488" s="6" t="s">
        <v>63</v>
      </c>
      <c r="O488" s="6" t="s">
        <v>1976</v>
      </c>
      <c r="P488" s="6"/>
      <c r="Q488" s="6" t="str">
        <f>VLOOKUP(G488,seznampsc!A:B,2,FALSE)</f>
        <v>Hradec Králové</v>
      </c>
      <c r="R488" s="6" t="str">
        <f>VLOOKUP(G488,seznampsc!A:C,3,FALSE)</f>
        <v>Královéhradecký kraj</v>
      </c>
      <c r="S488" s="6" t="s">
        <v>3083</v>
      </c>
      <c r="T488" s="6" t="s">
        <v>3084</v>
      </c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6"/>
      <c r="AV488" s="8">
        <v>200000</v>
      </c>
    </row>
    <row r="489" spans="1:48" ht="24" customHeight="1" x14ac:dyDescent="0.3">
      <c r="A489" s="6" t="s">
        <v>53</v>
      </c>
      <c r="B489" s="6" t="s">
        <v>65</v>
      </c>
      <c r="C489" s="6" t="s">
        <v>3095</v>
      </c>
      <c r="D489" s="6">
        <v>61973785</v>
      </c>
      <c r="E489" s="6" t="s">
        <v>3096</v>
      </c>
      <c r="F489" s="6" t="s">
        <v>3097</v>
      </c>
      <c r="G489" s="6">
        <v>70900</v>
      </c>
      <c r="H489" s="6" t="s">
        <v>2426</v>
      </c>
      <c r="I489" s="6" t="s">
        <v>3098</v>
      </c>
      <c r="J489" s="6" t="s">
        <v>3099</v>
      </c>
      <c r="K489" s="6">
        <v>739522226</v>
      </c>
      <c r="L489" s="6" t="s">
        <v>73</v>
      </c>
      <c r="M489" s="6" t="s">
        <v>62</v>
      </c>
      <c r="N489" s="6" t="s">
        <v>63</v>
      </c>
      <c r="O489" s="6" t="s">
        <v>198</v>
      </c>
      <c r="P489" s="6"/>
      <c r="Q489" s="6" t="str">
        <f>VLOOKUP(G489,seznampsc!A:B,2,FALSE)</f>
        <v>Ostrava-město</v>
      </c>
      <c r="R489" s="6" t="str">
        <f>VLOOKUP(G489,seznampsc!A:C,3,FALSE)</f>
        <v>Moravskoslezský kraj</v>
      </c>
      <c r="S489" s="6" t="s">
        <v>3100</v>
      </c>
      <c r="T489" s="6" t="s">
        <v>3101</v>
      </c>
      <c r="U489" s="6"/>
      <c r="V489" s="6"/>
      <c r="W489" s="6"/>
      <c r="X489" s="6"/>
      <c r="Y489" s="6"/>
      <c r="Z489" s="6"/>
      <c r="AA489" s="6"/>
      <c r="AB489" s="6"/>
      <c r="AC489" s="6"/>
      <c r="AD489" s="6">
        <v>600</v>
      </c>
      <c r="AE489" s="6">
        <v>600</v>
      </c>
      <c r="AF489" s="6">
        <v>600</v>
      </c>
      <c r="AG489" s="6"/>
      <c r="AH489" s="6"/>
      <c r="AI489" s="6"/>
      <c r="AJ489" s="6">
        <v>107</v>
      </c>
      <c r="AK489" s="6">
        <v>107</v>
      </c>
      <c r="AL489" s="6"/>
      <c r="AM489" s="6"/>
      <c r="AN489" s="6"/>
      <c r="AO489" s="6"/>
      <c r="AP489" s="6">
        <v>3</v>
      </c>
      <c r="AQ489" s="6">
        <v>8</v>
      </c>
      <c r="AR489" s="6"/>
      <c r="AS489" s="6"/>
      <c r="AT489" s="6"/>
      <c r="AU489" s="6" t="s">
        <v>1386</v>
      </c>
      <c r="AV489" s="6">
        <v>100000</v>
      </c>
    </row>
    <row r="490" spans="1:48" ht="24" customHeight="1" x14ac:dyDescent="0.3">
      <c r="A490" s="6"/>
      <c r="B490" s="6" t="s">
        <v>65</v>
      </c>
      <c r="C490" s="6" t="s">
        <v>3102</v>
      </c>
      <c r="D490" s="6">
        <v>25489089</v>
      </c>
      <c r="E490" s="6" t="s">
        <v>3103</v>
      </c>
      <c r="F490" s="6" t="s">
        <v>3104</v>
      </c>
      <c r="G490" s="6">
        <v>43111</v>
      </c>
      <c r="H490" s="6" t="s">
        <v>3105</v>
      </c>
      <c r="I490" s="6" t="s">
        <v>3106</v>
      </c>
      <c r="J490" s="6" t="s">
        <v>3107</v>
      </c>
      <c r="K490" s="6">
        <v>777231464</v>
      </c>
      <c r="L490" s="6" t="s">
        <v>586</v>
      </c>
      <c r="M490" s="6" t="s">
        <v>134</v>
      </c>
      <c r="N490" s="6" t="s">
        <v>63</v>
      </c>
      <c r="O490" s="6" t="s">
        <v>1976</v>
      </c>
      <c r="P490" s="6"/>
      <c r="Q490" s="6" t="str">
        <f>VLOOKUP(G490,seznampsc!A:B,2,FALSE)</f>
        <v>Chomutov</v>
      </c>
      <c r="R490" s="6" t="str">
        <f>VLOOKUP(G490,seznampsc!A:C,3,FALSE)</f>
        <v>Ústecký kraj</v>
      </c>
      <c r="S490" s="6" t="s">
        <v>3108</v>
      </c>
      <c r="T490" s="6" t="s">
        <v>3109</v>
      </c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8">
        <v>200000</v>
      </c>
    </row>
    <row r="491" spans="1:48" ht="24" customHeight="1" x14ac:dyDescent="0.3">
      <c r="A491" s="6" t="s">
        <v>53</v>
      </c>
      <c r="B491" s="6" t="s">
        <v>65</v>
      </c>
      <c r="C491" s="6" t="s">
        <v>3110</v>
      </c>
      <c r="D491" s="6">
        <v>5427363</v>
      </c>
      <c r="E491" s="6" t="s">
        <v>3111</v>
      </c>
      <c r="F491" s="6" t="s">
        <v>3112</v>
      </c>
      <c r="G491" s="6">
        <v>36225</v>
      </c>
      <c r="H491" s="6" t="s">
        <v>2808</v>
      </c>
      <c r="I491" s="6" t="s">
        <v>3113</v>
      </c>
      <c r="J491" s="6" t="s">
        <v>3114</v>
      </c>
      <c r="K491" s="6">
        <v>739048009</v>
      </c>
      <c r="L491" s="6" t="s">
        <v>73</v>
      </c>
      <c r="M491" s="6" t="s">
        <v>62</v>
      </c>
      <c r="N491" s="6" t="s">
        <v>63</v>
      </c>
      <c r="O491" s="6" t="s">
        <v>198</v>
      </c>
      <c r="P491" s="6"/>
      <c r="Q491" s="6" t="str">
        <f>VLOOKUP(G491,seznampsc!A:B,2,FALSE)</f>
        <v>Karlovy Vary</v>
      </c>
      <c r="R491" s="6" t="str">
        <f>VLOOKUP(G491,seznampsc!A:C,3,FALSE)</f>
        <v>Karlovarský kraj</v>
      </c>
      <c r="S491" s="6" t="s">
        <v>3115</v>
      </c>
      <c r="T491" s="6" t="s">
        <v>3116</v>
      </c>
      <c r="U491" s="6"/>
      <c r="V491" s="6"/>
      <c r="W491" s="6"/>
      <c r="X491" s="6"/>
      <c r="Y491" s="6"/>
      <c r="Z491" s="6"/>
      <c r="AA491" s="6"/>
      <c r="AB491" s="6"/>
      <c r="AC491" s="6"/>
      <c r="AD491" s="6">
        <v>600</v>
      </c>
      <c r="AE491" s="6">
        <v>600</v>
      </c>
      <c r="AF491" s="6">
        <v>600</v>
      </c>
      <c r="AG491" s="6"/>
      <c r="AH491" s="6"/>
      <c r="AI491" s="6"/>
      <c r="AJ491" s="6">
        <v>107</v>
      </c>
      <c r="AK491" s="6">
        <v>107</v>
      </c>
      <c r="AL491" s="6"/>
      <c r="AM491" s="6"/>
      <c r="AN491" s="6"/>
      <c r="AO491" s="6"/>
      <c r="AP491" s="6">
        <v>2</v>
      </c>
      <c r="AQ491" s="6">
        <v>10</v>
      </c>
      <c r="AR491" s="6"/>
      <c r="AS491" s="6"/>
      <c r="AT491" s="6"/>
      <c r="AU491" s="6" t="s">
        <v>3117</v>
      </c>
      <c r="AV491" s="6">
        <v>100000</v>
      </c>
    </row>
    <row r="492" spans="1:48" ht="24" customHeight="1" x14ac:dyDescent="0.3">
      <c r="A492" s="6"/>
      <c r="B492" s="6" t="s">
        <v>65</v>
      </c>
      <c r="C492" s="6" t="s">
        <v>3118</v>
      </c>
      <c r="D492" s="6">
        <v>25689401</v>
      </c>
      <c r="E492" s="6" t="s">
        <v>3119</v>
      </c>
      <c r="F492" s="6" t="s">
        <v>3120</v>
      </c>
      <c r="G492" s="6">
        <v>15500</v>
      </c>
      <c r="H492" s="6" t="s">
        <v>2520</v>
      </c>
      <c r="I492" s="6" t="s">
        <v>3121</v>
      </c>
      <c r="J492" s="6" t="s">
        <v>3122</v>
      </c>
      <c r="K492" s="6">
        <v>739371588</v>
      </c>
      <c r="L492" s="6" t="s">
        <v>586</v>
      </c>
      <c r="M492" s="6" t="s">
        <v>120</v>
      </c>
      <c r="N492" s="6" t="s">
        <v>63</v>
      </c>
      <c r="O492" s="6" t="s">
        <v>1976</v>
      </c>
      <c r="P492" s="6"/>
      <c r="Q492" s="6" t="str">
        <f>VLOOKUP(G492,seznampsc!A:B,2,FALSE)</f>
        <v>Hlavní město Praha</v>
      </c>
      <c r="R492" s="6" t="str">
        <f>VLOOKUP(G492,seznampsc!A:C,3,FALSE)</f>
        <v>Hlavní město Praha</v>
      </c>
      <c r="S492" s="6" t="s">
        <v>3123</v>
      </c>
      <c r="T492" s="6" t="s">
        <v>3124</v>
      </c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  <c r="AV492" s="8">
        <v>200000</v>
      </c>
    </row>
    <row r="493" spans="1:48" ht="24" customHeight="1" x14ac:dyDescent="0.3">
      <c r="A493" s="6"/>
      <c r="B493" s="6" t="s">
        <v>65</v>
      </c>
      <c r="C493" s="6" t="s">
        <v>3125</v>
      </c>
      <c r="D493" s="6">
        <v>6048595</v>
      </c>
      <c r="E493" s="6" t="s">
        <v>3126</v>
      </c>
      <c r="F493" s="6" t="s">
        <v>3127</v>
      </c>
      <c r="G493" s="6">
        <v>70800</v>
      </c>
      <c r="H493" s="6" t="s">
        <v>1935</v>
      </c>
      <c r="I493" s="6" t="s">
        <v>3128</v>
      </c>
      <c r="J493" s="6" t="s">
        <v>3129</v>
      </c>
      <c r="K493" s="6">
        <v>601207009</v>
      </c>
      <c r="L493" s="6" t="s">
        <v>586</v>
      </c>
      <c r="M493" s="6" t="s">
        <v>2074</v>
      </c>
      <c r="N493" s="6" t="s">
        <v>63</v>
      </c>
      <c r="O493" s="6" t="s">
        <v>1976</v>
      </c>
      <c r="P493" s="6"/>
      <c r="Q493" s="6" t="str">
        <f>VLOOKUP(G493,seznampsc!A:B,2,FALSE)</f>
        <v>Ostrava-město</v>
      </c>
      <c r="R493" s="6" t="str">
        <f>VLOOKUP(G493,seznampsc!A:C,3,FALSE)</f>
        <v>Moravskoslezský kraj</v>
      </c>
      <c r="S493" s="6" t="s">
        <v>3130</v>
      </c>
      <c r="T493" s="6" t="s">
        <v>3131</v>
      </c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6"/>
      <c r="AV493" s="8">
        <v>200000</v>
      </c>
    </row>
    <row r="494" spans="1:48" ht="24" customHeight="1" x14ac:dyDescent="0.3">
      <c r="A494" s="6"/>
      <c r="B494" s="6" t="s">
        <v>65</v>
      </c>
      <c r="C494" s="6" t="s">
        <v>3132</v>
      </c>
      <c r="D494" s="6">
        <v>45801924</v>
      </c>
      <c r="E494" s="6" t="s">
        <v>3133</v>
      </c>
      <c r="F494" s="6" t="s">
        <v>3134</v>
      </c>
      <c r="G494" s="6">
        <v>25170</v>
      </c>
      <c r="H494" s="6" t="s">
        <v>3135</v>
      </c>
      <c r="I494" s="6" t="s">
        <v>3136</v>
      </c>
      <c r="J494" s="6" t="s">
        <v>3137</v>
      </c>
      <c r="K494" s="6">
        <v>736199574</v>
      </c>
      <c r="L494" s="6" t="s">
        <v>586</v>
      </c>
      <c r="M494" s="6" t="s">
        <v>2920</v>
      </c>
      <c r="N494" s="6" t="s">
        <v>63</v>
      </c>
      <c r="O494" s="6" t="s">
        <v>1976</v>
      </c>
      <c r="P494" s="6"/>
      <c r="Q494" s="6" t="str">
        <f>VLOOKUP(G494,seznampsc!A:B,2,FALSE)</f>
        <v>Praha-východ</v>
      </c>
      <c r="R494" s="6" t="str">
        <f>VLOOKUP(G494,seznampsc!A:C,3,FALSE)</f>
        <v>Středočeský kraj</v>
      </c>
      <c r="S494" s="6" t="s">
        <v>3138</v>
      </c>
      <c r="T494" s="6" t="s">
        <v>3139</v>
      </c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6"/>
      <c r="AV494" s="8">
        <v>200000</v>
      </c>
    </row>
    <row r="495" spans="1:48" ht="24" customHeight="1" x14ac:dyDescent="0.3">
      <c r="A495" s="6"/>
      <c r="B495" s="6" t="s">
        <v>65</v>
      </c>
      <c r="C495" s="6" t="s">
        <v>3132</v>
      </c>
      <c r="D495" s="6">
        <v>45801924</v>
      </c>
      <c r="E495" s="6" t="s">
        <v>3133</v>
      </c>
      <c r="F495" s="6" t="s">
        <v>3140</v>
      </c>
      <c r="G495" s="6">
        <v>14700</v>
      </c>
      <c r="H495" s="6" t="s">
        <v>1312</v>
      </c>
      <c r="I495" s="6" t="s">
        <v>3141</v>
      </c>
      <c r="J495" s="6" t="s">
        <v>3142</v>
      </c>
      <c r="K495" s="6">
        <v>731610362</v>
      </c>
      <c r="L495" s="6" t="s">
        <v>586</v>
      </c>
      <c r="M495" s="6" t="s">
        <v>2920</v>
      </c>
      <c r="N495" s="6" t="s">
        <v>63</v>
      </c>
      <c r="O495" s="6" t="s">
        <v>1976</v>
      </c>
      <c r="P495" s="6"/>
      <c r="Q495" s="6" t="str">
        <f>VLOOKUP(G495,seznampsc!A:B,2,FALSE)</f>
        <v>Hlavní město Praha</v>
      </c>
      <c r="R495" s="6" t="str">
        <f>VLOOKUP(G495,seznampsc!A:C,3,FALSE)</f>
        <v>Hlavní město Praha</v>
      </c>
      <c r="S495" s="6" t="s">
        <v>3143</v>
      </c>
      <c r="T495" s="6" t="s">
        <v>3144</v>
      </c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6"/>
      <c r="AV495" s="8">
        <v>200000</v>
      </c>
    </row>
    <row r="496" spans="1:48" ht="24" customHeight="1" x14ac:dyDescent="0.3">
      <c r="A496" s="6"/>
      <c r="B496" s="6" t="s">
        <v>65</v>
      </c>
      <c r="C496" s="6" t="s">
        <v>3132</v>
      </c>
      <c r="D496" s="6">
        <v>45801924</v>
      </c>
      <c r="E496" s="6" t="s">
        <v>3145</v>
      </c>
      <c r="F496" s="6" t="s">
        <v>3146</v>
      </c>
      <c r="G496" s="6">
        <v>25101</v>
      </c>
      <c r="H496" s="6" t="s">
        <v>3135</v>
      </c>
      <c r="I496" s="6" t="s">
        <v>3147</v>
      </c>
      <c r="J496" s="6" t="s">
        <v>3148</v>
      </c>
      <c r="K496" s="6">
        <v>775897336</v>
      </c>
      <c r="L496" s="6" t="s">
        <v>586</v>
      </c>
      <c r="M496" s="6" t="s">
        <v>3149</v>
      </c>
      <c r="N496" s="6" t="s">
        <v>63</v>
      </c>
      <c r="O496" s="6" t="s">
        <v>1976</v>
      </c>
      <c r="P496" s="6"/>
      <c r="Q496" s="6" t="str">
        <f>VLOOKUP(G496,seznampsc!A:B,2,FALSE)</f>
        <v>Praha-východ</v>
      </c>
      <c r="R496" s="6" t="str">
        <f>VLOOKUP(G496,seznampsc!A:C,3,FALSE)</f>
        <v>Středočeský kraj</v>
      </c>
      <c r="S496" s="6" t="s">
        <v>3150</v>
      </c>
      <c r="T496" s="6" t="s">
        <v>3151</v>
      </c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6"/>
      <c r="AV496" s="8">
        <v>200000</v>
      </c>
    </row>
    <row r="497" spans="1:48" ht="24" customHeight="1" x14ac:dyDescent="0.3">
      <c r="A497" s="6"/>
      <c r="B497" s="6" t="s">
        <v>65</v>
      </c>
      <c r="C497" s="6" t="s">
        <v>3132</v>
      </c>
      <c r="D497" s="6">
        <v>45801924</v>
      </c>
      <c r="E497" s="6" t="s">
        <v>3133</v>
      </c>
      <c r="F497" s="6" t="s">
        <v>3152</v>
      </c>
      <c r="G497" s="6">
        <v>25101</v>
      </c>
      <c r="H497" s="6" t="s">
        <v>3135</v>
      </c>
      <c r="I497" s="6" t="s">
        <v>3153</v>
      </c>
      <c r="J497" s="6" t="s">
        <v>3154</v>
      </c>
      <c r="K497" s="6">
        <v>737253664</v>
      </c>
      <c r="L497" s="6" t="s">
        <v>586</v>
      </c>
      <c r="M497" s="6" t="s">
        <v>3155</v>
      </c>
      <c r="N497" s="6" t="s">
        <v>63</v>
      </c>
      <c r="O497" s="6" t="s">
        <v>1976</v>
      </c>
      <c r="P497" s="6"/>
      <c r="Q497" s="6" t="str">
        <f>VLOOKUP(G497,seznampsc!A:B,2,FALSE)</f>
        <v>Praha-východ</v>
      </c>
      <c r="R497" s="6" t="str">
        <f>VLOOKUP(G497,seznampsc!A:C,3,FALSE)</f>
        <v>Středočeský kraj</v>
      </c>
      <c r="S497" s="6" t="s">
        <v>3156</v>
      </c>
      <c r="T497" s="6" t="s">
        <v>3157</v>
      </c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  <c r="AU497" s="6"/>
      <c r="AV497" s="8">
        <v>200000</v>
      </c>
    </row>
    <row r="498" spans="1:48" ht="24" customHeight="1" x14ac:dyDescent="0.3">
      <c r="A498" s="6" t="s">
        <v>53</v>
      </c>
      <c r="B498" s="6" t="s">
        <v>65</v>
      </c>
      <c r="C498" s="6" t="s">
        <v>3158</v>
      </c>
      <c r="D498" s="6">
        <v>28135903</v>
      </c>
      <c r="E498" s="6" t="s">
        <v>3159</v>
      </c>
      <c r="F498" s="6" t="s">
        <v>3160</v>
      </c>
      <c r="G498" s="6">
        <v>39301</v>
      </c>
      <c r="H498" s="6" t="s">
        <v>3161</v>
      </c>
      <c r="I498" s="6" t="s">
        <v>3162</v>
      </c>
      <c r="J498" s="7" t="s">
        <v>1097</v>
      </c>
      <c r="K498" s="6">
        <v>725111500</v>
      </c>
      <c r="L498" s="6" t="s">
        <v>73</v>
      </c>
      <c r="M498" s="6" t="s">
        <v>62</v>
      </c>
      <c r="N498" s="6" t="s">
        <v>63</v>
      </c>
      <c r="O498" s="6" t="s">
        <v>1234</v>
      </c>
      <c r="P498" s="31" t="s">
        <v>3163</v>
      </c>
      <c r="Q498" s="6" t="str">
        <f>VLOOKUP(G498,seznampsc!A:B,2,FALSE)</f>
        <v>Pelhřimov</v>
      </c>
      <c r="R498" s="6" t="str">
        <f>VLOOKUP(G498,seznampsc!A:C,3,FALSE)</f>
        <v>Kraj Vysočina</v>
      </c>
      <c r="S498" s="6" t="s">
        <v>3164</v>
      </c>
      <c r="T498" s="6" t="s">
        <v>3165</v>
      </c>
      <c r="U498" s="6"/>
      <c r="V498" s="6"/>
      <c r="W498" s="6"/>
      <c r="X498" s="6"/>
      <c r="Y498" s="6"/>
      <c r="Z498" s="6"/>
      <c r="AA498" s="6"/>
      <c r="AB498" s="6"/>
      <c r="AC498" s="6"/>
      <c r="AD498" s="6">
        <v>700</v>
      </c>
      <c r="AE498" s="6">
        <v>700</v>
      </c>
      <c r="AF498" s="6">
        <v>700</v>
      </c>
      <c r="AG498" s="6"/>
      <c r="AH498" s="6"/>
      <c r="AI498" s="6"/>
      <c r="AJ498" s="6">
        <v>107</v>
      </c>
      <c r="AK498" s="6">
        <v>107</v>
      </c>
      <c r="AL498" s="6"/>
      <c r="AM498" s="6"/>
      <c r="AN498" s="6"/>
      <c r="AO498" s="6"/>
      <c r="AP498" s="6">
        <v>3</v>
      </c>
      <c r="AQ498" s="6">
        <v>10</v>
      </c>
      <c r="AR498" s="6"/>
      <c r="AS498" s="6"/>
      <c r="AT498" s="6"/>
      <c r="AU498" s="6" t="s">
        <v>1386</v>
      </c>
      <c r="AV498" s="6">
        <v>100000</v>
      </c>
    </row>
    <row r="499" spans="1:48" ht="24" customHeight="1" x14ac:dyDescent="0.3">
      <c r="A499" s="6" t="s">
        <v>53</v>
      </c>
      <c r="B499" s="6" t="s">
        <v>65</v>
      </c>
      <c r="C499" s="6" t="s">
        <v>3166</v>
      </c>
      <c r="D499" s="6">
        <v>69887675</v>
      </c>
      <c r="E499" s="6" t="s">
        <v>3167</v>
      </c>
      <c r="F499" s="6" t="s">
        <v>3168</v>
      </c>
      <c r="G499" s="6">
        <v>50311</v>
      </c>
      <c r="H499" s="6" t="s">
        <v>3169</v>
      </c>
      <c r="I499" s="6" t="s">
        <v>3170</v>
      </c>
      <c r="J499" s="6" t="s">
        <v>3171</v>
      </c>
      <c r="K499" s="6">
        <v>777801660</v>
      </c>
      <c r="L499" s="6" t="s">
        <v>73</v>
      </c>
      <c r="M499" s="6" t="s">
        <v>62</v>
      </c>
      <c r="N499" s="6" t="s">
        <v>63</v>
      </c>
      <c r="O499" s="6" t="s">
        <v>198</v>
      </c>
      <c r="P499" s="6"/>
      <c r="Q499" s="6" t="str">
        <f>VLOOKUP(G499,seznampsc!A:B,2,FALSE)</f>
        <v>Hradec Králové</v>
      </c>
      <c r="R499" s="6" t="str">
        <f>VLOOKUP(G499,seznampsc!A:C,3,FALSE)</f>
        <v>Královéhradecký kraj</v>
      </c>
      <c r="S499" s="6" t="s">
        <v>3172</v>
      </c>
      <c r="T499" s="6" t="s">
        <v>3173</v>
      </c>
      <c r="U499" s="6"/>
      <c r="V499" s="6"/>
      <c r="W499" s="6"/>
      <c r="X499" s="6"/>
      <c r="Y499" s="6"/>
      <c r="Z499" s="6"/>
      <c r="AA499" s="6"/>
      <c r="AB499" s="6"/>
      <c r="AC499" s="6"/>
      <c r="AD499" s="6">
        <v>700</v>
      </c>
      <c r="AE499" s="6">
        <v>700</v>
      </c>
      <c r="AF499" s="6">
        <v>700</v>
      </c>
      <c r="AG499" s="6"/>
      <c r="AH499" s="6"/>
      <c r="AI499" s="6"/>
      <c r="AJ499" s="6">
        <v>107</v>
      </c>
      <c r="AK499" s="6">
        <v>107</v>
      </c>
      <c r="AL499" s="6"/>
      <c r="AM499" s="6"/>
      <c r="AN499" s="6"/>
      <c r="AO499" s="6"/>
      <c r="AP499" s="6"/>
      <c r="AQ499" s="6">
        <v>10</v>
      </c>
      <c r="AR499" s="6" t="s">
        <v>199</v>
      </c>
      <c r="AS499" s="6"/>
      <c r="AT499" s="6"/>
      <c r="AU499" s="6" t="s">
        <v>2804</v>
      </c>
      <c r="AV499" s="6">
        <v>100000</v>
      </c>
    </row>
    <row r="500" spans="1:48" ht="24" customHeight="1" x14ac:dyDescent="0.3">
      <c r="A500" s="6" t="s">
        <v>53</v>
      </c>
      <c r="B500" s="6" t="s">
        <v>65</v>
      </c>
      <c r="C500" s="6" t="s">
        <v>3174</v>
      </c>
      <c r="D500" s="6">
        <v>27496601</v>
      </c>
      <c r="E500" s="6" t="s">
        <v>3175</v>
      </c>
      <c r="F500" s="6" t="s">
        <v>3176</v>
      </c>
      <c r="G500" s="6">
        <v>51741</v>
      </c>
      <c r="H500" s="6" t="s">
        <v>3177</v>
      </c>
      <c r="I500" s="6" t="s">
        <v>3178</v>
      </c>
      <c r="J500" s="6" t="s">
        <v>3179</v>
      </c>
      <c r="K500" s="6" t="s">
        <v>3180</v>
      </c>
      <c r="L500" s="6" t="s">
        <v>73</v>
      </c>
      <c r="M500" s="6" t="s">
        <v>62</v>
      </c>
      <c r="N500" s="6" t="s">
        <v>63</v>
      </c>
      <c r="O500" s="6" t="s">
        <v>198</v>
      </c>
      <c r="P500" s="6"/>
      <c r="Q500" s="6" t="str">
        <f>VLOOKUP(G500,seznampsc!A:B,2,FALSE)</f>
        <v>Rychnov nad Kněžnou</v>
      </c>
      <c r="R500" s="6" t="str">
        <f>VLOOKUP(G500,seznampsc!A:C,3,FALSE)</f>
        <v>Královéhradecký kraj</v>
      </c>
      <c r="S500" s="6" t="s">
        <v>3181</v>
      </c>
      <c r="T500" s="6" t="s">
        <v>3182</v>
      </c>
      <c r="U500" s="6"/>
      <c r="V500" s="6"/>
      <c r="W500" s="6"/>
      <c r="X500" s="6"/>
      <c r="Y500" s="6"/>
      <c r="Z500" s="6"/>
      <c r="AA500" s="6"/>
      <c r="AB500" s="6"/>
      <c r="AC500" s="6"/>
      <c r="AD500" s="6">
        <v>455</v>
      </c>
      <c r="AE500" s="6">
        <v>455</v>
      </c>
      <c r="AF500" s="6">
        <v>455</v>
      </c>
      <c r="AG500" s="6"/>
      <c r="AH500" s="6"/>
      <c r="AI500" s="6"/>
      <c r="AJ500" s="6">
        <v>107</v>
      </c>
      <c r="AK500" s="6"/>
      <c r="AL500" s="6"/>
      <c r="AM500" s="6"/>
      <c r="AN500" s="6"/>
      <c r="AO500" s="6"/>
      <c r="AP500" s="6">
        <v>5</v>
      </c>
      <c r="AQ500" s="6">
        <v>10</v>
      </c>
      <c r="AR500" s="6"/>
      <c r="AS500" s="6"/>
      <c r="AT500" s="6"/>
      <c r="AU500" s="6" t="s">
        <v>2804</v>
      </c>
      <c r="AV500" s="8">
        <v>100000</v>
      </c>
    </row>
    <row r="501" spans="1:48" ht="24" customHeight="1" x14ac:dyDescent="0.3">
      <c r="B501" s="6" t="s">
        <v>65</v>
      </c>
      <c r="C501" s="6" t="s">
        <v>3183</v>
      </c>
      <c r="D501" s="6">
        <v>25113429</v>
      </c>
      <c r="E501" s="6" t="s">
        <v>3184</v>
      </c>
      <c r="F501" s="6" t="s">
        <v>3185</v>
      </c>
      <c r="G501" s="6">
        <v>25243</v>
      </c>
      <c r="H501" s="6" t="s">
        <v>3186</v>
      </c>
      <c r="I501" s="6" t="s">
        <v>3187</v>
      </c>
      <c r="J501" s="6" t="s">
        <v>3188</v>
      </c>
      <c r="K501" s="6">
        <v>607822600</v>
      </c>
      <c r="L501" s="6" t="s">
        <v>586</v>
      </c>
      <c r="M501" s="6" t="s">
        <v>3189</v>
      </c>
      <c r="N501" s="6" t="s">
        <v>63</v>
      </c>
      <c r="O501" s="6" t="s">
        <v>198</v>
      </c>
      <c r="P501" s="6"/>
      <c r="Q501" s="6" t="str">
        <f>VLOOKUP(G501,seznampsc!A:B,2,FALSE)</f>
        <v>Praha-východ</v>
      </c>
      <c r="R501" s="6" t="str">
        <f>VLOOKUP(G501,seznampsc!A:C,3,FALSE)</f>
        <v>Středočeský kraj</v>
      </c>
      <c r="S501" s="6" t="s">
        <v>3190</v>
      </c>
      <c r="T501" s="6" t="s">
        <v>3191</v>
      </c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  <c r="AS501" s="6"/>
      <c r="AT501" s="6"/>
      <c r="AU501" s="6" t="s">
        <v>3192</v>
      </c>
      <c r="AV501" s="8">
        <v>200000</v>
      </c>
    </row>
    <row r="502" spans="1:48" ht="24" customHeight="1" x14ac:dyDescent="0.3">
      <c r="A502" s="6"/>
      <c r="B502" s="6" t="s">
        <v>65</v>
      </c>
      <c r="C502" s="6" t="s">
        <v>3183</v>
      </c>
      <c r="D502" s="6">
        <v>25113429</v>
      </c>
      <c r="E502" s="6" t="s">
        <v>3184</v>
      </c>
      <c r="F502" s="6" t="s">
        <v>3185</v>
      </c>
      <c r="G502" s="6">
        <v>25243</v>
      </c>
      <c r="H502" s="6" t="s">
        <v>3186</v>
      </c>
      <c r="I502" s="6" t="s">
        <v>3187</v>
      </c>
      <c r="J502" s="6" t="s">
        <v>3188</v>
      </c>
      <c r="K502" s="6">
        <v>607822600</v>
      </c>
      <c r="L502" s="6" t="s">
        <v>73</v>
      </c>
      <c r="M502" s="6" t="s">
        <v>3193</v>
      </c>
      <c r="N502" s="6" t="s">
        <v>63</v>
      </c>
      <c r="O502" s="6" t="s">
        <v>198</v>
      </c>
      <c r="P502" s="6"/>
      <c r="Q502" s="6" t="str">
        <f>VLOOKUP(G502,seznampsc!A:B,2,FALSE)</f>
        <v>Praha-východ</v>
      </c>
      <c r="R502" s="6" t="str">
        <f>VLOOKUP(G502,seznampsc!A:C,3,FALSE)</f>
        <v>Středočeský kraj</v>
      </c>
      <c r="S502" s="6" t="s">
        <v>3190</v>
      </c>
      <c r="T502" s="6" t="s">
        <v>3191</v>
      </c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6"/>
      <c r="AU502" s="6" t="s">
        <v>3194</v>
      </c>
      <c r="AV502" s="6" t="s">
        <v>1386</v>
      </c>
    </row>
    <row r="503" spans="1:48" ht="24" customHeight="1" x14ac:dyDescent="0.3">
      <c r="A503" s="6" t="s">
        <v>53</v>
      </c>
      <c r="B503" s="6" t="s">
        <v>65</v>
      </c>
      <c r="C503" s="6" t="s">
        <v>3195</v>
      </c>
      <c r="D503" s="6">
        <v>26313804</v>
      </c>
      <c r="E503" s="6" t="s">
        <v>3196</v>
      </c>
      <c r="F503" s="6" t="s">
        <v>3197</v>
      </c>
      <c r="G503" s="6">
        <v>68201</v>
      </c>
      <c r="H503" s="6" t="s">
        <v>3198</v>
      </c>
      <c r="I503" s="6" t="s">
        <v>3199</v>
      </c>
      <c r="J503" s="7" t="s">
        <v>3200</v>
      </c>
      <c r="K503" s="8">
        <v>775798010</v>
      </c>
      <c r="L503" s="6" t="s">
        <v>73</v>
      </c>
      <c r="M503" s="6" t="s">
        <v>62</v>
      </c>
      <c r="N503" s="6" t="s">
        <v>63</v>
      </c>
      <c r="O503" s="6" t="s">
        <v>804</v>
      </c>
      <c r="P503" s="6"/>
      <c r="Q503" s="6" t="str">
        <f>VLOOKUP(G503,seznampsc!A:B,2,FALSE)</f>
        <v>Vyškov</v>
      </c>
      <c r="R503" s="6" t="str">
        <f>VLOOKUP(G503,seznampsc!A:C,3,FALSE)</f>
        <v>Jihomoravský kraj</v>
      </c>
      <c r="S503" s="6" t="s">
        <v>3201</v>
      </c>
      <c r="T503" s="6" t="s">
        <v>3202</v>
      </c>
      <c r="U503" s="6"/>
      <c r="V503" s="6"/>
      <c r="W503" s="6"/>
      <c r="X503" s="6"/>
      <c r="Y503" s="6"/>
      <c r="Z503" s="6"/>
      <c r="AA503" s="6"/>
      <c r="AB503" s="6"/>
      <c r="AC503" s="6"/>
      <c r="AD503" s="6">
        <v>600</v>
      </c>
      <c r="AE503" s="6">
        <v>650</v>
      </c>
      <c r="AF503" s="6">
        <v>650</v>
      </c>
      <c r="AG503" s="6"/>
      <c r="AH503" s="6"/>
      <c r="AI503" s="6"/>
      <c r="AJ503" s="6">
        <v>107</v>
      </c>
      <c r="AK503" s="6">
        <v>107</v>
      </c>
      <c r="AL503" s="6"/>
      <c r="AM503" s="6"/>
      <c r="AN503" s="6"/>
      <c r="AO503" s="6"/>
      <c r="AP503" s="6"/>
      <c r="AQ503" s="6">
        <v>5</v>
      </c>
      <c r="AR503" s="6"/>
      <c r="AS503" s="6">
        <v>40</v>
      </c>
      <c r="AT503" s="6"/>
      <c r="AU503" s="6" t="s">
        <v>1386</v>
      </c>
      <c r="AV503" s="6">
        <v>100000</v>
      </c>
    </row>
    <row r="504" spans="1:48" ht="24" customHeight="1" x14ac:dyDescent="0.3">
      <c r="B504" s="6" t="s">
        <v>65</v>
      </c>
      <c r="C504" s="6" t="s">
        <v>3203</v>
      </c>
      <c r="D504" s="6">
        <v>25511611</v>
      </c>
      <c r="E504" s="6" t="s">
        <v>3204</v>
      </c>
      <c r="F504" s="6" t="s">
        <v>3205</v>
      </c>
      <c r="G504" s="6">
        <v>68201</v>
      </c>
      <c r="H504" s="6" t="s">
        <v>3198</v>
      </c>
      <c r="I504" s="6" t="s">
        <v>3206</v>
      </c>
      <c r="J504" s="6" t="s">
        <v>3207</v>
      </c>
      <c r="K504" s="6">
        <v>517342882</v>
      </c>
      <c r="L504" s="6" t="s">
        <v>586</v>
      </c>
      <c r="M504" s="6" t="s">
        <v>84</v>
      </c>
      <c r="N504" s="6" t="s">
        <v>63</v>
      </c>
      <c r="O504" s="6" t="s">
        <v>198</v>
      </c>
      <c r="P504" s="6"/>
      <c r="Q504" s="6" t="str">
        <f>VLOOKUP(G504,seznampsc!A:B,2,FALSE)</f>
        <v>Vyškov</v>
      </c>
      <c r="R504" s="6" t="str">
        <f>VLOOKUP(G504,seznampsc!A:C,3,FALSE)</f>
        <v>Jihomoravský kraj</v>
      </c>
      <c r="S504" s="6" t="s">
        <v>3208</v>
      </c>
      <c r="T504" s="6" t="s">
        <v>3209</v>
      </c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T504" s="6"/>
      <c r="AU504" s="6"/>
      <c r="AV504" s="8">
        <v>200000</v>
      </c>
    </row>
    <row r="505" spans="1:48" ht="24" customHeight="1" x14ac:dyDescent="0.3">
      <c r="B505" s="6" t="s">
        <v>65</v>
      </c>
      <c r="C505" s="6" t="s">
        <v>3210</v>
      </c>
      <c r="D505" s="6">
        <v>26774666</v>
      </c>
      <c r="E505" s="6" t="s">
        <v>3211</v>
      </c>
      <c r="F505" s="6" t="s">
        <v>3212</v>
      </c>
      <c r="G505" s="6">
        <v>25101</v>
      </c>
      <c r="H505" s="6" t="s">
        <v>3213</v>
      </c>
      <c r="I505" s="6" t="s">
        <v>3214</v>
      </c>
      <c r="J505" s="6" t="s">
        <v>3215</v>
      </c>
      <c r="K505" s="6">
        <v>606539769</v>
      </c>
      <c r="L505" s="6" t="s">
        <v>586</v>
      </c>
      <c r="M505" s="6" t="s">
        <v>830</v>
      </c>
      <c r="N505" s="6" t="s">
        <v>63</v>
      </c>
      <c r="O505" s="6" t="s">
        <v>1976</v>
      </c>
      <c r="P505" s="6"/>
      <c r="Q505" s="6" t="str">
        <f>VLOOKUP(G505,seznampsc!A:B,2,FALSE)</f>
        <v>Praha-východ</v>
      </c>
      <c r="R505" s="6" t="str">
        <f>VLOOKUP(G505,seznampsc!A:C,3,FALSE)</f>
        <v>Středočeský kraj</v>
      </c>
      <c r="S505" s="6" t="s">
        <v>3216</v>
      </c>
      <c r="T505" s="6" t="s">
        <v>3217</v>
      </c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/>
      <c r="AS505" s="6"/>
      <c r="AT505" s="6"/>
      <c r="AU505" s="6"/>
      <c r="AV505" s="8"/>
    </row>
    <row r="506" spans="1:48" ht="24" customHeight="1" x14ac:dyDescent="0.3">
      <c r="A506" s="6" t="s">
        <v>53</v>
      </c>
      <c r="B506" s="6" t="s">
        <v>65</v>
      </c>
      <c r="C506" s="6" t="s">
        <v>3218</v>
      </c>
      <c r="D506" s="6">
        <v>11829800</v>
      </c>
      <c r="E506" s="6" t="s">
        <v>3219</v>
      </c>
      <c r="F506" s="6" t="s">
        <v>245</v>
      </c>
      <c r="G506" s="6">
        <v>10000</v>
      </c>
      <c r="H506" s="6" t="s">
        <v>3220</v>
      </c>
      <c r="I506" s="6" t="s">
        <v>3221</v>
      </c>
      <c r="J506" s="6" t="s">
        <v>3222</v>
      </c>
      <c r="K506" s="6" t="s">
        <v>3223</v>
      </c>
      <c r="L506" s="6" t="s">
        <v>73</v>
      </c>
      <c r="M506" s="6" t="s">
        <v>62</v>
      </c>
      <c r="N506" s="6" t="s">
        <v>63</v>
      </c>
      <c r="O506" s="6" t="s">
        <v>198</v>
      </c>
      <c r="P506" s="6"/>
      <c r="Q506" s="6" t="str">
        <f>VLOOKUP(G506,seznampsc!A:B,2,FALSE)</f>
        <v>Hlavní město Praha</v>
      </c>
      <c r="R506" s="6" t="str">
        <f>VLOOKUP(G506,seznampsc!A:C,3,FALSE)</f>
        <v>Hlavní město Praha</v>
      </c>
      <c r="S506" s="6" t="s">
        <v>3224</v>
      </c>
      <c r="T506" s="6" t="s">
        <v>3225</v>
      </c>
      <c r="U506" s="6"/>
      <c r="V506" s="6"/>
      <c r="W506" s="6"/>
      <c r="X506" s="6"/>
      <c r="Y506" s="6"/>
      <c r="Z506" s="6"/>
      <c r="AA506" s="6"/>
      <c r="AB506" s="6"/>
      <c r="AC506" s="6"/>
      <c r="AD506" s="6">
        <v>730</v>
      </c>
      <c r="AE506" s="6">
        <v>750</v>
      </c>
      <c r="AF506" s="6">
        <v>750</v>
      </c>
      <c r="AG506" s="6"/>
      <c r="AH506" s="6"/>
      <c r="AI506" s="6"/>
      <c r="AJ506" s="6">
        <v>107</v>
      </c>
      <c r="AK506" s="6">
        <v>107</v>
      </c>
      <c r="AL506" s="6"/>
      <c r="AM506" s="6"/>
      <c r="AN506" s="6"/>
      <c r="AO506" s="6"/>
      <c r="AP506" s="33" t="s">
        <v>199</v>
      </c>
      <c r="AQ506" s="6">
        <v>10</v>
      </c>
      <c r="AR506" s="6"/>
      <c r="AS506" s="6"/>
      <c r="AT506" s="6"/>
      <c r="AU506" s="6" t="s">
        <v>1386</v>
      </c>
      <c r="AV506" s="6">
        <v>100000</v>
      </c>
    </row>
    <row r="507" spans="1:48" ht="24" customHeight="1" x14ac:dyDescent="0.3">
      <c r="A507" s="6" t="s">
        <v>53</v>
      </c>
      <c r="B507" s="6" t="s">
        <v>65</v>
      </c>
      <c r="C507" s="6" t="s">
        <v>3226</v>
      </c>
      <c r="D507" s="6">
        <v>1637673</v>
      </c>
      <c r="E507" s="6" t="s">
        <v>3227</v>
      </c>
      <c r="F507" s="6" t="s">
        <v>3228</v>
      </c>
      <c r="G507" s="6">
        <v>75002</v>
      </c>
      <c r="H507" s="6" t="s">
        <v>3229</v>
      </c>
      <c r="I507" s="6" t="s">
        <v>3230</v>
      </c>
      <c r="J507" s="6" t="s">
        <v>3231</v>
      </c>
      <c r="K507" s="6">
        <v>733413414</v>
      </c>
      <c r="L507" s="6" t="s">
        <v>73</v>
      </c>
      <c r="M507" s="6" t="s">
        <v>62</v>
      </c>
      <c r="N507" s="6" t="s">
        <v>63</v>
      </c>
      <c r="O507" s="6" t="s">
        <v>198</v>
      </c>
      <c r="P507" s="6"/>
      <c r="Q507" s="6" t="str">
        <f>VLOOKUP(G507,seznampsc!A:B,2,FALSE)</f>
        <v>Přerov</v>
      </c>
      <c r="R507" s="6" t="str">
        <f>VLOOKUP(G507,seznampsc!A:C,3,FALSE)</f>
        <v>Olomoucký kraj</v>
      </c>
      <c r="S507" s="6" t="s">
        <v>3232</v>
      </c>
      <c r="T507" s="6" t="s">
        <v>3233</v>
      </c>
      <c r="U507" s="6"/>
      <c r="V507" s="6"/>
      <c r="W507" s="6"/>
      <c r="X507" s="6"/>
      <c r="Y507" s="6"/>
      <c r="Z507" s="6"/>
      <c r="AA507" s="6"/>
      <c r="AB507" s="6"/>
      <c r="AC507" s="6"/>
      <c r="AD507" s="6">
        <v>550</v>
      </c>
      <c r="AE507" s="6">
        <v>600</v>
      </c>
      <c r="AF507" s="6">
        <v>600</v>
      </c>
      <c r="AG507" s="6"/>
      <c r="AH507" s="6"/>
      <c r="AI507" s="6"/>
      <c r="AJ507" s="6">
        <v>107</v>
      </c>
      <c r="AK507" s="6">
        <v>107</v>
      </c>
      <c r="AL507" s="6"/>
      <c r="AM507" s="6"/>
      <c r="AN507" s="6"/>
      <c r="AO507" s="6"/>
      <c r="AP507" s="6" t="s">
        <v>199</v>
      </c>
      <c r="AQ507" s="6" t="s">
        <v>3234</v>
      </c>
      <c r="AR507" s="6"/>
      <c r="AS507" s="6"/>
      <c r="AT507" s="6"/>
      <c r="AU507" s="6" t="s">
        <v>1386</v>
      </c>
      <c r="AV507" s="6">
        <v>100000</v>
      </c>
    </row>
    <row r="508" spans="1:48" ht="24" customHeight="1" x14ac:dyDescent="0.3">
      <c r="A508" s="6" t="s">
        <v>53</v>
      </c>
      <c r="B508" s="6" t="s">
        <v>65</v>
      </c>
      <c r="C508" s="6" t="s">
        <v>3235</v>
      </c>
      <c r="D508" s="6">
        <v>6541062</v>
      </c>
      <c r="E508" s="6" t="s">
        <v>3236</v>
      </c>
      <c r="F508" s="6" t="s">
        <v>3237</v>
      </c>
      <c r="G508" s="6">
        <v>36004</v>
      </c>
      <c r="H508" s="6" t="s">
        <v>1408</v>
      </c>
      <c r="I508" s="6" t="s">
        <v>3238</v>
      </c>
      <c r="J508" s="6" t="s">
        <v>3239</v>
      </c>
      <c r="K508" s="6">
        <v>778711156</v>
      </c>
      <c r="L508" s="6" t="s">
        <v>73</v>
      </c>
      <c r="M508" s="6" t="s">
        <v>62</v>
      </c>
      <c r="N508" s="6" t="s">
        <v>63</v>
      </c>
      <c r="O508" s="6" t="s">
        <v>198</v>
      </c>
      <c r="P508" s="6"/>
      <c r="Q508" s="6" t="str">
        <f>VLOOKUP(G508,seznampsc!A:B,2,FALSE)</f>
        <v>Karlovy Vary</v>
      </c>
      <c r="R508" s="6" t="str">
        <f>VLOOKUP(G508,seznampsc!A:C,3,FALSE)</f>
        <v>Karlovarský kraj</v>
      </c>
      <c r="S508" s="6" t="s">
        <v>3240</v>
      </c>
      <c r="T508" s="6" t="s">
        <v>3241</v>
      </c>
      <c r="U508" s="6"/>
      <c r="V508" s="6"/>
      <c r="W508" s="6"/>
      <c r="X508" s="6"/>
      <c r="Y508" s="6"/>
      <c r="Z508" s="6"/>
      <c r="AA508" s="6"/>
      <c r="AB508" s="6"/>
      <c r="AC508" s="6"/>
      <c r="AD508" s="6">
        <v>700</v>
      </c>
      <c r="AE508" s="6">
        <v>700</v>
      </c>
      <c r="AF508" s="6">
        <v>750</v>
      </c>
      <c r="AG508" s="6"/>
      <c r="AH508" s="6"/>
      <c r="AI508" s="6"/>
      <c r="AJ508" s="6">
        <v>107</v>
      </c>
      <c r="AK508" s="6">
        <v>107</v>
      </c>
      <c r="AL508" s="6"/>
      <c r="AM508" s="6"/>
      <c r="AN508" s="6"/>
      <c r="AO508" s="6"/>
      <c r="AP508" s="6"/>
      <c r="AQ508" s="6"/>
      <c r="AR508" s="6">
        <v>5</v>
      </c>
      <c r="AS508" s="6">
        <v>10</v>
      </c>
      <c r="AT508" s="6"/>
      <c r="AU508" s="6" t="s">
        <v>2804</v>
      </c>
      <c r="AV508" s="6">
        <v>100000</v>
      </c>
    </row>
    <row r="509" spans="1:48" ht="24" customHeight="1" x14ac:dyDescent="0.3">
      <c r="B509" s="6" t="s">
        <v>65</v>
      </c>
      <c r="C509" s="6" t="s">
        <v>3242</v>
      </c>
      <c r="D509" s="6">
        <v>1643223</v>
      </c>
      <c r="E509" s="6" t="s">
        <v>3243</v>
      </c>
      <c r="F509" s="6" t="s">
        <v>3244</v>
      </c>
      <c r="G509" s="6">
        <v>72200</v>
      </c>
      <c r="H509" s="6" t="s">
        <v>3245</v>
      </c>
      <c r="I509" s="6" t="s">
        <v>3246</v>
      </c>
      <c r="J509" s="6" t="s">
        <v>3247</v>
      </c>
      <c r="K509" s="6" t="s">
        <v>3248</v>
      </c>
      <c r="L509" s="6" t="s">
        <v>586</v>
      </c>
      <c r="M509" s="6" t="s">
        <v>3249</v>
      </c>
      <c r="N509" s="6" t="s">
        <v>63</v>
      </c>
      <c r="O509" s="6" t="s">
        <v>198</v>
      </c>
      <c r="P509" s="6"/>
      <c r="Q509" s="6" t="str">
        <f>VLOOKUP(G509,seznampsc!A:B,2,FALSE)</f>
        <v>Ostrava-město</v>
      </c>
      <c r="R509" s="6" t="str">
        <f>VLOOKUP(G509,seznampsc!A:C,3,FALSE)</f>
        <v>Moravskoslezský kraj</v>
      </c>
      <c r="S509" s="6" t="s">
        <v>3250</v>
      </c>
      <c r="T509" s="6" t="s">
        <v>3251</v>
      </c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  <c r="AR509" s="6"/>
      <c r="AS509" s="6"/>
      <c r="AT509" s="6"/>
      <c r="AU509" s="6" t="s">
        <v>3252</v>
      </c>
      <c r="AV509" s="8">
        <v>200000</v>
      </c>
    </row>
    <row r="510" spans="1:48" ht="24" customHeight="1" x14ac:dyDescent="0.3">
      <c r="B510" s="6" t="s">
        <v>65</v>
      </c>
      <c r="C510" s="6" t="s">
        <v>3242</v>
      </c>
      <c r="D510" s="6">
        <v>1643223</v>
      </c>
      <c r="E510" s="6" t="s">
        <v>3243</v>
      </c>
      <c r="F510" s="6" t="s">
        <v>3253</v>
      </c>
      <c r="G510" s="6">
        <v>77900</v>
      </c>
      <c r="H510" s="6" t="s">
        <v>3254</v>
      </c>
      <c r="I510" s="6" t="s">
        <v>3255</v>
      </c>
      <c r="J510" s="6" t="s">
        <v>3256</v>
      </c>
      <c r="K510" s="6" t="s">
        <v>3257</v>
      </c>
      <c r="L510" s="6" t="s">
        <v>586</v>
      </c>
      <c r="M510" s="6" t="s">
        <v>3258</v>
      </c>
      <c r="N510" s="6" t="s">
        <v>63</v>
      </c>
      <c r="O510" s="6" t="s">
        <v>198</v>
      </c>
      <c r="P510" s="6"/>
      <c r="Q510" s="6" t="str">
        <f>VLOOKUP(G510,seznampsc!A:B,2,FALSE)</f>
        <v>Olomouc</v>
      </c>
      <c r="R510" s="6" t="str">
        <f>VLOOKUP(G510,seznampsc!A:C,3,FALSE)</f>
        <v>Olomoucký kraj</v>
      </c>
      <c r="S510" s="6" t="s">
        <v>3259</v>
      </c>
      <c r="T510" s="6" t="s">
        <v>3260</v>
      </c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6"/>
      <c r="AU510" s="6" t="s">
        <v>3252</v>
      </c>
      <c r="AV510" s="8">
        <v>200000</v>
      </c>
    </row>
    <row r="511" spans="1:48" ht="24" customHeight="1" x14ac:dyDescent="0.3">
      <c r="B511" s="6" t="s">
        <v>65</v>
      </c>
      <c r="C511" s="6" t="s">
        <v>3242</v>
      </c>
      <c r="D511" s="6">
        <v>1643223</v>
      </c>
      <c r="E511" s="6" t="s">
        <v>3243</v>
      </c>
      <c r="F511" s="6" t="s">
        <v>3261</v>
      </c>
      <c r="G511" s="6">
        <v>76001</v>
      </c>
      <c r="H511" s="6" t="s">
        <v>230</v>
      </c>
      <c r="I511" s="6" t="s">
        <v>3262</v>
      </c>
      <c r="J511" s="6" t="s">
        <v>3263</v>
      </c>
      <c r="K511" s="6" t="s">
        <v>3264</v>
      </c>
      <c r="L511" s="6" t="s">
        <v>586</v>
      </c>
      <c r="M511" s="6" t="s">
        <v>1261</v>
      </c>
      <c r="N511" s="6" t="s">
        <v>63</v>
      </c>
      <c r="O511" s="6" t="s">
        <v>198</v>
      </c>
      <c r="P511" s="6"/>
      <c r="Q511" s="6" t="str">
        <f>VLOOKUP(G511,seznampsc!A:B,2,FALSE)</f>
        <v>Zlín</v>
      </c>
      <c r="R511" s="6" t="str">
        <f>VLOOKUP(G511,seznampsc!A:C,3,FALSE)</f>
        <v>Zlínský kraj</v>
      </c>
      <c r="S511" s="6" t="s">
        <v>3265</v>
      </c>
      <c r="T511" s="6" t="s">
        <v>3266</v>
      </c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  <c r="AR511" s="6"/>
      <c r="AS511" s="6"/>
      <c r="AT511" s="6"/>
      <c r="AU511" s="6" t="s">
        <v>3252</v>
      </c>
      <c r="AV511" s="8">
        <v>200000</v>
      </c>
    </row>
    <row r="512" spans="1:48" ht="24" customHeight="1" x14ac:dyDescent="0.3">
      <c r="B512" s="6" t="s">
        <v>65</v>
      </c>
      <c r="C512" s="6" t="s">
        <v>3267</v>
      </c>
      <c r="D512" s="6">
        <v>6421083</v>
      </c>
      <c r="E512" s="6" t="s">
        <v>3268</v>
      </c>
      <c r="F512" s="6" t="s">
        <v>3269</v>
      </c>
      <c r="G512" s="6">
        <v>50801</v>
      </c>
      <c r="H512" s="6" t="s">
        <v>3270</v>
      </c>
      <c r="I512" s="6" t="s">
        <v>3271</v>
      </c>
      <c r="J512" s="6" t="s">
        <v>3272</v>
      </c>
      <c r="K512" s="6">
        <v>777226914</v>
      </c>
      <c r="L512" s="6" t="s">
        <v>586</v>
      </c>
      <c r="M512" s="6" t="s">
        <v>349</v>
      </c>
      <c r="N512" s="6" t="s">
        <v>63</v>
      </c>
      <c r="O512" s="6" t="s">
        <v>198</v>
      </c>
      <c r="P512" s="6"/>
      <c r="Q512" s="6" t="str">
        <f>VLOOKUP(G512,seznampsc!A:B,2,FALSE)</f>
        <v>Jičín</v>
      </c>
      <c r="R512" s="6" t="str">
        <f>VLOOKUP(G512,seznampsc!A:C,3,FALSE)</f>
        <v>Královéhradecký kraj</v>
      </c>
      <c r="S512" s="6" t="s">
        <v>3273</v>
      </c>
      <c r="T512" s="6" t="s">
        <v>3274</v>
      </c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  <c r="AS512" s="6"/>
      <c r="AT512" s="6"/>
      <c r="AU512" s="6"/>
      <c r="AV512" s="8">
        <v>200000</v>
      </c>
    </row>
    <row r="513" spans="1:48" ht="24" customHeight="1" x14ac:dyDescent="0.3">
      <c r="B513" s="6" t="s">
        <v>65</v>
      </c>
      <c r="C513" s="6" t="s">
        <v>3275</v>
      </c>
      <c r="D513" s="6">
        <v>49611062</v>
      </c>
      <c r="E513" s="6" t="s">
        <v>3276</v>
      </c>
      <c r="F513" s="6" t="s">
        <v>3277</v>
      </c>
      <c r="G513" s="6">
        <v>77900</v>
      </c>
      <c r="H513" s="6" t="s">
        <v>3278</v>
      </c>
      <c r="I513" s="6" t="s">
        <v>3279</v>
      </c>
      <c r="J513" s="6" t="s">
        <v>3280</v>
      </c>
      <c r="K513" s="6" t="s">
        <v>3281</v>
      </c>
      <c r="L513" s="6" t="s">
        <v>586</v>
      </c>
      <c r="M513" s="6" t="s">
        <v>3282</v>
      </c>
      <c r="N513" s="6" t="s">
        <v>63</v>
      </c>
      <c r="O513" s="6" t="s">
        <v>198</v>
      </c>
      <c r="P513" s="6"/>
      <c r="Q513" s="6" t="str">
        <f>VLOOKUP(G513,seznampsc!A:B,2,FALSE)</f>
        <v>Olomouc</v>
      </c>
      <c r="R513" s="6" t="str">
        <f>VLOOKUP(G513,seznampsc!A:C,3,FALSE)</f>
        <v>Olomoucký kraj</v>
      </c>
      <c r="S513" s="6" t="s">
        <v>3283</v>
      </c>
      <c r="T513" s="6" t="s">
        <v>3284</v>
      </c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  <c r="AS513" s="6"/>
      <c r="AT513" s="6"/>
      <c r="AU513" s="6"/>
      <c r="AV513" s="8">
        <v>200000</v>
      </c>
    </row>
    <row r="514" spans="1:48" ht="24" customHeight="1" x14ac:dyDescent="0.3">
      <c r="B514" s="6" t="s">
        <v>65</v>
      </c>
      <c r="C514" s="6" t="s">
        <v>3275</v>
      </c>
      <c r="D514" s="6">
        <v>49611062</v>
      </c>
      <c r="E514" s="6" t="s">
        <v>3276</v>
      </c>
      <c r="F514" s="6" t="s">
        <v>3285</v>
      </c>
      <c r="G514" s="6">
        <v>74242</v>
      </c>
      <c r="H514" s="6" t="s">
        <v>1928</v>
      </c>
      <c r="I514" s="6" t="s">
        <v>3286</v>
      </c>
      <c r="J514" s="6" t="s">
        <v>3287</v>
      </c>
      <c r="K514" s="6">
        <v>736473303</v>
      </c>
      <c r="L514" s="6" t="s">
        <v>586</v>
      </c>
      <c r="M514" s="6" t="s">
        <v>3282</v>
      </c>
      <c r="N514" s="6" t="s">
        <v>63</v>
      </c>
      <c r="O514" s="6" t="s">
        <v>198</v>
      </c>
      <c r="P514" s="6"/>
      <c r="Q514" s="6" t="str">
        <f>VLOOKUP(G514,seznampsc!A:B,2,FALSE)</f>
        <v>Nový Jičín</v>
      </c>
      <c r="R514" s="6" t="str">
        <f>VLOOKUP(G514,seznampsc!A:C,3,FALSE)</f>
        <v>Moravskoslezský kraj</v>
      </c>
      <c r="S514" s="6" t="s">
        <v>3288</v>
      </c>
      <c r="T514" s="6" t="s">
        <v>3289</v>
      </c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S514" s="6"/>
      <c r="AT514" s="6"/>
      <c r="AU514" s="6"/>
      <c r="AV514" s="8">
        <v>200000</v>
      </c>
    </row>
    <row r="515" spans="1:48" ht="24" customHeight="1" x14ac:dyDescent="0.3">
      <c r="B515" s="6" t="s">
        <v>65</v>
      </c>
      <c r="C515" s="6" t="s">
        <v>3290</v>
      </c>
      <c r="D515" s="6">
        <v>25251619</v>
      </c>
      <c r="E515" s="6" t="s">
        <v>3291</v>
      </c>
      <c r="F515" s="6" t="s">
        <v>3292</v>
      </c>
      <c r="G515" s="6">
        <v>58001</v>
      </c>
      <c r="H515" s="6" t="s">
        <v>2818</v>
      </c>
      <c r="I515" s="6" t="s">
        <v>3293</v>
      </c>
      <c r="J515" s="6" t="s">
        <v>3294</v>
      </c>
      <c r="K515" s="6">
        <v>777877280</v>
      </c>
      <c r="L515" s="6" t="s">
        <v>586</v>
      </c>
      <c r="M515" s="6" t="s">
        <v>349</v>
      </c>
      <c r="N515" s="6" t="s">
        <v>63</v>
      </c>
      <c r="O515" s="6" t="s">
        <v>1009</v>
      </c>
      <c r="P515" s="6"/>
      <c r="Q515" s="6" t="str">
        <f>VLOOKUP(G515,seznampsc!A:B,2,FALSE)</f>
        <v>Havlíčkův Brod</v>
      </c>
      <c r="R515" s="6" t="str">
        <f>VLOOKUP(G515,seznampsc!A:C,3,FALSE)</f>
        <v>Kraj Vysočina</v>
      </c>
      <c r="S515" s="6" t="s">
        <v>3295</v>
      </c>
      <c r="T515" s="6" t="s">
        <v>3296</v>
      </c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  <c r="AS515" s="6"/>
      <c r="AT515" s="6"/>
      <c r="AU515" s="6"/>
      <c r="AV515" s="8">
        <v>200000</v>
      </c>
    </row>
    <row r="516" spans="1:48" ht="24" customHeight="1" x14ac:dyDescent="0.3">
      <c r="A516" s="3" t="s">
        <v>53</v>
      </c>
      <c r="B516" s="3" t="s">
        <v>54</v>
      </c>
      <c r="C516" s="3" t="s">
        <v>55</v>
      </c>
      <c r="D516" s="3" t="s">
        <v>3297</v>
      </c>
      <c r="E516" s="3" t="s">
        <v>3298</v>
      </c>
      <c r="F516" s="3" t="s">
        <v>3299</v>
      </c>
      <c r="G516" s="34">
        <v>75501</v>
      </c>
      <c r="H516" s="3" t="s">
        <v>556</v>
      </c>
      <c r="J516" s="3" t="s">
        <v>3300</v>
      </c>
      <c r="K516" s="3">
        <v>737433111</v>
      </c>
      <c r="L516" s="3" t="s">
        <v>61</v>
      </c>
      <c r="M516" s="6" t="s">
        <v>62</v>
      </c>
      <c r="N516" s="6" t="s">
        <v>63</v>
      </c>
      <c r="O516" s="3" t="s">
        <v>64</v>
      </c>
      <c r="Q516" s="6" t="str">
        <f>VLOOKUP(G516,seznampsc!A:B,2,FALSE)</f>
        <v>Vsetín</v>
      </c>
      <c r="R516" s="6" t="str">
        <f>VLOOKUP(G516,seznampsc!A:C,3,FALSE)</f>
        <v>Zlínský kraj</v>
      </c>
      <c r="S516" s="6">
        <v>49.360778600000003</v>
      </c>
      <c r="T516" s="6">
        <v>17.967303900000001</v>
      </c>
      <c r="U516" s="6"/>
      <c r="V516" s="6"/>
      <c r="W516" s="6"/>
      <c r="X516" s="6"/>
      <c r="Y516" s="6"/>
      <c r="Z516" s="6"/>
      <c r="AA516" s="6"/>
      <c r="AB516" s="6"/>
      <c r="AC516" s="6"/>
      <c r="AD516" s="6">
        <v>680</v>
      </c>
      <c r="AE516" s="6">
        <v>680</v>
      </c>
      <c r="AF516" s="6">
        <v>680</v>
      </c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>
        <v>10</v>
      </c>
      <c r="AR516" s="6"/>
      <c r="AS516" s="6"/>
      <c r="AT516" s="6"/>
      <c r="AV516" s="3">
        <v>100000</v>
      </c>
    </row>
    <row r="517" spans="1:48" ht="24" customHeight="1" x14ac:dyDescent="0.3">
      <c r="A517" s="3" t="s">
        <v>53</v>
      </c>
      <c r="B517" s="3" t="s">
        <v>54</v>
      </c>
      <c r="C517" s="3" t="s">
        <v>55</v>
      </c>
      <c r="D517" s="3" t="s">
        <v>3301</v>
      </c>
      <c r="E517" s="3" t="s">
        <v>3302</v>
      </c>
      <c r="F517" s="3" t="s">
        <v>3303</v>
      </c>
      <c r="G517" s="3">
        <v>66902</v>
      </c>
      <c r="H517" s="3" t="s">
        <v>291</v>
      </c>
      <c r="I517" s="3" t="s">
        <v>3304</v>
      </c>
      <c r="J517" s="7" t="s">
        <v>3305</v>
      </c>
      <c r="K517" s="3">
        <v>720994893</v>
      </c>
      <c r="L517" s="3" t="s">
        <v>61</v>
      </c>
      <c r="M517" s="6" t="s">
        <v>62</v>
      </c>
      <c r="N517" s="6" t="s">
        <v>63</v>
      </c>
      <c r="O517" s="3" t="s">
        <v>64</v>
      </c>
      <c r="Q517" s="6" t="str">
        <f>VLOOKUP(G517,seznampsc!A:B,2,FALSE)</f>
        <v>Znojmo</v>
      </c>
      <c r="R517" s="6" t="str">
        <f>VLOOKUP(G517,seznampsc!A:C,3,FALSE)</f>
        <v>Jihomoravský kraj</v>
      </c>
      <c r="S517" s="6">
        <v>48.877229799999903</v>
      </c>
      <c r="T517" s="6">
        <v>16.038879600000001</v>
      </c>
      <c r="U517" s="6"/>
      <c r="V517" s="6"/>
      <c r="W517" s="6"/>
      <c r="X517" s="6"/>
      <c r="Y517" s="6"/>
      <c r="Z517" s="6"/>
      <c r="AA517" s="6"/>
      <c r="AB517" s="6"/>
      <c r="AC517" s="6"/>
      <c r="AD517" s="6">
        <v>680</v>
      </c>
      <c r="AE517" s="6">
        <v>680</v>
      </c>
      <c r="AF517" s="6">
        <v>680</v>
      </c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>
        <v>10</v>
      </c>
      <c r="AR517" s="6"/>
      <c r="AS517" s="6"/>
      <c r="AT517" s="6"/>
      <c r="AV517" s="3">
        <v>100000</v>
      </c>
    </row>
    <row r="518" spans="1:48" ht="24" customHeight="1" x14ac:dyDescent="0.3">
      <c r="A518" s="6"/>
      <c r="B518" s="6" t="s">
        <v>65</v>
      </c>
      <c r="C518" s="6" t="s">
        <v>3306</v>
      </c>
      <c r="D518" s="6" t="s">
        <v>3307</v>
      </c>
      <c r="E518" s="6" t="s">
        <v>3308</v>
      </c>
      <c r="F518" s="6" t="s">
        <v>3309</v>
      </c>
      <c r="G518" s="6">
        <v>66902</v>
      </c>
      <c r="H518" s="6" t="s">
        <v>291</v>
      </c>
      <c r="I518" s="6" t="s">
        <v>3310</v>
      </c>
      <c r="J518" s="6" t="s">
        <v>3311</v>
      </c>
      <c r="K518" s="6">
        <v>736677098</v>
      </c>
      <c r="L518" s="6" t="s">
        <v>586</v>
      </c>
      <c r="M518" s="6" t="s">
        <v>2622</v>
      </c>
      <c r="N518" s="6" t="s">
        <v>63</v>
      </c>
      <c r="O518" s="6" t="s">
        <v>804</v>
      </c>
      <c r="P518" s="6"/>
      <c r="Q518" s="6" t="str">
        <f>VLOOKUP(G518,seznampsc!A:B,2,FALSE)</f>
        <v>Znojmo</v>
      </c>
      <c r="R518" s="6" t="str">
        <f>VLOOKUP(G518,seznampsc!A:C,3,FALSE)</f>
        <v>Jihomoravský kraj</v>
      </c>
      <c r="S518" s="6">
        <v>48.84778</v>
      </c>
      <c r="T518" s="6">
        <v>16.065850000000001</v>
      </c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  <c r="AT518" s="6"/>
      <c r="AV518" s="10">
        <v>200000</v>
      </c>
    </row>
    <row r="519" spans="1:48" ht="24" customHeight="1" x14ac:dyDescent="0.3">
      <c r="A519" s="3" t="s">
        <v>53</v>
      </c>
      <c r="B519" s="6" t="s">
        <v>65</v>
      </c>
      <c r="C519" s="6" t="s">
        <v>3312</v>
      </c>
      <c r="D519" s="6">
        <v>76433803</v>
      </c>
      <c r="E519" s="6" t="s">
        <v>3310</v>
      </c>
      <c r="F519" s="6" t="s">
        <v>3309</v>
      </c>
      <c r="G519" s="6">
        <v>66902</v>
      </c>
      <c r="H519" s="6" t="s">
        <v>291</v>
      </c>
      <c r="I519" s="6" t="s">
        <v>149</v>
      </c>
      <c r="J519" s="6" t="s">
        <v>3311</v>
      </c>
      <c r="K519" s="8">
        <v>739067037</v>
      </c>
      <c r="L519" s="6" t="s">
        <v>151</v>
      </c>
      <c r="M519" s="6" t="s">
        <v>3313</v>
      </c>
      <c r="N519" s="3" t="s">
        <v>63</v>
      </c>
      <c r="O519" s="8" t="s">
        <v>804</v>
      </c>
      <c r="P519" s="6"/>
      <c r="Q519" s="6" t="str">
        <f>VLOOKUP(G519,seznampsc!A:B,2,FALSE)</f>
        <v>Znojmo</v>
      </c>
      <c r="R519" s="6" t="str">
        <f>VLOOKUP(G519,seznampsc!A:C,3,FALSE)</f>
        <v>Jihomoravský kraj</v>
      </c>
      <c r="S519" s="6">
        <v>48.84778</v>
      </c>
      <c r="T519" s="6">
        <v>16.065850000000001</v>
      </c>
      <c r="AD519" s="3">
        <v>650</v>
      </c>
      <c r="AE519" s="3">
        <v>650</v>
      </c>
      <c r="AF519" s="3">
        <v>700</v>
      </c>
      <c r="AJ519" s="3">
        <v>107</v>
      </c>
      <c r="AK519" s="3">
        <v>116</v>
      </c>
      <c r="AN519" s="3">
        <v>3</v>
      </c>
      <c r="AO519" s="3">
        <v>10</v>
      </c>
      <c r="AT519" s="3">
        <v>250</v>
      </c>
      <c r="AU519" s="6" t="s">
        <v>3314</v>
      </c>
      <c r="AV519" s="3">
        <v>200000</v>
      </c>
    </row>
    <row r="520" spans="1:48" ht="24" customHeight="1" x14ac:dyDescent="0.3">
      <c r="A520" s="3" t="s">
        <v>53</v>
      </c>
      <c r="B520" s="6" t="s">
        <v>65</v>
      </c>
      <c r="C520" s="6" t="s">
        <v>3315</v>
      </c>
      <c r="D520" s="6">
        <v>14280116</v>
      </c>
      <c r="E520" s="6" t="s">
        <v>3316</v>
      </c>
      <c r="F520" s="6" t="s">
        <v>1475</v>
      </c>
      <c r="G520" s="6">
        <v>73961</v>
      </c>
      <c r="H520" s="6" t="s">
        <v>473</v>
      </c>
      <c r="I520" s="6" t="s">
        <v>3317</v>
      </c>
      <c r="J520" s="7" t="s">
        <v>1471</v>
      </c>
      <c r="K520" s="6">
        <v>607127360</v>
      </c>
      <c r="L520" s="6" t="s">
        <v>151</v>
      </c>
      <c r="M520" s="6" t="s">
        <v>152</v>
      </c>
      <c r="N520" s="3" t="s">
        <v>63</v>
      </c>
      <c r="P520" s="6"/>
      <c r="Q520" s="6" t="str">
        <f>VLOOKUP(G520,seznampsc!A:B,2,FALSE)</f>
        <v>Frýdek-Místek</v>
      </c>
      <c r="R520" s="6" t="str">
        <f>VLOOKUP(G520,seznampsc!A:C,3,FALSE)</f>
        <v>Moravskoslezský kraj</v>
      </c>
      <c r="AD520" s="3">
        <v>650</v>
      </c>
      <c r="AE520" s="3">
        <v>650</v>
      </c>
      <c r="AF520" s="3">
        <v>650</v>
      </c>
      <c r="AJ520" s="3">
        <v>107</v>
      </c>
      <c r="AK520" s="3">
        <v>107</v>
      </c>
      <c r="AP520" s="3">
        <v>205</v>
      </c>
      <c r="AQ520" s="3">
        <v>10</v>
      </c>
      <c r="AS520" s="3" t="s">
        <v>3234</v>
      </c>
      <c r="AU520" s="6"/>
      <c r="AV520" s="3">
        <v>200000</v>
      </c>
    </row>
    <row r="521" spans="1:48" ht="24" customHeight="1" x14ac:dyDescent="0.3">
      <c r="B521" s="6" t="s">
        <v>65</v>
      </c>
      <c r="C521" s="6" t="s">
        <v>3318</v>
      </c>
      <c r="D521" s="6">
        <v>27392244</v>
      </c>
      <c r="E521" s="6" t="s">
        <v>3319</v>
      </c>
      <c r="F521" s="6" t="s">
        <v>3320</v>
      </c>
      <c r="G521" s="6">
        <v>15500</v>
      </c>
      <c r="H521" s="6" t="s">
        <v>2520</v>
      </c>
      <c r="I521" s="6" t="s">
        <v>3321</v>
      </c>
      <c r="J521" s="6" t="s">
        <v>3322</v>
      </c>
      <c r="K521" s="16">
        <v>420724119783</v>
      </c>
      <c r="L521" s="6" t="s">
        <v>586</v>
      </c>
      <c r="M521" s="6" t="s">
        <v>2920</v>
      </c>
      <c r="N521" s="6" t="s">
        <v>63</v>
      </c>
      <c r="O521" s="6" t="s">
        <v>198</v>
      </c>
      <c r="P521" s="6"/>
      <c r="Q521" s="6" t="str">
        <f>VLOOKUP(G521,seznampsc!A:B,2,FALSE)</f>
        <v>Hlavní město Praha</v>
      </c>
      <c r="R521" s="6" t="str">
        <f>VLOOKUP(G521,seznampsc!A:C,3,FALSE)</f>
        <v>Hlavní město Praha</v>
      </c>
      <c r="S521" s="6" t="s">
        <v>3323</v>
      </c>
      <c r="T521" s="6" t="s">
        <v>3324</v>
      </c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  <c r="AR521" s="6"/>
      <c r="AS521" s="6"/>
      <c r="AT521" s="6"/>
      <c r="AU521" s="6"/>
      <c r="AV521" s="8">
        <v>200000</v>
      </c>
    </row>
    <row r="522" spans="1:48" ht="24" customHeight="1" x14ac:dyDescent="0.3">
      <c r="B522" s="6" t="s">
        <v>65</v>
      </c>
      <c r="C522" s="6" t="s">
        <v>3325</v>
      </c>
      <c r="D522" s="6">
        <v>41324838</v>
      </c>
      <c r="E522" s="6" t="s">
        <v>3326</v>
      </c>
      <c r="F522" s="6" t="s">
        <v>3327</v>
      </c>
      <c r="G522" s="6">
        <v>46006</v>
      </c>
      <c r="H522" s="6" t="s">
        <v>3328</v>
      </c>
      <c r="I522" s="6" t="s">
        <v>3329</v>
      </c>
      <c r="J522" s="6" t="s">
        <v>3330</v>
      </c>
      <c r="K522" s="8">
        <v>725075441.60133803</v>
      </c>
      <c r="L522" s="6" t="s">
        <v>151</v>
      </c>
      <c r="M522" s="6" t="s">
        <v>3331</v>
      </c>
      <c r="N522" s="3" t="s">
        <v>63</v>
      </c>
      <c r="O522" s="6" t="s">
        <v>198</v>
      </c>
      <c r="P522" s="6"/>
      <c r="Q522" s="6" t="str">
        <f>VLOOKUP(G522,seznampsc!A:B,2,FALSE)</f>
        <v>Liberec</v>
      </c>
      <c r="R522" s="6" t="str">
        <f>VLOOKUP(G522,seznampsc!A:C,3,FALSE)</f>
        <v>Liberecký kraj</v>
      </c>
      <c r="S522" s="6" t="s">
        <v>3332</v>
      </c>
      <c r="T522" s="6" t="s">
        <v>3333</v>
      </c>
      <c r="AD522" s="3">
        <v>1250</v>
      </c>
      <c r="AE522" s="3">
        <v>1550</v>
      </c>
      <c r="AF522" s="3">
        <v>1550</v>
      </c>
      <c r="AU522" s="6"/>
      <c r="AV522" s="8">
        <v>200000</v>
      </c>
    </row>
    <row r="523" spans="1:48" ht="24" customHeight="1" x14ac:dyDescent="0.3">
      <c r="A523" s="3" t="s">
        <v>53</v>
      </c>
      <c r="B523" s="6" t="s">
        <v>65</v>
      </c>
      <c r="C523" s="6" t="s">
        <v>3334</v>
      </c>
      <c r="D523" s="6">
        <v>65152123</v>
      </c>
      <c r="E523" s="6" t="s">
        <v>1658</v>
      </c>
      <c r="F523" s="6" t="s">
        <v>3335</v>
      </c>
      <c r="G523" s="6">
        <v>71000</v>
      </c>
      <c r="H523" s="6" t="s">
        <v>574</v>
      </c>
      <c r="I523" s="6" t="s">
        <v>1658</v>
      </c>
      <c r="J523" s="7" t="s">
        <v>1661</v>
      </c>
      <c r="K523" s="8">
        <v>739201121</v>
      </c>
      <c r="L523" s="6" t="s">
        <v>151</v>
      </c>
      <c r="M523" s="6" t="s">
        <v>62</v>
      </c>
      <c r="N523" s="3" t="s">
        <v>63</v>
      </c>
      <c r="O523" s="3" t="s">
        <v>64</v>
      </c>
      <c r="P523" s="6"/>
      <c r="Q523" s="6" t="str">
        <f>VLOOKUP(G523,seznampsc!A:B,2,FALSE)</f>
        <v>Ostrava-město</v>
      </c>
      <c r="R523" s="6" t="str">
        <f>VLOOKUP(G523,seznampsc!A:C,3,FALSE)</f>
        <v>Moravskoslezský kraj</v>
      </c>
      <c r="S523" s="3">
        <v>49.843663199999902</v>
      </c>
      <c r="T523" s="3">
        <v>18.327376099999999</v>
      </c>
      <c r="AD523" s="3">
        <v>690</v>
      </c>
      <c r="AE523" s="3">
        <v>690</v>
      </c>
      <c r="AF523" s="3">
        <v>690</v>
      </c>
      <c r="AJ523" s="3">
        <v>100</v>
      </c>
      <c r="AK523" s="3">
        <v>100</v>
      </c>
      <c r="AP523" s="3">
        <v>0</v>
      </c>
      <c r="AQ523" s="3">
        <v>5</v>
      </c>
      <c r="AS523" s="3">
        <v>35</v>
      </c>
      <c r="AU523" s="6"/>
      <c r="AV523" s="3">
        <v>200000</v>
      </c>
    </row>
    <row r="524" spans="1:48" ht="24" customHeight="1" x14ac:dyDescent="0.3">
      <c r="A524" s="6" t="s">
        <v>53</v>
      </c>
      <c r="B524" s="6" t="s">
        <v>65</v>
      </c>
      <c r="C524" s="6" t="s">
        <v>3336</v>
      </c>
      <c r="D524" s="6">
        <v>4598423</v>
      </c>
      <c r="E524" s="6" t="s">
        <v>3337</v>
      </c>
      <c r="F524" s="6" t="s">
        <v>3338</v>
      </c>
      <c r="G524" s="6">
        <v>67531</v>
      </c>
      <c r="H524" s="6" t="s">
        <v>3339</v>
      </c>
      <c r="I524" s="6" t="s">
        <v>3340</v>
      </c>
      <c r="J524" s="7" t="s">
        <v>3341</v>
      </c>
      <c r="K524" s="6">
        <v>723415749</v>
      </c>
      <c r="L524" s="6" t="s">
        <v>73</v>
      </c>
      <c r="M524" s="6" t="s">
        <v>62</v>
      </c>
      <c r="N524" s="6" t="s">
        <v>63</v>
      </c>
      <c r="O524" s="6" t="s">
        <v>198</v>
      </c>
      <c r="P524" s="6"/>
      <c r="Q524" s="6" t="str">
        <f>VLOOKUP(G524,seznampsc!A:B,2,FALSE)</f>
        <v>Třebíč</v>
      </c>
      <c r="R524" s="6" t="str">
        <f>VLOOKUP(G524,seznampsc!A:C,3,FALSE)</f>
        <v>Kraj Vysočina</v>
      </c>
      <c r="S524" s="6" t="s">
        <v>3342</v>
      </c>
      <c r="T524" s="6" t="s">
        <v>3343</v>
      </c>
      <c r="U524" s="6"/>
      <c r="V524" s="6"/>
      <c r="W524" s="6"/>
      <c r="X524" s="6"/>
      <c r="Y524" s="6"/>
      <c r="Z524" s="6"/>
      <c r="AA524" s="6"/>
      <c r="AB524" s="6"/>
      <c r="AC524" s="6"/>
      <c r="AD524" s="6">
        <v>600</v>
      </c>
      <c r="AE524" s="6">
        <v>600</v>
      </c>
      <c r="AF524" s="6">
        <v>600</v>
      </c>
      <c r="AG524" s="6"/>
      <c r="AH524" s="6"/>
      <c r="AI524" s="6"/>
      <c r="AJ524" s="6">
        <v>106</v>
      </c>
      <c r="AK524" s="6">
        <v>106</v>
      </c>
      <c r="AL524" s="6"/>
      <c r="AM524" s="6"/>
      <c r="AN524" s="6"/>
      <c r="AO524" s="6"/>
      <c r="AP524" s="6">
        <v>5</v>
      </c>
      <c r="AQ524" s="6">
        <v>10</v>
      </c>
      <c r="AR524" s="6">
        <v>5</v>
      </c>
      <c r="AS524" s="6">
        <v>35</v>
      </c>
      <c r="AT524" s="6"/>
      <c r="AU524" s="6" t="s">
        <v>3344</v>
      </c>
      <c r="AV524" s="6">
        <v>150000</v>
      </c>
    </row>
    <row r="525" spans="1:48" ht="24" customHeight="1" x14ac:dyDescent="0.3">
      <c r="A525" s="3" t="s">
        <v>53</v>
      </c>
      <c r="B525" s="3" t="s">
        <v>54</v>
      </c>
      <c r="C525" s="3" t="s">
        <v>55</v>
      </c>
      <c r="D525" s="3" t="s">
        <v>3345</v>
      </c>
      <c r="E525" s="3" t="s">
        <v>3346</v>
      </c>
      <c r="F525" s="3" t="s">
        <v>3347</v>
      </c>
      <c r="G525" s="3">
        <v>59101</v>
      </c>
      <c r="H525" s="3" t="s">
        <v>3348</v>
      </c>
      <c r="I525" s="3" t="s">
        <v>3349</v>
      </c>
      <c r="J525" s="3" t="s">
        <v>3350</v>
      </c>
      <c r="K525" s="3">
        <v>736287594</v>
      </c>
      <c r="L525" s="3" t="s">
        <v>61</v>
      </c>
      <c r="M525" s="6" t="s">
        <v>62</v>
      </c>
      <c r="N525" s="6" t="s">
        <v>63</v>
      </c>
      <c r="O525" s="3" t="s">
        <v>64</v>
      </c>
      <c r="Q525" s="6" t="str">
        <f>VLOOKUP(G525,seznampsc!A:B,2,FALSE)</f>
        <v>Žďár nad Sázavou</v>
      </c>
      <c r="R525" s="6" t="str">
        <f>VLOOKUP(G525,seznampsc!A:C,3,FALSE)</f>
        <v>Kraj Vysočina</v>
      </c>
      <c r="S525" s="6">
        <v>49.581789399999998</v>
      </c>
      <c r="T525" s="6">
        <v>15.9227112</v>
      </c>
      <c r="U525" s="6"/>
      <c r="V525" s="6"/>
      <c r="W525" s="6"/>
      <c r="X525" s="6"/>
      <c r="Y525" s="6"/>
      <c r="Z525" s="6"/>
      <c r="AA525" s="6"/>
      <c r="AB525" s="6"/>
      <c r="AC525" s="6"/>
      <c r="AD525" s="6">
        <v>680</v>
      </c>
      <c r="AE525" s="6">
        <v>680</v>
      </c>
      <c r="AF525" s="6">
        <v>680</v>
      </c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>
        <v>10</v>
      </c>
      <c r="AR525" s="6"/>
      <c r="AS525" s="6"/>
      <c r="AT525" s="6"/>
      <c r="AV525" s="3">
        <v>100000</v>
      </c>
    </row>
    <row r="526" spans="1:48" ht="24" customHeight="1" x14ac:dyDescent="0.3">
      <c r="A526" s="3" t="s">
        <v>53</v>
      </c>
      <c r="B526" s="3" t="s">
        <v>54</v>
      </c>
      <c r="C526" s="3" t="s">
        <v>55</v>
      </c>
      <c r="D526" s="3" t="s">
        <v>3351</v>
      </c>
      <c r="E526" s="3" t="s">
        <v>3352</v>
      </c>
      <c r="F526" s="3" t="s">
        <v>3353</v>
      </c>
      <c r="G526" s="3">
        <v>59212</v>
      </c>
      <c r="H526" s="3" t="s">
        <v>3354</v>
      </c>
      <c r="I526" s="3" t="s">
        <v>3355</v>
      </c>
      <c r="J526" s="3" t="s">
        <v>3356</v>
      </c>
      <c r="K526" s="3">
        <v>776881196</v>
      </c>
      <c r="L526" s="3" t="s">
        <v>61</v>
      </c>
      <c r="M526" s="6" t="s">
        <v>62</v>
      </c>
      <c r="N526" s="6" t="s">
        <v>63</v>
      </c>
      <c r="O526" s="3" t="s">
        <v>64</v>
      </c>
      <c r="Q526" s="6" t="str">
        <f>VLOOKUP(G526,seznampsc!A:B,2,FALSE)</f>
        <v>Žďár nad Sázavou</v>
      </c>
      <c r="R526" s="6" t="str">
        <f>VLOOKUP(G526,seznampsc!A:C,3,FALSE)</f>
        <v>Kraj Vysočina</v>
      </c>
      <c r="S526" s="6">
        <v>49.532564600000001</v>
      </c>
      <c r="T526" s="6">
        <v>15.805845700000001</v>
      </c>
      <c r="U526" s="6"/>
      <c r="V526" s="6"/>
      <c r="W526" s="6"/>
      <c r="X526" s="6"/>
      <c r="Y526" s="6"/>
      <c r="Z526" s="6"/>
      <c r="AA526" s="6"/>
      <c r="AB526" s="6"/>
      <c r="AC526" s="6"/>
      <c r="AD526" s="6">
        <v>680</v>
      </c>
      <c r="AE526" s="6">
        <v>680</v>
      </c>
      <c r="AF526" s="6">
        <v>680</v>
      </c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>
        <v>10</v>
      </c>
      <c r="AR526" s="6"/>
      <c r="AS526" s="6"/>
      <c r="AT526" s="6"/>
      <c r="AV526" s="3">
        <v>100000</v>
      </c>
    </row>
    <row r="527" spans="1:48" ht="24" customHeight="1" x14ac:dyDescent="0.3">
      <c r="A527" s="6" t="s">
        <v>53</v>
      </c>
      <c r="B527" s="6" t="s">
        <v>65</v>
      </c>
      <c r="C527" s="6" t="s">
        <v>3357</v>
      </c>
      <c r="D527" s="6" t="s">
        <v>3358</v>
      </c>
      <c r="E527" s="6" t="s">
        <v>3359</v>
      </c>
      <c r="F527" s="6" t="s">
        <v>3360</v>
      </c>
      <c r="G527" s="6">
        <v>59401</v>
      </c>
      <c r="H527" s="6" t="s">
        <v>280</v>
      </c>
      <c r="I527" s="6" t="s">
        <v>3359</v>
      </c>
      <c r="J527" s="6" t="s">
        <v>3361</v>
      </c>
      <c r="K527" s="6">
        <v>604435142</v>
      </c>
      <c r="L527" s="6" t="s">
        <v>73</v>
      </c>
      <c r="M527" s="6" t="s">
        <v>62</v>
      </c>
      <c r="N527" s="6" t="s">
        <v>63</v>
      </c>
      <c r="O527" s="6" t="s">
        <v>64</v>
      </c>
      <c r="Q527" s="6" t="str">
        <f>VLOOKUP(G527,seznampsc!A:B,2,FALSE)</f>
        <v>Žďár nad Sázavou</v>
      </c>
      <c r="R527" s="6" t="str">
        <f>VLOOKUP(G527,seznampsc!A:C,3,FALSE)</f>
        <v>Kraj Vysočina</v>
      </c>
      <c r="S527" s="6">
        <v>49.323520000000002</v>
      </c>
      <c r="T527" s="6">
        <v>16.088830000000002</v>
      </c>
      <c r="U527" s="6"/>
      <c r="V527" s="6"/>
      <c r="W527" s="6"/>
      <c r="X527" s="6"/>
      <c r="Y527" s="6"/>
      <c r="Z527" s="6"/>
      <c r="AA527" s="6"/>
      <c r="AB527" s="6"/>
      <c r="AC527" s="6"/>
      <c r="AD527" s="6">
        <v>650</v>
      </c>
      <c r="AE527" s="6">
        <v>690</v>
      </c>
      <c r="AF527" s="6">
        <v>700</v>
      </c>
      <c r="AG527" s="6"/>
      <c r="AH527" s="6"/>
      <c r="AI527" s="6"/>
      <c r="AJ527" s="6">
        <v>107</v>
      </c>
      <c r="AK527" s="6">
        <v>116</v>
      </c>
      <c r="AL527" s="6"/>
      <c r="AM527" s="6"/>
      <c r="AN527" s="6"/>
      <c r="AO527" s="6"/>
      <c r="AP527" s="6"/>
      <c r="AQ527" s="6">
        <v>5</v>
      </c>
      <c r="AR527" s="6">
        <v>5</v>
      </c>
      <c r="AS527" s="6"/>
      <c r="AT527" s="6"/>
    </row>
    <row r="528" spans="1:48" ht="24" customHeight="1" x14ac:dyDescent="0.3">
      <c r="A528" s="6" t="s">
        <v>53</v>
      </c>
      <c r="B528" s="6" t="s">
        <v>65</v>
      </c>
      <c r="C528" s="6" t="s">
        <v>3362</v>
      </c>
      <c r="D528" s="6" t="s">
        <v>3363</v>
      </c>
      <c r="E528" s="6" t="s">
        <v>3364</v>
      </c>
      <c r="F528" s="6" t="s">
        <v>3365</v>
      </c>
      <c r="G528" s="6">
        <v>19000</v>
      </c>
      <c r="H528" s="6" t="s">
        <v>80</v>
      </c>
      <c r="I528" s="6" t="s">
        <v>3366</v>
      </c>
      <c r="J528" s="6" t="s">
        <v>3367</v>
      </c>
      <c r="K528" s="6">
        <v>720231385.60894406</v>
      </c>
      <c r="L528" s="6" t="s">
        <v>73</v>
      </c>
      <c r="M528" s="6" t="s">
        <v>62</v>
      </c>
      <c r="N528" s="6" t="s">
        <v>63</v>
      </c>
      <c r="O528" s="6" t="s">
        <v>710</v>
      </c>
      <c r="P528" s="6"/>
      <c r="Q528" s="6" t="str">
        <f>VLOOKUP(G528,seznampsc!A:B,2,FALSE)</f>
        <v>Hlavní město Praha</v>
      </c>
      <c r="R528" s="6" t="str">
        <f>VLOOKUP(G528,seznampsc!A:C,3,FALSE)</f>
        <v>Hlavní město Praha</v>
      </c>
      <c r="S528" s="6">
        <v>50.102656199999998</v>
      </c>
      <c r="T528" s="6">
        <v>14.519537</v>
      </c>
      <c r="U528" s="6"/>
      <c r="V528" s="6"/>
      <c r="W528" s="6"/>
      <c r="X528" s="6"/>
      <c r="Y528" s="6"/>
      <c r="Z528" s="6"/>
      <c r="AA528" s="6"/>
      <c r="AB528" s="6"/>
      <c r="AC528" s="6"/>
      <c r="AD528" s="6">
        <v>750</v>
      </c>
      <c r="AE528" s="6">
        <v>750</v>
      </c>
      <c r="AF528" s="6">
        <v>750</v>
      </c>
      <c r="AG528" s="6"/>
      <c r="AH528" s="6"/>
      <c r="AI528" s="6"/>
      <c r="AJ528" s="6">
        <v>107</v>
      </c>
      <c r="AK528" s="6">
        <v>116</v>
      </c>
      <c r="AL528" s="6"/>
      <c r="AM528" s="6"/>
      <c r="AN528" s="30">
        <v>0.05</v>
      </c>
      <c r="AO528" s="30"/>
      <c r="AP528" s="30"/>
      <c r="AQ528" s="30"/>
      <c r="AR528" s="30"/>
      <c r="AS528" s="30"/>
      <c r="AT528" s="9">
        <v>250</v>
      </c>
      <c r="AU528" s="3" t="s">
        <v>3368</v>
      </c>
      <c r="AV528" s="3">
        <v>100000</v>
      </c>
    </row>
    <row r="529" spans="1:48" ht="24" customHeight="1" x14ac:dyDescent="0.3">
      <c r="A529" s="6"/>
      <c r="B529" s="6" t="s">
        <v>65</v>
      </c>
      <c r="C529" s="6" t="s">
        <v>114</v>
      </c>
      <c r="D529" s="6" t="s">
        <v>115</v>
      </c>
      <c r="E529" s="6" t="s">
        <v>116</v>
      </c>
      <c r="F529" s="6" t="s">
        <v>3369</v>
      </c>
      <c r="G529" s="6">
        <v>25066</v>
      </c>
      <c r="H529" s="6" t="s">
        <v>99</v>
      </c>
      <c r="I529" s="6" t="s">
        <v>100</v>
      </c>
      <c r="J529" s="6" t="s">
        <v>101</v>
      </c>
      <c r="K529" s="6">
        <v>775858857</v>
      </c>
      <c r="L529" s="6" t="s">
        <v>83</v>
      </c>
      <c r="M529" s="6" t="s">
        <v>120</v>
      </c>
      <c r="N529" s="6" t="s">
        <v>63</v>
      </c>
      <c r="O529" s="6" t="s">
        <v>97</v>
      </c>
      <c r="P529" s="6"/>
      <c r="Q529" s="6" t="str">
        <f>VLOOKUP(G529,seznampsc!A:B,2,FALSE)</f>
        <v>Praha-východ</v>
      </c>
      <c r="R529" s="6" t="str">
        <f>VLOOKUP(G529,seznampsc!A:C,3,FALSE)</f>
        <v>Středočeský kraj</v>
      </c>
      <c r="S529" s="6">
        <v>50.169651500000001</v>
      </c>
      <c r="T529" s="6">
        <v>14.459298799999999</v>
      </c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  <c r="AR529" s="6"/>
      <c r="AS529" s="6"/>
      <c r="AT529" s="6"/>
      <c r="AV529" s="10">
        <v>200000</v>
      </c>
    </row>
    <row r="530" spans="1:48" ht="24" customHeight="1" x14ac:dyDescent="0.3">
      <c r="A530" s="6"/>
      <c r="B530" s="6" t="s">
        <v>65</v>
      </c>
      <c r="C530" s="6" t="s">
        <v>160</v>
      </c>
      <c r="D530" s="6" t="s">
        <v>161</v>
      </c>
      <c r="E530" s="6" t="s">
        <v>3370</v>
      </c>
      <c r="F530" s="6" t="s">
        <v>3371</v>
      </c>
      <c r="G530" s="6">
        <v>18100</v>
      </c>
      <c r="H530" s="6" t="s">
        <v>80</v>
      </c>
      <c r="I530" s="6"/>
      <c r="J530" s="6" t="s">
        <v>3372</v>
      </c>
      <c r="K530" s="6">
        <v>283850132.23354298</v>
      </c>
      <c r="L530" s="6" t="s">
        <v>83</v>
      </c>
      <c r="M530" s="6" t="s">
        <v>3373</v>
      </c>
      <c r="N530" s="6" t="s">
        <v>63</v>
      </c>
      <c r="O530" s="6" t="s">
        <v>3374</v>
      </c>
      <c r="P530" s="6"/>
      <c r="Q530" s="6" t="str">
        <f>VLOOKUP(G530,seznampsc!A:B,2,FALSE)</f>
        <v>Hlavní město Praha</v>
      </c>
      <c r="R530" s="6" t="str">
        <f>VLOOKUP(G530,seznampsc!A:C,3,FALSE)</f>
        <v>Hlavní město Praha</v>
      </c>
      <c r="S530" s="6">
        <v>50.130673199999997</v>
      </c>
      <c r="T530" s="6">
        <v>14.4217958</v>
      </c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6"/>
      <c r="AS530" s="6"/>
      <c r="AT530" s="6"/>
      <c r="AV530" s="10">
        <v>200000</v>
      </c>
    </row>
    <row r="531" spans="1:48" ht="24" customHeight="1" x14ac:dyDescent="0.3">
      <c r="A531" s="6" t="s">
        <v>53</v>
      </c>
      <c r="B531" s="6" t="s">
        <v>65</v>
      </c>
      <c r="C531" s="6" t="s">
        <v>3375</v>
      </c>
      <c r="D531" s="6" t="s">
        <v>3376</v>
      </c>
      <c r="E531" s="6" t="s">
        <v>3377</v>
      </c>
      <c r="F531" s="6" t="s">
        <v>3378</v>
      </c>
      <c r="G531" s="6">
        <v>46401</v>
      </c>
      <c r="H531" s="6" t="s">
        <v>3379</v>
      </c>
      <c r="I531" s="6" t="s">
        <v>3380</v>
      </c>
      <c r="J531" s="6" t="s">
        <v>3381</v>
      </c>
      <c r="K531" s="6">
        <v>608237676.48231101</v>
      </c>
      <c r="L531" s="6" t="s">
        <v>73</v>
      </c>
      <c r="M531" s="6" t="s">
        <v>62</v>
      </c>
      <c r="N531" s="6" t="s">
        <v>63</v>
      </c>
      <c r="O531" s="6" t="s">
        <v>932</v>
      </c>
      <c r="P531" s="6"/>
      <c r="Q531" s="6" t="str">
        <f>VLOOKUP(G531,seznampsc!A:B,2,FALSE)</f>
        <v>Liberec</v>
      </c>
      <c r="R531" s="6" t="str">
        <f>VLOOKUP(G531,seznampsc!A:C,3,FALSE)</f>
        <v>Liberecký kraj</v>
      </c>
      <c r="S531" s="6">
        <v>50.902988200000003</v>
      </c>
      <c r="T531" s="6">
        <v>15.1143351</v>
      </c>
      <c r="U531" s="6"/>
      <c r="V531" s="6"/>
      <c r="W531" s="6"/>
      <c r="X531" s="6"/>
      <c r="Y531" s="6"/>
      <c r="Z531" s="6"/>
      <c r="AA531" s="6"/>
      <c r="AB531" s="6"/>
      <c r="AC531" s="6"/>
      <c r="AD531" s="6">
        <v>670</v>
      </c>
      <c r="AE531" s="6">
        <v>670</v>
      </c>
      <c r="AF531" s="6">
        <v>710</v>
      </c>
      <c r="AG531" s="6"/>
      <c r="AH531" s="6"/>
      <c r="AI531" s="6"/>
      <c r="AJ531" s="6">
        <v>107</v>
      </c>
      <c r="AK531" s="6">
        <v>107</v>
      </c>
      <c r="AL531" s="6"/>
      <c r="AM531" s="6"/>
      <c r="AN531" s="6"/>
      <c r="AO531" s="6"/>
      <c r="AP531" s="6"/>
      <c r="AQ531" s="6"/>
      <c r="AR531" s="6"/>
      <c r="AS531" s="6" t="s">
        <v>199</v>
      </c>
      <c r="AT531" s="6"/>
      <c r="AV531" s="3">
        <v>100000</v>
      </c>
    </row>
    <row r="532" spans="1:48" ht="24" customHeight="1" x14ac:dyDescent="0.3">
      <c r="A532" s="6" t="s">
        <v>53</v>
      </c>
      <c r="B532" s="6" t="s">
        <v>65</v>
      </c>
      <c r="C532" s="6" t="s">
        <v>3382</v>
      </c>
      <c r="D532" s="6">
        <v>8381747</v>
      </c>
      <c r="E532" s="6" t="s">
        <v>3383</v>
      </c>
      <c r="F532" s="6" t="s">
        <v>3384</v>
      </c>
      <c r="G532" s="6">
        <v>19800</v>
      </c>
      <c r="H532" s="6" t="s">
        <v>978</v>
      </c>
      <c r="I532" s="6" t="s">
        <v>3385</v>
      </c>
      <c r="J532" s="7" t="s">
        <v>3386</v>
      </c>
      <c r="K532" s="8">
        <v>774882865</v>
      </c>
      <c r="L532" s="6" t="s">
        <v>73</v>
      </c>
      <c r="M532" s="6" t="s">
        <v>62</v>
      </c>
      <c r="N532" s="6" t="s">
        <v>63</v>
      </c>
      <c r="O532" s="6" t="s">
        <v>804</v>
      </c>
      <c r="P532" s="6"/>
      <c r="Q532" s="6" t="str">
        <f>VLOOKUP(G532,seznampsc!A:B,2,FALSE)</f>
        <v>Hlavní město Praha</v>
      </c>
      <c r="R532" s="6" t="str">
        <f>VLOOKUP(G532,seznampsc!A:C,3,FALSE)</f>
        <v>Hlavní město Praha</v>
      </c>
      <c r="S532" s="6" t="s">
        <v>3387</v>
      </c>
      <c r="T532" s="6" t="s">
        <v>3388</v>
      </c>
      <c r="U532" s="6"/>
      <c r="V532" s="6"/>
      <c r="W532" s="6"/>
      <c r="X532" s="6"/>
      <c r="Y532" s="6"/>
      <c r="Z532" s="6"/>
      <c r="AA532" s="6"/>
      <c r="AB532" s="6"/>
      <c r="AC532" s="6"/>
      <c r="AD532" s="6">
        <v>720</v>
      </c>
      <c r="AE532" s="6">
        <v>720</v>
      </c>
      <c r="AF532" s="6">
        <v>720</v>
      </c>
      <c r="AG532" s="6"/>
      <c r="AH532" s="6"/>
      <c r="AI532" s="6"/>
      <c r="AJ532" s="6">
        <v>107</v>
      </c>
      <c r="AK532" s="6">
        <v>107</v>
      </c>
      <c r="AL532" s="6"/>
      <c r="AM532" s="6"/>
      <c r="AN532" s="6"/>
      <c r="AO532" s="6"/>
      <c r="AP532" s="6">
        <v>0</v>
      </c>
      <c r="AQ532" s="6">
        <v>10</v>
      </c>
      <c r="AR532" s="6"/>
      <c r="AS532" s="6">
        <v>40</v>
      </c>
      <c r="AT532" s="6"/>
      <c r="AU532" s="6"/>
      <c r="AV532" s="6">
        <v>100000</v>
      </c>
    </row>
    <row r="533" spans="1:48" ht="24" customHeight="1" x14ac:dyDescent="0.3">
      <c r="A533" s="6" t="s">
        <v>53</v>
      </c>
      <c r="B533" s="6" t="s">
        <v>65</v>
      </c>
      <c r="C533" s="6" t="s">
        <v>3382</v>
      </c>
      <c r="D533" s="6">
        <v>8381747</v>
      </c>
      <c r="E533" s="6" t="s">
        <v>3383</v>
      </c>
      <c r="F533" s="6" t="s">
        <v>3389</v>
      </c>
      <c r="G533" s="6">
        <v>25063</v>
      </c>
      <c r="H533" s="6" t="s">
        <v>3390</v>
      </c>
      <c r="I533" s="6" t="s">
        <v>3391</v>
      </c>
      <c r="J533" s="7" t="s">
        <v>3392</v>
      </c>
      <c r="K533" s="8">
        <v>773882865</v>
      </c>
      <c r="L533" s="6" t="s">
        <v>73</v>
      </c>
      <c r="M533" s="6" t="s">
        <v>62</v>
      </c>
      <c r="N533" s="6" t="s">
        <v>63</v>
      </c>
      <c r="O533" s="6" t="s">
        <v>804</v>
      </c>
      <c r="P533" s="6"/>
      <c r="Q533" s="6" t="str">
        <f>VLOOKUP(G533,seznampsc!A:B,2,FALSE)</f>
        <v>Mělník</v>
      </c>
      <c r="R533" s="6" t="str">
        <f>VLOOKUP(G533,seznampsc!A:C,3,FALSE)</f>
        <v>Středočeský kraj</v>
      </c>
      <c r="S533" s="6" t="s">
        <v>3393</v>
      </c>
      <c r="T533" s="6" t="s">
        <v>3394</v>
      </c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  <c r="AR533" s="6"/>
      <c r="AS533" s="6"/>
      <c r="AT533" s="6"/>
      <c r="AU533" s="6"/>
      <c r="AV533" s="6">
        <v>100000</v>
      </c>
    </row>
    <row r="534" spans="1:48" ht="24" customHeight="1" x14ac:dyDescent="0.3">
      <c r="A534" s="6"/>
      <c r="B534" s="6" t="s">
        <v>65</v>
      </c>
      <c r="C534" s="6" t="s">
        <v>3382</v>
      </c>
      <c r="D534" s="6">
        <v>5699487</v>
      </c>
      <c r="E534" s="6" t="s">
        <v>3395</v>
      </c>
      <c r="F534" s="6" t="s">
        <v>3396</v>
      </c>
      <c r="G534" s="6">
        <v>41117</v>
      </c>
      <c r="H534" s="6" t="s">
        <v>3397</v>
      </c>
      <c r="I534" s="6" t="s">
        <v>3398</v>
      </c>
      <c r="J534" s="7" t="s">
        <v>3399</v>
      </c>
      <c r="K534" s="8">
        <v>602428752</v>
      </c>
      <c r="L534" s="6" t="s">
        <v>73</v>
      </c>
      <c r="M534" s="6" t="s">
        <v>62</v>
      </c>
      <c r="N534" s="6" t="s">
        <v>63</v>
      </c>
      <c r="O534" s="6" t="s">
        <v>198</v>
      </c>
      <c r="P534" s="6"/>
      <c r="Q534" s="6" t="str">
        <f>VLOOKUP(G534,seznampsc!A:B,2,FALSE)</f>
        <v>Litoměřice</v>
      </c>
      <c r="R534" s="6" t="str">
        <f>VLOOKUP(G534,seznampsc!A:C,3,FALSE)</f>
        <v>Ústecký kraj</v>
      </c>
      <c r="S534" s="6" t="s">
        <v>3400</v>
      </c>
      <c r="T534" s="6" t="s">
        <v>3401</v>
      </c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  <c r="AR534" s="6"/>
      <c r="AS534" s="6"/>
      <c r="AT534" s="6"/>
      <c r="AU534" s="6"/>
      <c r="AV534" s="6" t="s">
        <v>3402</v>
      </c>
    </row>
    <row r="535" spans="1:48" ht="24" customHeight="1" x14ac:dyDescent="0.3">
      <c r="A535" s="6" t="s">
        <v>53</v>
      </c>
      <c r="B535" s="6" t="s">
        <v>65</v>
      </c>
      <c r="C535" s="6" t="s">
        <v>3403</v>
      </c>
      <c r="D535" s="6">
        <v>3052681</v>
      </c>
      <c r="E535" s="6" t="s">
        <v>3404</v>
      </c>
      <c r="F535" s="6" t="s">
        <v>3405</v>
      </c>
      <c r="G535" s="6">
        <v>74735</v>
      </c>
      <c r="H535" s="6" t="s">
        <v>3406</v>
      </c>
      <c r="I535" s="6" t="s">
        <v>3404</v>
      </c>
      <c r="J535" s="7" t="s">
        <v>3407</v>
      </c>
      <c r="K535" s="8">
        <v>603157998</v>
      </c>
      <c r="L535" s="6" t="s">
        <v>73</v>
      </c>
      <c r="M535" s="6" t="s">
        <v>62</v>
      </c>
      <c r="N535" s="6" t="s">
        <v>63</v>
      </c>
      <c r="O535" s="6" t="s">
        <v>804</v>
      </c>
      <c r="P535" s="6"/>
      <c r="Q535" s="6" t="str">
        <f>VLOOKUP(G535,seznampsc!A:B,2,FALSE)</f>
        <v>Opava</v>
      </c>
      <c r="R535" s="6" t="str">
        <f>VLOOKUP(G535,seznampsc!A:C,3,FALSE)</f>
        <v>Moravskoslezský kraj</v>
      </c>
      <c r="S535" s="6" t="s">
        <v>3408</v>
      </c>
      <c r="T535" s="6" t="s">
        <v>3409</v>
      </c>
      <c r="U535" s="6"/>
      <c r="V535" s="6"/>
      <c r="W535" s="6"/>
      <c r="X535" s="6"/>
      <c r="Y535" s="6"/>
      <c r="Z535" s="6"/>
      <c r="AA535" s="6"/>
      <c r="AB535" s="6"/>
      <c r="AC535" s="6"/>
      <c r="AD535" s="6">
        <v>620</v>
      </c>
      <c r="AE535" s="6">
        <v>620</v>
      </c>
      <c r="AF535" s="6">
        <v>660</v>
      </c>
      <c r="AG535" s="6"/>
      <c r="AH535" s="6"/>
      <c r="AI535" s="6"/>
      <c r="AJ535" s="6">
        <v>107</v>
      </c>
      <c r="AK535" s="6">
        <v>107</v>
      </c>
      <c r="AL535" s="6"/>
      <c r="AM535" s="6"/>
      <c r="AN535" s="6"/>
      <c r="AO535" s="6"/>
      <c r="AP535" s="6">
        <v>3</v>
      </c>
      <c r="AQ535" s="6">
        <v>10</v>
      </c>
      <c r="AR535" s="6"/>
      <c r="AS535" s="6">
        <v>30</v>
      </c>
      <c r="AT535" s="6"/>
      <c r="AU535" s="6"/>
      <c r="AV535" s="6">
        <v>100000</v>
      </c>
    </row>
    <row r="536" spans="1:48" ht="24" customHeight="1" x14ac:dyDescent="0.3">
      <c r="B536" s="6" t="s">
        <v>65</v>
      </c>
      <c r="C536" s="6" t="s">
        <v>3410</v>
      </c>
      <c r="D536" s="6">
        <v>26241439</v>
      </c>
      <c r="E536" s="6" t="s">
        <v>3411</v>
      </c>
      <c r="F536" s="6" t="s">
        <v>3412</v>
      </c>
      <c r="G536" s="6">
        <v>61200</v>
      </c>
      <c r="H536" s="6" t="s">
        <v>272</v>
      </c>
      <c r="I536" s="6" t="s">
        <v>3413</v>
      </c>
      <c r="J536" s="7" t="s">
        <v>3414</v>
      </c>
      <c r="K536" s="8">
        <v>734645949</v>
      </c>
      <c r="L536" s="6" t="s">
        <v>586</v>
      </c>
      <c r="M536" s="6" t="s">
        <v>3415</v>
      </c>
      <c r="N536" s="6" t="s">
        <v>63</v>
      </c>
      <c r="O536" s="6" t="s">
        <v>3416</v>
      </c>
      <c r="P536" s="6"/>
      <c r="Q536" s="6" t="str">
        <f>VLOOKUP(G536,seznampsc!A:B,2,FALSE)</f>
        <v>Brno-město</v>
      </c>
      <c r="R536" s="6" t="str">
        <f>VLOOKUP(G536,seznampsc!A:C,3,FALSE)</f>
        <v>Jihomoravský kraj</v>
      </c>
      <c r="S536" s="6" t="s">
        <v>3417</v>
      </c>
      <c r="T536" s="6" t="s">
        <v>3418</v>
      </c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>
        <v>100</v>
      </c>
      <c r="AK536" s="6">
        <v>100</v>
      </c>
      <c r="AL536" s="6"/>
      <c r="AM536" s="6"/>
      <c r="AN536" s="6"/>
      <c r="AO536" s="6"/>
      <c r="AP536" s="6">
        <v>5</v>
      </c>
      <c r="AQ536" s="6"/>
      <c r="AR536" s="6">
        <v>5</v>
      </c>
      <c r="AS536" s="6"/>
      <c r="AT536" s="6"/>
      <c r="AU536" s="6"/>
      <c r="AV536" s="8">
        <v>150000</v>
      </c>
    </row>
    <row r="537" spans="1:48" ht="24" customHeight="1" x14ac:dyDescent="0.3">
      <c r="A537" s="6" t="s">
        <v>53</v>
      </c>
      <c r="B537" s="6" t="s">
        <v>65</v>
      </c>
      <c r="C537" s="6" t="s">
        <v>3419</v>
      </c>
      <c r="D537" s="6" t="s">
        <v>3420</v>
      </c>
      <c r="E537" s="6" t="s">
        <v>3421</v>
      </c>
      <c r="F537" s="6" t="s">
        <v>3422</v>
      </c>
      <c r="G537" s="6">
        <v>15000</v>
      </c>
      <c r="H537" s="6" t="s">
        <v>984</v>
      </c>
      <c r="I537" s="6" t="s">
        <v>3423</v>
      </c>
      <c r="J537" s="6" t="s">
        <v>3424</v>
      </c>
      <c r="K537" s="8">
        <v>420602221384</v>
      </c>
      <c r="L537" s="6" t="s">
        <v>73</v>
      </c>
      <c r="M537" s="6" t="s">
        <v>62</v>
      </c>
      <c r="N537" s="6" t="s">
        <v>63</v>
      </c>
      <c r="O537" s="6" t="s">
        <v>994</v>
      </c>
      <c r="P537" s="6"/>
      <c r="Q537" s="6" t="str">
        <f>VLOOKUP(G537,seznampsc!A:B,2,FALSE)</f>
        <v>Hlavní město Praha</v>
      </c>
      <c r="R537" s="6" t="str">
        <f>VLOOKUP(G537,seznampsc!A:C,3,FALSE)</f>
        <v>Hlavní město Praha</v>
      </c>
      <c r="S537" s="6">
        <v>50.055040099999999</v>
      </c>
      <c r="T537" s="6">
        <v>14.373411000000001</v>
      </c>
      <c r="U537" s="6"/>
      <c r="V537" s="6"/>
      <c r="W537" s="6"/>
      <c r="X537" s="6"/>
      <c r="Y537" s="6"/>
      <c r="Z537" s="6"/>
      <c r="AA537" s="6"/>
      <c r="AB537" s="6"/>
      <c r="AC537" s="6"/>
      <c r="AD537" s="6">
        <v>650</v>
      </c>
      <c r="AE537" s="6">
        <v>650</v>
      </c>
      <c r="AF537" s="6">
        <v>650</v>
      </c>
      <c r="AG537" s="6"/>
      <c r="AH537" s="6"/>
      <c r="AI537" s="6"/>
      <c r="AJ537" s="6">
        <v>107</v>
      </c>
      <c r="AK537" s="6">
        <v>116</v>
      </c>
      <c r="AL537" s="6"/>
      <c r="AM537" s="6"/>
      <c r="AN537" s="6"/>
      <c r="AO537" s="6"/>
      <c r="AP537" s="6"/>
      <c r="AQ537" s="6"/>
      <c r="AR537" s="6"/>
      <c r="AS537" s="6" t="s">
        <v>199</v>
      </c>
      <c r="AT537" s="6"/>
      <c r="AV537" s="3">
        <v>50000</v>
      </c>
    </row>
    <row r="538" spans="1:48" ht="24" customHeight="1" x14ac:dyDescent="0.3">
      <c r="B538" s="6" t="s">
        <v>65</v>
      </c>
      <c r="C538" s="6" t="s">
        <v>1405</v>
      </c>
      <c r="D538" s="6">
        <v>12871117</v>
      </c>
      <c r="E538" s="6" t="s">
        <v>1406</v>
      </c>
      <c r="F538" s="6" t="s">
        <v>3425</v>
      </c>
      <c r="G538" s="6">
        <v>35002</v>
      </c>
      <c r="H538" s="6" t="s">
        <v>3426</v>
      </c>
      <c r="I538" s="6" t="s">
        <v>3427</v>
      </c>
      <c r="J538" s="7" t="s">
        <v>3428</v>
      </c>
      <c r="K538" s="8">
        <v>354547821.35454702</v>
      </c>
      <c r="L538" s="6" t="s">
        <v>586</v>
      </c>
      <c r="M538" s="6" t="s">
        <v>3429</v>
      </c>
      <c r="N538" s="6" t="s">
        <v>63</v>
      </c>
      <c r="O538" s="6" t="s">
        <v>804</v>
      </c>
      <c r="P538" s="6"/>
      <c r="Q538" s="6" t="str">
        <f>VLOOKUP(G538,seznampsc!A:B,2,FALSE)</f>
        <v>Cheb</v>
      </c>
      <c r="R538" s="6" t="str">
        <f>VLOOKUP(G538,seznampsc!A:C,3,FALSE)</f>
        <v>Karlovarský kraj</v>
      </c>
      <c r="S538" s="6" t="s">
        <v>3430</v>
      </c>
      <c r="T538" s="6" t="s">
        <v>3431</v>
      </c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6"/>
      <c r="AS538" s="6"/>
      <c r="AT538" s="6"/>
      <c r="AU538" s="6"/>
      <c r="AV538" s="8"/>
    </row>
    <row r="539" spans="1:48" ht="24" customHeight="1" x14ac:dyDescent="0.3">
      <c r="A539" s="3" t="s">
        <v>53</v>
      </c>
      <c r="B539" s="6" t="s">
        <v>65</v>
      </c>
      <c r="C539" s="6" t="s">
        <v>3432</v>
      </c>
      <c r="D539" s="6">
        <v>71689427</v>
      </c>
      <c r="E539" s="6" t="s">
        <v>3433</v>
      </c>
      <c r="F539" s="6" t="s">
        <v>3434</v>
      </c>
      <c r="G539" s="6">
        <v>46303</v>
      </c>
      <c r="H539" s="6" t="s">
        <v>3435</v>
      </c>
      <c r="I539" s="6" t="s">
        <v>3436</v>
      </c>
      <c r="J539" s="6" t="s">
        <v>3437</v>
      </c>
      <c r="K539" s="8">
        <v>606706066.72304201</v>
      </c>
      <c r="L539" s="6" t="s">
        <v>151</v>
      </c>
      <c r="M539" s="6" t="s">
        <v>62</v>
      </c>
      <c r="N539" s="3" t="s">
        <v>63</v>
      </c>
      <c r="O539" s="6" t="s">
        <v>804</v>
      </c>
      <c r="P539" s="6"/>
      <c r="Q539" s="6" t="str">
        <f>VLOOKUP(G539,seznampsc!A:B,2,FALSE)</f>
        <v>Liberec</v>
      </c>
      <c r="R539" s="6" t="str">
        <f>VLOOKUP(G539,seznampsc!A:C,3,FALSE)</f>
        <v>Liberecký kraj</v>
      </c>
      <c r="S539" s="6">
        <v>50.7889172</v>
      </c>
      <c r="T539" s="6">
        <v>15.0432975</v>
      </c>
      <c r="AD539" s="3">
        <v>630</v>
      </c>
      <c r="AE539" s="3">
        <v>630</v>
      </c>
      <c r="AF539" s="3">
        <v>630</v>
      </c>
      <c r="AJ539" s="3">
        <v>107</v>
      </c>
      <c r="AK539" s="3">
        <v>116</v>
      </c>
      <c r="AP539" s="3">
        <v>2.5</v>
      </c>
      <c r="AQ539" s="3">
        <v>10</v>
      </c>
      <c r="AS539" s="3" t="s">
        <v>199</v>
      </c>
      <c r="AT539" s="3">
        <v>250</v>
      </c>
      <c r="AU539" s="6"/>
      <c r="AV539" s="3">
        <v>200000</v>
      </c>
    </row>
    <row r="540" spans="1:48" ht="24" customHeight="1" x14ac:dyDescent="0.3">
      <c r="A540" s="6" t="s">
        <v>53</v>
      </c>
      <c r="B540" s="6" t="s">
        <v>65</v>
      </c>
      <c r="C540" s="6" t="s">
        <v>3438</v>
      </c>
      <c r="D540" s="6" t="s">
        <v>3439</v>
      </c>
      <c r="E540" s="6" t="s">
        <v>3440</v>
      </c>
      <c r="F540" s="6" t="s">
        <v>3441</v>
      </c>
      <c r="G540" s="6">
        <v>35601</v>
      </c>
      <c r="H540" s="6" t="s">
        <v>3442</v>
      </c>
      <c r="I540" s="6" t="s">
        <v>3443</v>
      </c>
      <c r="J540" s="6" t="s">
        <v>3444</v>
      </c>
      <c r="K540" s="6">
        <v>608949441</v>
      </c>
      <c r="L540" s="6" t="s">
        <v>73</v>
      </c>
      <c r="M540" s="6" t="s">
        <v>62</v>
      </c>
      <c r="N540" s="6" t="s">
        <v>63</v>
      </c>
      <c r="O540" s="6" t="s">
        <v>64</v>
      </c>
      <c r="Q540" s="6" t="str">
        <f>VLOOKUP(G540,seznampsc!A:B,2,FALSE)</f>
        <v>Sokolov</v>
      </c>
      <c r="R540" s="6" t="str">
        <f>VLOOKUP(G540,seznampsc!A:C,3,FALSE)</f>
        <v>Karlovarský kraj</v>
      </c>
      <c r="S540" s="6">
        <v>50.178609999999999</v>
      </c>
      <c r="T540" s="6">
        <v>12.715960000000001</v>
      </c>
      <c r="U540" s="6"/>
      <c r="V540" s="6"/>
      <c r="W540" s="6"/>
      <c r="X540" s="6"/>
      <c r="Y540" s="6"/>
      <c r="Z540" s="6"/>
      <c r="AA540" s="6"/>
      <c r="AB540" s="6"/>
      <c r="AC540" s="6"/>
      <c r="AD540" s="6">
        <v>600</v>
      </c>
      <c r="AE540" s="6">
        <v>600</v>
      </c>
      <c r="AF540" s="6">
        <v>600</v>
      </c>
      <c r="AG540" s="6"/>
      <c r="AH540" s="6"/>
      <c r="AI540" s="6"/>
      <c r="AJ540" s="6">
        <v>107</v>
      </c>
      <c r="AK540" s="6">
        <v>107</v>
      </c>
      <c r="AL540" s="6"/>
      <c r="AM540" s="6"/>
      <c r="AN540" s="6"/>
      <c r="AO540" s="6"/>
      <c r="AP540" s="6">
        <v>5</v>
      </c>
      <c r="AQ540" s="6">
        <v>5</v>
      </c>
      <c r="AR540" s="6"/>
      <c r="AS540" s="6"/>
      <c r="AT540" s="6"/>
      <c r="AV540" s="3">
        <v>100000</v>
      </c>
    </row>
    <row r="541" spans="1:48" ht="24" customHeight="1" x14ac:dyDescent="0.3">
      <c r="A541" s="6"/>
      <c r="B541" s="6" t="s">
        <v>65</v>
      </c>
      <c r="C541" s="6" t="s">
        <v>3445</v>
      </c>
      <c r="D541" s="6">
        <v>25999966</v>
      </c>
      <c r="E541" s="6" t="s">
        <v>3446</v>
      </c>
      <c r="F541" s="6" t="s">
        <v>3447</v>
      </c>
      <c r="G541" s="6">
        <v>53701</v>
      </c>
      <c r="H541" s="6" t="s">
        <v>3448</v>
      </c>
      <c r="I541" s="6" t="s">
        <v>3449</v>
      </c>
      <c r="J541" s="6" t="s">
        <v>3450</v>
      </c>
      <c r="K541" s="6">
        <v>739137549</v>
      </c>
      <c r="L541" s="6" t="s">
        <v>586</v>
      </c>
      <c r="M541" s="6" t="s">
        <v>134</v>
      </c>
      <c r="N541" s="6" t="s">
        <v>63</v>
      </c>
      <c r="O541" s="6" t="s">
        <v>804</v>
      </c>
      <c r="P541" s="6"/>
      <c r="Q541" s="6" t="str">
        <f>VLOOKUP(G541,seznampsc!A:B,2,FALSE)</f>
        <v>Chrudim</v>
      </c>
      <c r="R541" s="6" t="str">
        <f>VLOOKUP(G541,seznampsc!A:C,3,FALSE)</f>
        <v>Pardubický kraj</v>
      </c>
      <c r="S541" s="6" t="s">
        <v>3451</v>
      </c>
      <c r="T541" s="6" t="s">
        <v>3452</v>
      </c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  <c r="AS541" s="6"/>
      <c r="AT541" s="6"/>
      <c r="AV541" s="10">
        <v>200000</v>
      </c>
    </row>
    <row r="542" spans="1:48" ht="24" customHeight="1" x14ac:dyDescent="0.3">
      <c r="A542" s="3" t="s">
        <v>53</v>
      </c>
      <c r="B542" s="6" t="s">
        <v>65</v>
      </c>
      <c r="C542" s="6" t="s">
        <v>3453</v>
      </c>
      <c r="D542" s="6">
        <v>48390747</v>
      </c>
      <c r="E542" s="6" t="s">
        <v>3454</v>
      </c>
      <c r="F542" s="6" t="s">
        <v>3455</v>
      </c>
      <c r="G542" s="6">
        <v>74801</v>
      </c>
      <c r="H542" s="6" t="s">
        <v>3456</v>
      </c>
      <c r="I542" s="6" t="s">
        <v>3457</v>
      </c>
      <c r="J542" s="7" t="s">
        <v>3458</v>
      </c>
      <c r="K542" s="8">
        <v>601159149</v>
      </c>
      <c r="L542" s="6" t="s">
        <v>586</v>
      </c>
      <c r="M542" s="6" t="s">
        <v>1411</v>
      </c>
      <c r="N542" s="6" t="s">
        <v>63</v>
      </c>
      <c r="O542" s="6" t="s">
        <v>804</v>
      </c>
      <c r="P542" s="6"/>
      <c r="Q542" s="6" t="str">
        <f>VLOOKUP(G542,seznampsc!A:B,2,FALSE)</f>
        <v>Opava</v>
      </c>
      <c r="R542" s="6" t="str">
        <f>VLOOKUP(G542,seznampsc!A:C,3,FALSE)</f>
        <v>Moravskoslezský kraj</v>
      </c>
      <c r="S542" s="6" t="s">
        <v>3459</v>
      </c>
      <c r="T542" s="6" t="s">
        <v>3460</v>
      </c>
      <c r="U542" s="6"/>
      <c r="V542" s="6"/>
      <c r="W542" s="6"/>
      <c r="X542" s="6"/>
      <c r="Y542" s="6"/>
      <c r="Z542" s="6"/>
      <c r="AA542" s="6"/>
      <c r="AB542" s="6"/>
      <c r="AC542" s="6"/>
      <c r="AD542" s="6">
        <v>750</v>
      </c>
      <c r="AE542" s="6">
        <v>750</v>
      </c>
      <c r="AF542" s="6">
        <v>750</v>
      </c>
      <c r="AG542" s="6"/>
      <c r="AH542" s="6"/>
      <c r="AI542" s="6"/>
      <c r="AJ542" s="6">
        <v>100</v>
      </c>
      <c r="AK542" s="6">
        <v>100</v>
      </c>
      <c r="AL542" s="6"/>
      <c r="AM542" s="6"/>
      <c r="AN542" s="6"/>
      <c r="AO542" s="6"/>
      <c r="AP542" s="6">
        <v>5</v>
      </c>
      <c r="AQ542" s="6">
        <v>5</v>
      </c>
      <c r="AR542" s="6"/>
      <c r="AS542" s="6">
        <v>5</v>
      </c>
      <c r="AT542" s="6"/>
      <c r="AU542" s="6"/>
      <c r="AV542" s="8">
        <v>200000</v>
      </c>
    </row>
    <row r="543" spans="1:48" ht="24" customHeight="1" x14ac:dyDescent="0.3">
      <c r="A543" s="3" t="s">
        <v>53</v>
      </c>
      <c r="B543" s="6" t="s">
        <v>65</v>
      </c>
      <c r="C543" s="6" t="s">
        <v>3453</v>
      </c>
      <c r="D543" s="6">
        <v>48390747</v>
      </c>
      <c r="E543" s="6" t="s">
        <v>3454</v>
      </c>
      <c r="F543" s="6" t="s">
        <v>3461</v>
      </c>
      <c r="G543" s="6">
        <v>72200</v>
      </c>
      <c r="H543" s="6" t="s">
        <v>3245</v>
      </c>
      <c r="I543" s="6" t="s">
        <v>3462</v>
      </c>
      <c r="J543" s="7" t="s">
        <v>3463</v>
      </c>
      <c r="K543" s="8">
        <v>602695769</v>
      </c>
      <c r="L543" s="6" t="s">
        <v>586</v>
      </c>
      <c r="M543" s="6" t="s">
        <v>1411</v>
      </c>
      <c r="N543" s="6" t="s">
        <v>63</v>
      </c>
      <c r="O543" s="6" t="s">
        <v>804</v>
      </c>
      <c r="P543" s="6"/>
      <c r="Q543" s="6" t="str">
        <f>VLOOKUP(G543,seznampsc!A:B,2,FALSE)</f>
        <v>Ostrava-město</v>
      </c>
      <c r="R543" s="6" t="str">
        <f>VLOOKUP(G543,seznampsc!A:C,3,FALSE)</f>
        <v>Moravskoslezský kraj</v>
      </c>
      <c r="S543" s="6" t="s">
        <v>3464</v>
      </c>
      <c r="T543" s="6" t="s">
        <v>3465</v>
      </c>
      <c r="U543" s="6"/>
      <c r="V543" s="6"/>
      <c r="W543" s="6"/>
      <c r="X543" s="6"/>
      <c r="Y543" s="6"/>
      <c r="Z543" s="6"/>
      <c r="AA543" s="6"/>
      <c r="AB543" s="6"/>
      <c r="AC543" s="6"/>
      <c r="AD543" s="6">
        <v>750</v>
      </c>
      <c r="AE543" s="6">
        <v>750</v>
      </c>
      <c r="AF543" s="6">
        <v>750</v>
      </c>
      <c r="AG543" s="6"/>
      <c r="AH543" s="6"/>
      <c r="AI543" s="6"/>
      <c r="AJ543" s="6">
        <v>100</v>
      </c>
      <c r="AK543" s="6">
        <v>100</v>
      </c>
      <c r="AL543" s="6"/>
      <c r="AM543" s="6"/>
      <c r="AN543" s="6"/>
      <c r="AO543" s="6"/>
      <c r="AP543" s="6">
        <v>5</v>
      </c>
      <c r="AQ543" s="6">
        <v>5</v>
      </c>
      <c r="AR543" s="6"/>
      <c r="AS543" s="6">
        <v>5</v>
      </c>
      <c r="AT543" s="6"/>
      <c r="AU543" s="6"/>
      <c r="AV543" s="8">
        <v>200000</v>
      </c>
    </row>
    <row r="544" spans="1:48" ht="24" customHeight="1" x14ac:dyDescent="0.3">
      <c r="A544" s="3" t="s">
        <v>53</v>
      </c>
      <c r="B544" s="6" t="s">
        <v>65</v>
      </c>
      <c r="C544" s="6" t="s">
        <v>3453</v>
      </c>
      <c r="D544" s="6">
        <v>48390747</v>
      </c>
      <c r="E544" s="6" t="s">
        <v>3454</v>
      </c>
      <c r="F544" s="6" t="s">
        <v>3466</v>
      </c>
      <c r="G544" s="6">
        <v>73301</v>
      </c>
      <c r="H544" s="6" t="s">
        <v>3467</v>
      </c>
      <c r="I544" s="6" t="s">
        <v>3468</v>
      </c>
      <c r="J544" s="7" t="s">
        <v>3469</v>
      </c>
      <c r="K544" s="8">
        <v>608311131</v>
      </c>
      <c r="L544" s="6" t="s">
        <v>586</v>
      </c>
      <c r="M544" s="6" t="s">
        <v>1411</v>
      </c>
      <c r="N544" s="6" t="s">
        <v>63</v>
      </c>
      <c r="O544" s="6" t="s">
        <v>804</v>
      </c>
      <c r="P544" s="6"/>
      <c r="Q544" s="6" t="str">
        <f>VLOOKUP(G544,seznampsc!A:B,2,FALSE)</f>
        <v>Karviná</v>
      </c>
      <c r="R544" s="6" t="str">
        <f>VLOOKUP(G544,seznampsc!A:C,3,FALSE)</f>
        <v>Moravskoslezský kraj</v>
      </c>
      <c r="S544" s="6" t="s">
        <v>3470</v>
      </c>
      <c r="T544" s="6" t="s">
        <v>3471</v>
      </c>
      <c r="U544" s="6"/>
      <c r="V544" s="6"/>
      <c r="W544" s="6"/>
      <c r="X544" s="6"/>
      <c r="Y544" s="6"/>
      <c r="Z544" s="6"/>
      <c r="AA544" s="6"/>
      <c r="AB544" s="6"/>
      <c r="AC544" s="6"/>
      <c r="AD544" s="6">
        <v>750</v>
      </c>
      <c r="AE544" s="6">
        <v>750</v>
      </c>
      <c r="AF544" s="6">
        <v>750</v>
      </c>
      <c r="AG544" s="6"/>
      <c r="AH544" s="6"/>
      <c r="AI544" s="6"/>
      <c r="AJ544" s="6">
        <v>100</v>
      </c>
      <c r="AK544" s="6">
        <v>100</v>
      </c>
      <c r="AL544" s="6"/>
      <c r="AM544" s="6"/>
      <c r="AN544" s="6"/>
      <c r="AO544" s="6"/>
      <c r="AP544" s="6">
        <v>5</v>
      </c>
      <c r="AQ544" s="6">
        <v>5</v>
      </c>
      <c r="AR544" s="6"/>
      <c r="AS544" s="6">
        <v>5</v>
      </c>
      <c r="AT544" s="6"/>
      <c r="AU544" s="6"/>
      <c r="AV544" s="8">
        <v>200000</v>
      </c>
    </row>
    <row r="545" spans="1:48" ht="24" customHeight="1" x14ac:dyDescent="0.3">
      <c r="B545" s="3" t="s">
        <v>65</v>
      </c>
      <c r="C545" s="3" t="s">
        <v>3445</v>
      </c>
      <c r="D545" s="3">
        <v>25999966</v>
      </c>
      <c r="E545" s="3" t="s">
        <v>3446</v>
      </c>
      <c r="F545" s="3" t="s">
        <v>3447</v>
      </c>
      <c r="G545" s="6">
        <v>53701</v>
      </c>
      <c r="H545" s="3" t="s">
        <v>3448</v>
      </c>
      <c r="I545" s="3" t="s">
        <v>3449</v>
      </c>
      <c r="J545" s="3" t="s">
        <v>3450</v>
      </c>
      <c r="K545" s="3">
        <v>739137549</v>
      </c>
      <c r="L545" s="3" t="s">
        <v>73</v>
      </c>
      <c r="M545" s="3" t="s">
        <v>62</v>
      </c>
      <c r="N545" s="3" t="s">
        <v>63</v>
      </c>
      <c r="O545" s="3" t="s">
        <v>804</v>
      </c>
      <c r="Q545" s="6" t="str">
        <f>VLOOKUP(G545,seznampsc!A:B,2,FALSE)</f>
        <v>Chrudim</v>
      </c>
      <c r="R545" s="6" t="str">
        <f>VLOOKUP(G545,seznampsc!A:C,3,FALSE)</f>
        <v>Pardubický kraj</v>
      </c>
      <c r="S545" s="6">
        <v>49.916049999999998</v>
      </c>
      <c r="T545" s="6">
        <v>15.797090000000001</v>
      </c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6"/>
      <c r="AS545" s="6"/>
      <c r="AT545" s="6"/>
    </row>
    <row r="546" spans="1:48" ht="24" customHeight="1" x14ac:dyDescent="0.3">
      <c r="A546" s="3" t="s">
        <v>53</v>
      </c>
      <c r="B546" s="6" t="s">
        <v>65</v>
      </c>
      <c r="C546" s="6" t="s">
        <v>3472</v>
      </c>
      <c r="D546" s="6">
        <v>22564021</v>
      </c>
      <c r="E546" s="6" t="s">
        <v>3473</v>
      </c>
      <c r="F546" s="6" t="s">
        <v>3474</v>
      </c>
      <c r="G546" s="6">
        <v>36017</v>
      </c>
      <c r="H546" s="6" t="s">
        <v>3475</v>
      </c>
      <c r="I546" s="6" t="s">
        <v>3476</v>
      </c>
      <c r="J546" s="7" t="s">
        <v>3114</v>
      </c>
      <c r="K546" s="6">
        <v>739048009</v>
      </c>
      <c r="L546" s="6" t="s">
        <v>151</v>
      </c>
      <c r="M546" s="6" t="s">
        <v>152</v>
      </c>
      <c r="N546" s="3" t="s">
        <v>63</v>
      </c>
      <c r="O546" s="6" t="s">
        <v>804</v>
      </c>
      <c r="P546" s="6"/>
      <c r="Q546" s="6" t="str">
        <f>VLOOKUP(G546,seznampsc!A:B,2,FALSE)</f>
        <v>Karlovy Vary</v>
      </c>
      <c r="R546" s="6" t="str">
        <f>VLOOKUP(G546,seznampsc!A:C,3,FALSE)</f>
        <v>Karlovarský kraj</v>
      </c>
      <c r="AD546" s="3">
        <v>600</v>
      </c>
      <c r="AE546" s="3">
        <v>600</v>
      </c>
      <c r="AF546" s="3">
        <v>600</v>
      </c>
      <c r="AJ546" s="3">
        <v>107</v>
      </c>
      <c r="AK546" s="3">
        <v>107</v>
      </c>
      <c r="AP546" s="3">
        <v>2</v>
      </c>
      <c r="AQ546" s="3">
        <v>10</v>
      </c>
      <c r="AS546" s="3">
        <v>40</v>
      </c>
      <c r="AU546" s="6"/>
      <c r="AV546" s="3">
        <v>200000</v>
      </c>
    </row>
    <row r="547" spans="1:48" ht="24" customHeight="1" x14ac:dyDescent="0.3">
      <c r="A547" s="6" t="s">
        <v>53</v>
      </c>
      <c r="B547" s="6" t="s">
        <v>65</v>
      </c>
      <c r="C547" s="6" t="s">
        <v>3477</v>
      </c>
      <c r="D547" s="6">
        <v>26829444</v>
      </c>
      <c r="E547" s="6" t="s">
        <v>3478</v>
      </c>
      <c r="F547" s="6" t="s">
        <v>3479</v>
      </c>
      <c r="G547" s="6">
        <v>75122</v>
      </c>
      <c r="H547" s="6" t="s">
        <v>3480</v>
      </c>
      <c r="I547" s="6" t="s">
        <v>3481</v>
      </c>
      <c r="J547" s="7" t="s">
        <v>3482</v>
      </c>
      <c r="K547" s="8">
        <v>606618851</v>
      </c>
      <c r="L547" s="6" t="s">
        <v>73</v>
      </c>
      <c r="M547" s="6" t="s">
        <v>62</v>
      </c>
      <c r="N547" s="6" t="s">
        <v>63</v>
      </c>
      <c r="O547" s="6" t="s">
        <v>804</v>
      </c>
      <c r="P547" s="6"/>
      <c r="Q547" s="6" t="str">
        <f>VLOOKUP(G547,seznampsc!A:B,2,FALSE)</f>
        <v>Přerov</v>
      </c>
      <c r="R547" s="6" t="str">
        <f>VLOOKUP(G547,seznampsc!A:C,3,FALSE)</f>
        <v>Olomoucký kraj</v>
      </c>
      <c r="S547" s="6" t="s">
        <v>3483</v>
      </c>
      <c r="T547" s="6" t="s">
        <v>3484</v>
      </c>
      <c r="U547" s="6"/>
      <c r="V547" s="6"/>
      <c r="W547" s="6"/>
      <c r="X547" s="6"/>
      <c r="Y547" s="6"/>
      <c r="Z547" s="6"/>
      <c r="AA547" s="6"/>
      <c r="AB547" s="6"/>
      <c r="AC547" s="6"/>
      <c r="AD547" s="6">
        <v>690</v>
      </c>
      <c r="AE547" s="6">
        <v>690</v>
      </c>
      <c r="AF547" s="6">
        <v>690</v>
      </c>
      <c r="AG547" s="6"/>
      <c r="AH547" s="6"/>
      <c r="AI547" s="6"/>
      <c r="AJ547" s="6">
        <v>107</v>
      </c>
      <c r="AK547" s="6">
        <v>107</v>
      </c>
      <c r="AL547" s="6"/>
      <c r="AM547" s="6"/>
      <c r="AN547" s="6"/>
      <c r="AO547" s="6"/>
      <c r="AP547" s="6">
        <v>5</v>
      </c>
      <c r="AQ547" s="6">
        <v>30</v>
      </c>
      <c r="AR547" s="6">
        <v>7</v>
      </c>
      <c r="AS547" s="6">
        <v>60</v>
      </c>
      <c r="AT547" s="6"/>
      <c r="AU547" s="6"/>
      <c r="AV547" s="6">
        <v>200000</v>
      </c>
    </row>
    <row r="548" spans="1:48" ht="24" customHeight="1" x14ac:dyDescent="0.3">
      <c r="A548" s="6" t="s">
        <v>53</v>
      </c>
      <c r="B548" s="6" t="s">
        <v>65</v>
      </c>
      <c r="C548" s="6" t="s">
        <v>3485</v>
      </c>
      <c r="D548" s="6">
        <v>6007201</v>
      </c>
      <c r="E548" s="6" t="s">
        <v>3486</v>
      </c>
      <c r="F548" s="6" t="s">
        <v>3487</v>
      </c>
      <c r="G548" s="6">
        <v>16100</v>
      </c>
      <c r="H548" s="6" t="s">
        <v>2313</v>
      </c>
      <c r="I548" s="6" t="s">
        <v>3488</v>
      </c>
      <c r="J548" s="7" t="s">
        <v>3489</v>
      </c>
      <c r="K548" s="8">
        <v>420725857754</v>
      </c>
      <c r="L548" s="6" t="s">
        <v>73</v>
      </c>
      <c r="M548" s="6" t="s">
        <v>62</v>
      </c>
      <c r="N548" s="6" t="s">
        <v>63</v>
      </c>
      <c r="O548" s="6" t="s">
        <v>198</v>
      </c>
      <c r="P548" s="6"/>
      <c r="Q548" s="6" t="str">
        <f>VLOOKUP(G548,seznampsc!A:B,2,FALSE)</f>
        <v>Hlavní město Praha</v>
      </c>
      <c r="R548" s="6" t="str">
        <f>VLOOKUP(G548,seznampsc!A:C,3,FALSE)</f>
        <v>Hlavní město Praha</v>
      </c>
      <c r="S548" s="6" t="s">
        <v>3490</v>
      </c>
      <c r="T548" s="6" t="s">
        <v>3491</v>
      </c>
      <c r="U548" s="6"/>
      <c r="V548" s="6"/>
      <c r="W548" s="6"/>
      <c r="X548" s="6"/>
      <c r="Y548" s="6"/>
      <c r="Z548" s="6"/>
      <c r="AA548" s="6"/>
      <c r="AB548" s="6"/>
      <c r="AC548" s="6"/>
      <c r="AD548" s="6">
        <v>790</v>
      </c>
      <c r="AE548" s="6">
        <v>790</v>
      </c>
      <c r="AF548" s="6">
        <v>790</v>
      </c>
      <c r="AG548" s="6"/>
      <c r="AH548" s="6"/>
      <c r="AI548" s="6"/>
      <c r="AJ548" s="6"/>
      <c r="AK548" s="6"/>
      <c r="AL548" s="6"/>
      <c r="AM548" s="6"/>
      <c r="AN548" s="6"/>
      <c r="AO548" s="6"/>
      <c r="AP548" s="6">
        <v>5</v>
      </c>
      <c r="AQ548" s="6">
        <v>20</v>
      </c>
      <c r="AR548" s="6"/>
      <c r="AS548" s="6">
        <v>50</v>
      </c>
      <c r="AT548" s="6"/>
      <c r="AU548" s="6"/>
      <c r="AV548" s="6">
        <v>200000</v>
      </c>
    </row>
    <row r="549" spans="1:48" ht="24" customHeight="1" x14ac:dyDescent="0.3">
      <c r="A549" s="3" t="s">
        <v>53</v>
      </c>
      <c r="B549" s="3" t="s">
        <v>65</v>
      </c>
      <c r="C549" s="3" t="s">
        <v>3492</v>
      </c>
      <c r="E549" s="3" t="s">
        <v>3493</v>
      </c>
      <c r="F549" s="3" t="s">
        <v>3494</v>
      </c>
      <c r="G549" s="3">
        <v>37006</v>
      </c>
      <c r="H549" s="3" t="s">
        <v>3495</v>
      </c>
      <c r="L549" s="6" t="s">
        <v>73</v>
      </c>
      <c r="M549" s="3" t="s">
        <v>62</v>
      </c>
      <c r="N549" s="3" t="s">
        <v>63</v>
      </c>
      <c r="Q549" s="6" t="str">
        <f>VLOOKUP(G549,seznampsc!A:B,2,FALSE)</f>
        <v>České Budějovice</v>
      </c>
      <c r="R549" s="6" t="str">
        <f>VLOOKUP(G549,seznampsc!A:C,3,FALSE)</f>
        <v>Jihočeský kraj</v>
      </c>
      <c r="U549" s="29"/>
      <c r="AD549" s="3">
        <v>650</v>
      </c>
      <c r="AE549" s="3">
        <v>700</v>
      </c>
      <c r="AF549" s="3">
        <v>800</v>
      </c>
      <c r="AJ549" s="3">
        <v>107</v>
      </c>
      <c r="AK549" s="3">
        <v>107</v>
      </c>
      <c r="AP549" s="3">
        <v>2</v>
      </c>
      <c r="AQ549" s="3">
        <v>10</v>
      </c>
      <c r="AR549" s="3">
        <v>12</v>
      </c>
      <c r="AS549" s="3">
        <v>40</v>
      </c>
      <c r="AV549" s="3">
        <v>200000</v>
      </c>
    </row>
    <row r="550" spans="1:48" ht="24" customHeight="1" x14ac:dyDescent="0.3">
      <c r="A550" s="3" t="s">
        <v>53</v>
      </c>
      <c r="B550" s="3" t="s">
        <v>65</v>
      </c>
      <c r="C550" s="3" t="s">
        <v>3496</v>
      </c>
      <c r="E550" s="3" t="s">
        <v>3497</v>
      </c>
      <c r="F550" s="3" t="s">
        <v>3498</v>
      </c>
      <c r="G550" s="3">
        <v>73912</v>
      </c>
      <c r="H550" s="3" t="s">
        <v>3499</v>
      </c>
      <c r="L550" s="6" t="s">
        <v>73</v>
      </c>
      <c r="M550" s="3" t="s">
        <v>62</v>
      </c>
      <c r="N550" s="3" t="s">
        <v>63</v>
      </c>
      <c r="Q550" s="6" t="str">
        <f>VLOOKUP(G550,seznampsc!A:B,2,FALSE)</f>
        <v>Frýdek-Místek</v>
      </c>
      <c r="R550" s="6" t="str">
        <f>VLOOKUP(G550,seznampsc!A:C,3,FALSE)</f>
        <v>Moravskoslezský kraj</v>
      </c>
      <c r="AD550" s="3">
        <v>700</v>
      </c>
      <c r="AE550" s="3">
        <v>700</v>
      </c>
      <c r="AF550" s="3">
        <v>700</v>
      </c>
      <c r="AJ550" s="3">
        <v>107</v>
      </c>
      <c r="AK550" s="3">
        <v>107</v>
      </c>
      <c r="AP550" s="3">
        <v>3</v>
      </c>
      <c r="AQ550" s="3">
        <v>10</v>
      </c>
      <c r="AR550" s="3">
        <v>0</v>
      </c>
      <c r="AS550" s="3">
        <v>40</v>
      </c>
      <c r="AV550" s="3">
        <v>100000</v>
      </c>
    </row>
    <row r="551" spans="1:48" ht="24" customHeight="1" x14ac:dyDescent="0.3">
      <c r="A551" s="3" t="s">
        <v>53</v>
      </c>
      <c r="B551" s="3" t="s">
        <v>65</v>
      </c>
      <c r="C551" s="3" t="s">
        <v>3500</v>
      </c>
      <c r="D551" s="3">
        <v>69914745</v>
      </c>
      <c r="E551" s="3" t="s">
        <v>1387</v>
      </c>
      <c r="F551" s="3" t="s">
        <v>1388</v>
      </c>
      <c r="G551" s="3">
        <v>40801</v>
      </c>
      <c r="H551" s="3" t="s">
        <v>608</v>
      </c>
      <c r="I551" s="3" t="s">
        <v>1387</v>
      </c>
      <c r="J551" s="7" t="s">
        <v>1389</v>
      </c>
      <c r="K551" s="3">
        <v>608955200</v>
      </c>
      <c r="L551" s="3" t="s">
        <v>73</v>
      </c>
      <c r="M551" s="6" t="s">
        <v>62</v>
      </c>
      <c r="N551" s="6" t="s">
        <v>63</v>
      </c>
      <c r="O551" s="3" t="s">
        <v>787</v>
      </c>
      <c r="Q551" s="6" t="str">
        <f>VLOOKUP(G551,seznampsc!A:B,2,FALSE)</f>
        <v>Děčín</v>
      </c>
      <c r="R551" s="6" t="str">
        <f>VLOOKUP(G551,seznampsc!A:C,3,FALSE)</f>
        <v>Ústecký kraj</v>
      </c>
      <c r="S551" s="6" t="s">
        <v>1390</v>
      </c>
      <c r="T551" s="6" t="s">
        <v>1391</v>
      </c>
      <c r="U551" s="6"/>
      <c r="V551" s="6"/>
      <c r="W551" s="6"/>
      <c r="X551" s="6"/>
      <c r="Y551" s="6"/>
      <c r="Z551" s="6"/>
      <c r="AA551" s="6"/>
      <c r="AB551" s="6"/>
      <c r="AC551" s="6"/>
      <c r="AD551" s="6">
        <v>650</v>
      </c>
      <c r="AE551" s="6">
        <v>650</v>
      </c>
      <c r="AF551" s="6">
        <v>660</v>
      </c>
      <c r="AG551" s="6"/>
      <c r="AH551" s="6"/>
      <c r="AI551" s="6"/>
      <c r="AJ551" s="6">
        <v>107</v>
      </c>
      <c r="AK551" s="6">
        <v>107</v>
      </c>
      <c r="AL551" s="6"/>
      <c r="AM551" s="6"/>
      <c r="AN551" s="6"/>
      <c r="AO551" s="6"/>
      <c r="AP551" s="6">
        <v>2</v>
      </c>
      <c r="AQ551" s="6">
        <v>10</v>
      </c>
      <c r="AR551" s="6">
        <v>0</v>
      </c>
      <c r="AS551" s="6">
        <v>40</v>
      </c>
      <c r="AT551" s="6"/>
      <c r="AV551" s="3">
        <v>100000</v>
      </c>
    </row>
    <row r="552" spans="1:48" ht="24" customHeight="1" x14ac:dyDescent="0.3">
      <c r="A552" s="6"/>
      <c r="B552" s="6" t="s">
        <v>65</v>
      </c>
      <c r="C552" s="6" t="s">
        <v>3501</v>
      </c>
      <c r="D552" s="6">
        <v>45145555</v>
      </c>
      <c r="E552" s="6" t="s">
        <v>3502</v>
      </c>
      <c r="F552" s="6" t="s">
        <v>3503</v>
      </c>
      <c r="G552" s="6">
        <v>26101</v>
      </c>
      <c r="H552" s="6" t="s">
        <v>3504</v>
      </c>
      <c r="I552" s="6" t="s">
        <v>3505</v>
      </c>
      <c r="J552" s="6" t="s">
        <v>3506</v>
      </c>
      <c r="K552" s="6">
        <v>603523523</v>
      </c>
      <c r="L552" s="6" t="s">
        <v>586</v>
      </c>
      <c r="M552" s="6" t="s">
        <v>3507</v>
      </c>
      <c r="N552" s="6" t="s">
        <v>63</v>
      </c>
      <c r="O552" s="6" t="s">
        <v>3508</v>
      </c>
      <c r="P552" s="6"/>
      <c r="Q552" s="6" t="str">
        <f>VLOOKUP(G552,seznampsc!A:B,2,FALSE)</f>
        <v>Příbram</v>
      </c>
      <c r="R552" s="6" t="str">
        <f>VLOOKUP(G552,seznampsc!A:C,3,FALSE)</f>
        <v>Středočeský kraj</v>
      </c>
      <c r="S552" s="6" t="s">
        <v>3509</v>
      </c>
      <c r="T552" s="6" t="s">
        <v>3510</v>
      </c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  <c r="AR552" s="6"/>
      <c r="AS552" s="6"/>
      <c r="AT552" s="6"/>
      <c r="AV552" s="10">
        <v>200000</v>
      </c>
    </row>
    <row r="553" spans="1:48" ht="24" customHeight="1" x14ac:dyDescent="0.3">
      <c r="A553" s="3" t="s">
        <v>53</v>
      </c>
      <c r="B553" s="3" t="s">
        <v>65</v>
      </c>
      <c r="C553" s="3" t="s">
        <v>3511</v>
      </c>
      <c r="E553" s="3" t="s">
        <v>3512</v>
      </c>
      <c r="F553" s="3" t="s">
        <v>3513</v>
      </c>
      <c r="G553" s="3">
        <v>62000</v>
      </c>
      <c r="H553" s="3" t="s">
        <v>272</v>
      </c>
      <c r="Q553" s="6" t="str">
        <f>VLOOKUP(G553,seznampsc!A:B,2,FALSE)</f>
        <v>Brno-město</v>
      </c>
      <c r="R553" s="6" t="str">
        <f>VLOOKUP(G553,seznampsc!A:C,3,FALSE)</f>
        <v>Jihomoravský kraj</v>
      </c>
      <c r="AD553" s="3">
        <v>600</v>
      </c>
      <c r="AE553" s="3">
        <v>600</v>
      </c>
      <c r="AF553" s="3">
        <v>600</v>
      </c>
      <c r="AJ553" s="3">
        <v>107</v>
      </c>
      <c r="AK553" s="3">
        <v>107</v>
      </c>
      <c r="AP553" s="3">
        <v>5</v>
      </c>
      <c r="AQ553" s="3">
        <v>10</v>
      </c>
      <c r="AR553" s="3">
        <v>0</v>
      </c>
      <c r="AS553" s="3">
        <v>40</v>
      </c>
      <c r="AV553" s="3">
        <v>100000</v>
      </c>
    </row>
    <row r="554" spans="1:48" ht="24" customHeight="1" x14ac:dyDescent="0.3">
      <c r="A554" s="6"/>
      <c r="B554" s="6" t="s">
        <v>65</v>
      </c>
      <c r="C554" s="6" t="s">
        <v>3514</v>
      </c>
      <c r="D554" s="6" t="s">
        <v>3515</v>
      </c>
      <c r="E554" s="6" t="s">
        <v>3516</v>
      </c>
      <c r="F554" s="6" t="s">
        <v>3517</v>
      </c>
      <c r="G554" s="6">
        <v>18000</v>
      </c>
      <c r="H554" s="6" t="s">
        <v>3518</v>
      </c>
      <c r="I554" s="6" t="s">
        <v>3519</v>
      </c>
      <c r="J554" s="6" t="s">
        <v>3520</v>
      </c>
      <c r="K554" s="8">
        <v>800225522</v>
      </c>
      <c r="L554" s="6" t="s">
        <v>155</v>
      </c>
      <c r="M554" s="6" t="s">
        <v>62</v>
      </c>
      <c r="N554" s="6" t="s">
        <v>63</v>
      </c>
      <c r="O554" s="8" t="s">
        <v>156</v>
      </c>
      <c r="P554" s="6"/>
      <c r="Q554" s="6" t="str">
        <f>VLOOKUP(G554,seznampsc!A:B,2,FALSE)</f>
        <v>Hlavní město Praha</v>
      </c>
      <c r="R554" s="6" t="str">
        <f>VLOOKUP(G554,seznampsc!A:C,3,FALSE)</f>
        <v>Hlavní město Praha</v>
      </c>
      <c r="S554" s="6">
        <v>50.103866099999998</v>
      </c>
      <c r="T554" s="6">
        <v>14.516739599999999</v>
      </c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6"/>
      <c r="AS554" s="6"/>
      <c r="AT554" s="6"/>
    </row>
    <row r="555" spans="1:48" ht="24" customHeight="1" x14ac:dyDescent="0.3">
      <c r="A555" s="6"/>
      <c r="B555" s="6" t="s">
        <v>65</v>
      </c>
      <c r="C555" s="6" t="s">
        <v>3514</v>
      </c>
      <c r="D555" s="6">
        <v>27169642</v>
      </c>
      <c r="E555" s="6" t="s">
        <v>3516</v>
      </c>
      <c r="F555" s="6" t="s">
        <v>3517</v>
      </c>
      <c r="G555" s="6">
        <v>18000</v>
      </c>
      <c r="H555" s="6" t="s">
        <v>3518</v>
      </c>
      <c r="I555" s="6" t="s">
        <v>3519</v>
      </c>
      <c r="J555" s="6" t="s">
        <v>3520</v>
      </c>
      <c r="K555" s="6">
        <v>800225522</v>
      </c>
      <c r="L555" s="6" t="s">
        <v>155</v>
      </c>
      <c r="M555" s="6" t="s">
        <v>62</v>
      </c>
      <c r="N555" s="6" t="s">
        <v>63</v>
      </c>
      <c r="O555" s="6" t="s">
        <v>156</v>
      </c>
      <c r="P555" s="6"/>
      <c r="Q555" s="6" t="str">
        <f>VLOOKUP(G555,seznampsc!A:B,2,FALSE)</f>
        <v>Hlavní město Praha</v>
      </c>
      <c r="R555" s="6" t="str">
        <f>VLOOKUP(G555,seznampsc!A:C,3,FALSE)</f>
        <v>Hlavní město Praha</v>
      </c>
      <c r="S555" s="6">
        <v>50.103866099999998</v>
      </c>
      <c r="T555" s="6">
        <v>14.516739599999999</v>
      </c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  <c r="AR555" s="6"/>
      <c r="AS555" s="6"/>
      <c r="AT555" s="6"/>
      <c r="AU555" s="6"/>
    </row>
    <row r="556" spans="1:48" ht="24" customHeight="1" x14ac:dyDescent="0.3">
      <c r="A556" s="6"/>
      <c r="B556" s="6" t="s">
        <v>65</v>
      </c>
      <c r="C556" s="6" t="s">
        <v>3521</v>
      </c>
      <c r="D556" s="6" t="s">
        <v>3522</v>
      </c>
      <c r="E556" s="6" t="s">
        <v>3523</v>
      </c>
      <c r="F556" s="6" t="s">
        <v>3524</v>
      </c>
      <c r="G556" s="6">
        <v>25064</v>
      </c>
      <c r="H556" s="6" t="s">
        <v>3525</v>
      </c>
      <c r="I556" s="6" t="s">
        <v>3526</v>
      </c>
      <c r="J556" s="6" t="s">
        <v>3527</v>
      </c>
      <c r="K556" s="6">
        <v>777880800</v>
      </c>
      <c r="L556" s="6" t="s">
        <v>3528</v>
      </c>
      <c r="M556" s="6" t="s">
        <v>3529</v>
      </c>
      <c r="N556" s="6" t="s">
        <v>63</v>
      </c>
      <c r="O556" s="6" t="s">
        <v>1622</v>
      </c>
      <c r="P556" s="6"/>
      <c r="Q556" s="6" t="str">
        <f>VLOOKUP(G556,seznampsc!A:B,2,FALSE)</f>
        <v>Praha-východ</v>
      </c>
      <c r="R556" s="6" t="str">
        <f>VLOOKUP(G556,seznampsc!A:C,3,FALSE)</f>
        <v>Středočeský kraj</v>
      </c>
      <c r="S556" s="6">
        <v>50.201459999999997</v>
      </c>
      <c r="T556" s="6">
        <v>14.5152</v>
      </c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/>
      <c r="AS556" s="6"/>
      <c r="AT556" s="6"/>
    </row>
    <row r="557" spans="1:48" ht="24" customHeight="1" x14ac:dyDescent="0.3">
      <c r="A557" s="6"/>
      <c r="B557" s="6" t="s">
        <v>65</v>
      </c>
      <c r="C557" s="6" t="s">
        <v>3521</v>
      </c>
      <c r="D557" s="6" t="s">
        <v>3522</v>
      </c>
      <c r="E557" s="6" t="s">
        <v>3523</v>
      </c>
      <c r="F557" s="6" t="s">
        <v>3530</v>
      </c>
      <c r="G557" s="6">
        <v>76361</v>
      </c>
      <c r="H557" s="6" t="s">
        <v>3531</v>
      </c>
      <c r="I557" s="6" t="s">
        <v>3532</v>
      </c>
      <c r="J557" s="7" t="s">
        <v>3533</v>
      </c>
      <c r="K557" s="6">
        <v>778449471</v>
      </c>
      <c r="L557" s="6" t="s">
        <v>3528</v>
      </c>
      <c r="M557" s="6" t="s">
        <v>3529</v>
      </c>
      <c r="N557" s="6" t="s">
        <v>63</v>
      </c>
      <c r="O557" s="6" t="s">
        <v>1622</v>
      </c>
      <c r="P557" s="6"/>
      <c r="Q557" s="6" t="str">
        <f>VLOOKUP(G557,seznampsc!A:B,2,FALSE)</f>
        <v>Zlín</v>
      </c>
      <c r="R557" s="6" t="str">
        <f>VLOOKUP(G557,seznampsc!A:C,3,FALSE)</f>
        <v>Zlínský kraj</v>
      </c>
      <c r="S557" s="6">
        <v>49.191180000000003</v>
      </c>
      <c r="T557" s="6">
        <v>17.527799999999999</v>
      </c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  <c r="AR557" s="6"/>
      <c r="AS557" s="6"/>
      <c r="AT557" s="6"/>
    </row>
    <row r="558" spans="1:48" ht="24" customHeight="1" x14ac:dyDescent="0.3">
      <c r="A558" s="6"/>
      <c r="B558" s="6" t="s">
        <v>65</v>
      </c>
      <c r="C558" s="6" t="s">
        <v>3521</v>
      </c>
      <c r="D558" s="6" t="s">
        <v>3522</v>
      </c>
      <c r="E558" s="6" t="s">
        <v>3523</v>
      </c>
      <c r="F558" s="6" t="s">
        <v>3534</v>
      </c>
      <c r="G558" s="6">
        <v>29501</v>
      </c>
      <c r="H558" s="6" t="s">
        <v>148</v>
      </c>
      <c r="I558" s="6" t="s">
        <v>3535</v>
      </c>
      <c r="J558" s="7" t="s">
        <v>3536</v>
      </c>
      <c r="K558" s="6">
        <v>602143152</v>
      </c>
      <c r="L558" s="6" t="s">
        <v>3528</v>
      </c>
      <c r="M558" s="6" t="s">
        <v>3529</v>
      </c>
      <c r="N558" s="6" t="s">
        <v>63</v>
      </c>
      <c r="O558" s="6" t="s">
        <v>1622</v>
      </c>
      <c r="P558" s="6"/>
      <c r="Q558" s="6" t="str">
        <f>VLOOKUP(G558,seznampsc!A:B,2,FALSE)</f>
        <v>Česká Lípa</v>
      </c>
      <c r="R558" s="6" t="str">
        <f>VLOOKUP(G558,seznampsc!A:C,3,FALSE)</f>
        <v>Liberecký kraj</v>
      </c>
      <c r="S558" s="6">
        <v>50.517740000000003</v>
      </c>
      <c r="T558" s="6">
        <v>14.96233</v>
      </c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  <c r="AR558" s="6"/>
      <c r="AS558" s="6"/>
      <c r="AT558" s="6"/>
    </row>
    <row r="559" spans="1:48" ht="24" customHeight="1" x14ac:dyDescent="0.3">
      <c r="A559" s="6"/>
      <c r="B559" s="6" t="s">
        <v>65</v>
      </c>
      <c r="C559" s="6" t="s">
        <v>3537</v>
      </c>
      <c r="D559" s="6" t="s">
        <v>3538</v>
      </c>
      <c r="E559" s="6" t="s">
        <v>3539</v>
      </c>
      <c r="F559" s="6" t="s">
        <v>3540</v>
      </c>
      <c r="G559" s="6">
        <v>77900</v>
      </c>
      <c r="H559" s="6" t="s">
        <v>265</v>
      </c>
      <c r="I559" s="6" t="s">
        <v>3541</v>
      </c>
      <c r="J559" s="6" t="s">
        <v>3542</v>
      </c>
      <c r="K559" s="6">
        <v>739509589</v>
      </c>
      <c r="L559" s="6" t="s">
        <v>3528</v>
      </c>
      <c r="M559" s="6" t="s">
        <v>3543</v>
      </c>
      <c r="N559" s="6" t="s">
        <v>63</v>
      </c>
      <c r="O559" s="6" t="s">
        <v>718</v>
      </c>
      <c r="P559" s="6"/>
      <c r="Q559" s="6" t="str">
        <f>VLOOKUP(G559,seznampsc!A:B,2,FALSE)</f>
        <v>Olomouc</v>
      </c>
      <c r="R559" s="6" t="str">
        <f>VLOOKUP(G559,seznampsc!A:C,3,FALSE)</f>
        <v>Olomoucký kraj</v>
      </c>
      <c r="S559" s="6">
        <v>49.586554499999998</v>
      </c>
      <c r="T559" s="6">
        <v>17.2899165</v>
      </c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  <c r="AR559" s="6"/>
      <c r="AS559" s="6"/>
      <c r="AT559" s="6"/>
      <c r="AU559" s="3" t="s">
        <v>3544</v>
      </c>
    </row>
    <row r="560" spans="1:48" ht="24" customHeight="1" x14ac:dyDescent="0.3">
      <c r="A560" s="6"/>
      <c r="B560" s="6" t="s">
        <v>65</v>
      </c>
      <c r="C560" s="6" t="s">
        <v>3537</v>
      </c>
      <c r="D560" s="6" t="s">
        <v>3538</v>
      </c>
      <c r="E560" s="6" t="s">
        <v>3539</v>
      </c>
      <c r="F560" s="6" t="s">
        <v>3545</v>
      </c>
      <c r="G560" s="6">
        <v>78701</v>
      </c>
      <c r="H560" s="6" t="s">
        <v>261</v>
      </c>
      <c r="I560" s="6" t="s">
        <v>3541</v>
      </c>
      <c r="J560" s="6" t="s">
        <v>3542</v>
      </c>
      <c r="K560" s="6">
        <v>739509589</v>
      </c>
      <c r="L560" s="6" t="s">
        <v>3528</v>
      </c>
      <c r="M560" s="6" t="s">
        <v>3543</v>
      </c>
      <c r="N560" s="6" t="s">
        <v>63</v>
      </c>
      <c r="O560" s="6" t="s">
        <v>718</v>
      </c>
      <c r="P560" s="6"/>
      <c r="Q560" s="6" t="str">
        <f>VLOOKUP(G560,seznampsc!A:B,2,FALSE)</f>
        <v>Šumperk</v>
      </c>
      <c r="R560" s="6" t="str">
        <f>VLOOKUP(G560,seznampsc!A:C,3,FALSE)</f>
        <v>Olomoucký kraj</v>
      </c>
      <c r="S560" s="6">
        <v>49.953277300000003</v>
      </c>
      <c r="T560" s="6">
        <v>16.980570700000001</v>
      </c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/>
      <c r="AS560" s="6"/>
      <c r="AT560" s="6"/>
      <c r="AU560" s="3" t="s">
        <v>3544</v>
      </c>
    </row>
    <row r="561" spans="1:48" ht="24" customHeight="1" x14ac:dyDescent="0.3">
      <c r="A561" s="6"/>
      <c r="B561" s="6" t="s">
        <v>65</v>
      </c>
      <c r="C561" s="6" t="s">
        <v>3537</v>
      </c>
      <c r="D561" s="6" t="s">
        <v>3538</v>
      </c>
      <c r="E561" s="6" t="s">
        <v>3539</v>
      </c>
      <c r="F561" s="6" t="s">
        <v>3546</v>
      </c>
      <c r="G561" s="6">
        <v>70200</v>
      </c>
      <c r="H561" s="6" t="s">
        <v>574</v>
      </c>
      <c r="I561" s="6" t="s">
        <v>3547</v>
      </c>
      <c r="J561" s="6" t="s">
        <v>3548</v>
      </c>
      <c r="K561" s="6" t="s">
        <v>3549</v>
      </c>
      <c r="L561" s="6" t="s">
        <v>3528</v>
      </c>
      <c r="M561" s="6" t="s">
        <v>3543</v>
      </c>
      <c r="N561" s="6" t="s">
        <v>63</v>
      </c>
      <c r="O561" s="6" t="s">
        <v>718</v>
      </c>
      <c r="P561" s="6"/>
      <c r="Q561" s="6" t="str">
        <f>VLOOKUP(G561,seznampsc!A:B,2,FALSE)</f>
        <v>Ostrava-město</v>
      </c>
      <c r="R561" s="6" t="str">
        <f>VLOOKUP(G561,seznampsc!A:C,3,FALSE)</f>
        <v>Moravskoslezský kraj</v>
      </c>
      <c r="S561" s="6">
        <v>49.826075699999997</v>
      </c>
      <c r="T561" s="6">
        <v>18.279642899999999</v>
      </c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  <c r="AR561" s="6"/>
      <c r="AS561" s="6"/>
      <c r="AT561" s="6"/>
      <c r="AU561" s="3" t="s">
        <v>3544</v>
      </c>
    </row>
    <row r="562" spans="1:48" ht="24" customHeight="1" x14ac:dyDescent="0.3">
      <c r="A562" s="6"/>
      <c r="B562" s="6" t="s">
        <v>65</v>
      </c>
      <c r="C562" s="6" t="s">
        <v>3537</v>
      </c>
      <c r="D562" s="6" t="s">
        <v>3538</v>
      </c>
      <c r="E562" s="6" t="s">
        <v>3539</v>
      </c>
      <c r="F562" s="6" t="s">
        <v>3550</v>
      </c>
      <c r="G562" s="6">
        <v>74101</v>
      </c>
      <c r="H562" s="6" t="s">
        <v>1593</v>
      </c>
      <c r="I562" s="6" t="s">
        <v>3547</v>
      </c>
      <c r="J562" s="6" t="s">
        <v>3548</v>
      </c>
      <c r="K562" s="6" t="s">
        <v>3549</v>
      </c>
      <c r="L562" s="6" t="s">
        <v>3528</v>
      </c>
      <c r="M562" s="6" t="s">
        <v>3543</v>
      </c>
      <c r="N562" s="6" t="s">
        <v>63</v>
      </c>
      <c r="O562" s="6" t="s">
        <v>3551</v>
      </c>
      <c r="P562" s="6"/>
      <c r="Q562" s="6" t="str">
        <f>VLOOKUP(G562,seznampsc!A:B,2,FALSE)</f>
        <v>Nový Jičín</v>
      </c>
      <c r="R562" s="6" t="str">
        <f>VLOOKUP(G562,seznampsc!A:C,3,FALSE)</f>
        <v>Moravskoslezský kraj</v>
      </c>
      <c r="S562" s="6">
        <v>49.591304200000003</v>
      </c>
      <c r="T562" s="6">
        <v>17.994987900000002</v>
      </c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  <c r="AS562" s="6"/>
      <c r="AT562" s="6"/>
      <c r="AU562" s="3" t="s">
        <v>3544</v>
      </c>
    </row>
    <row r="563" spans="1:48" ht="24" customHeight="1" x14ac:dyDescent="0.3">
      <c r="A563" s="6"/>
      <c r="B563" s="6" t="s">
        <v>65</v>
      </c>
      <c r="C563" s="6" t="s">
        <v>3537</v>
      </c>
      <c r="D563" s="6" t="s">
        <v>3538</v>
      </c>
      <c r="E563" s="6" t="s">
        <v>3539</v>
      </c>
      <c r="F563" s="6" t="s">
        <v>3552</v>
      </c>
      <c r="G563" s="6">
        <v>28601</v>
      </c>
      <c r="H563" s="6" t="s">
        <v>3553</v>
      </c>
      <c r="I563" s="6" t="s">
        <v>3554</v>
      </c>
      <c r="J563" s="6" t="s">
        <v>3555</v>
      </c>
      <c r="K563" s="6">
        <v>739509292</v>
      </c>
      <c r="L563" s="6" t="s">
        <v>3528</v>
      </c>
      <c r="M563" s="6" t="s">
        <v>3543</v>
      </c>
      <c r="N563" s="6" t="s">
        <v>63</v>
      </c>
      <c r="O563" s="6" t="s">
        <v>3556</v>
      </c>
      <c r="P563" s="6"/>
      <c r="Q563" s="6" t="str">
        <f>VLOOKUP(G563,seznampsc!A:B,2,FALSE)</f>
        <v>Kutná Hora</v>
      </c>
      <c r="R563" s="6" t="str">
        <f>VLOOKUP(G563,seznampsc!A:C,3,FALSE)</f>
        <v>Středočeský kraj</v>
      </c>
      <c r="S563" s="6">
        <v>49.914126899999999</v>
      </c>
      <c r="T563" s="6">
        <v>15.400975600000001</v>
      </c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  <c r="AR563" s="6"/>
      <c r="AS563" s="6"/>
      <c r="AT563" s="6"/>
      <c r="AU563" s="3" t="s">
        <v>3544</v>
      </c>
    </row>
    <row r="564" spans="1:48" ht="24" customHeight="1" x14ac:dyDescent="0.3">
      <c r="A564" s="6"/>
      <c r="B564" s="6" t="s">
        <v>65</v>
      </c>
      <c r="C564" s="6" t="s">
        <v>3537</v>
      </c>
      <c r="D564" s="6" t="s">
        <v>3538</v>
      </c>
      <c r="E564" s="6" t="s">
        <v>3539</v>
      </c>
      <c r="F564" s="6" t="s">
        <v>3557</v>
      </c>
      <c r="G564" s="6">
        <v>53701</v>
      </c>
      <c r="H564" s="6" t="s">
        <v>3448</v>
      </c>
      <c r="I564" s="6" t="s">
        <v>3554</v>
      </c>
      <c r="J564" s="6" t="s">
        <v>3555</v>
      </c>
      <c r="K564" s="6">
        <v>739509292</v>
      </c>
      <c r="L564" s="6" t="s">
        <v>3528</v>
      </c>
      <c r="M564" s="6" t="s">
        <v>3543</v>
      </c>
      <c r="N564" s="6" t="s">
        <v>63</v>
      </c>
      <c r="O564" s="6" t="s">
        <v>3556</v>
      </c>
      <c r="P564" s="6"/>
      <c r="Q564" s="6" t="str">
        <f>VLOOKUP(G564,seznampsc!A:B,2,FALSE)</f>
        <v>Chrudim</v>
      </c>
      <c r="R564" s="6" t="str">
        <f>VLOOKUP(G564,seznampsc!A:C,3,FALSE)</f>
        <v>Pardubický kraj</v>
      </c>
      <c r="S564" s="6">
        <v>49.943217599999997</v>
      </c>
      <c r="T564" s="6">
        <v>15.7956558</v>
      </c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  <c r="AR564" s="6"/>
      <c r="AS564" s="6"/>
      <c r="AT564" s="6"/>
      <c r="AU564" s="3" t="s">
        <v>3544</v>
      </c>
    </row>
    <row r="565" spans="1:48" ht="24" customHeight="1" x14ac:dyDescent="0.3">
      <c r="A565" s="6"/>
      <c r="B565" s="6" t="s">
        <v>65</v>
      </c>
      <c r="C565" s="6" t="s">
        <v>3537</v>
      </c>
      <c r="D565" s="6" t="s">
        <v>3538</v>
      </c>
      <c r="E565" s="6" t="s">
        <v>3539</v>
      </c>
      <c r="F565" s="6" t="s">
        <v>3558</v>
      </c>
      <c r="G565" s="6">
        <v>79001</v>
      </c>
      <c r="H565" s="6" t="s">
        <v>511</v>
      </c>
      <c r="I565" s="6" t="s">
        <v>3559</v>
      </c>
      <c r="J565" s="6" t="s">
        <v>3560</v>
      </c>
      <c r="K565" s="6">
        <v>602514236</v>
      </c>
      <c r="L565" s="6" t="s">
        <v>3528</v>
      </c>
      <c r="M565" s="6" t="s">
        <v>3543</v>
      </c>
      <c r="N565" s="6" t="s">
        <v>63</v>
      </c>
      <c r="O565" s="6" t="s">
        <v>3561</v>
      </c>
      <c r="P565" s="6"/>
      <c r="Q565" s="6" t="str">
        <f>VLOOKUP(G565,seznampsc!A:B,2,FALSE)</f>
        <v>Jeseník</v>
      </c>
      <c r="R565" s="6" t="str">
        <f>VLOOKUP(G565,seznampsc!A:C,3,FALSE)</f>
        <v>Olomoucký kraj</v>
      </c>
      <c r="S565" s="6">
        <v>50.236525999999998</v>
      </c>
      <c r="T565" s="6">
        <v>17.205317000000001</v>
      </c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  <c r="AR565" s="6"/>
      <c r="AS565" s="6"/>
      <c r="AT565" s="6"/>
      <c r="AU565" s="3" t="s">
        <v>3544</v>
      </c>
    </row>
    <row r="566" spans="1:48" ht="24" customHeight="1" x14ac:dyDescent="0.3">
      <c r="A566" s="6"/>
      <c r="B566" s="6" t="s">
        <v>65</v>
      </c>
      <c r="C566" s="6" t="s">
        <v>3537</v>
      </c>
      <c r="D566" s="6" t="s">
        <v>3538</v>
      </c>
      <c r="E566" s="6" t="s">
        <v>3539</v>
      </c>
      <c r="F566" s="6" t="s">
        <v>3562</v>
      </c>
      <c r="G566" s="6">
        <v>79401</v>
      </c>
      <c r="H566" s="6" t="s">
        <v>3563</v>
      </c>
      <c r="I566" s="6" t="s">
        <v>3564</v>
      </c>
      <c r="J566" s="6" t="s">
        <v>3565</v>
      </c>
      <c r="K566" s="6">
        <v>739509280</v>
      </c>
      <c r="L566" s="6" t="s">
        <v>3528</v>
      </c>
      <c r="M566" s="6" t="s">
        <v>3543</v>
      </c>
      <c r="N566" s="6" t="s">
        <v>63</v>
      </c>
      <c r="O566" s="6" t="s">
        <v>3556</v>
      </c>
      <c r="P566" s="6"/>
      <c r="Q566" s="6" t="str">
        <f>VLOOKUP(G566,seznampsc!A:B,2,FALSE)</f>
        <v>Bruntál</v>
      </c>
      <c r="R566" s="6" t="str">
        <f>VLOOKUP(G566,seznampsc!A:C,3,FALSE)</f>
        <v>Moravskoslezský kraj</v>
      </c>
      <c r="S566" s="6">
        <v>50.099635300000003</v>
      </c>
      <c r="T566" s="6">
        <v>17.674097499999998</v>
      </c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  <c r="AR566" s="6"/>
      <c r="AS566" s="6"/>
      <c r="AT566" s="6"/>
      <c r="AU566" s="3" t="s">
        <v>3544</v>
      </c>
    </row>
    <row r="567" spans="1:48" ht="24" customHeight="1" x14ac:dyDescent="0.3">
      <c r="A567" s="6"/>
      <c r="B567" s="6" t="s">
        <v>65</v>
      </c>
      <c r="C567" s="6" t="s">
        <v>3537</v>
      </c>
      <c r="D567" s="6" t="s">
        <v>3538</v>
      </c>
      <c r="E567" s="6" t="s">
        <v>3539</v>
      </c>
      <c r="F567" s="6" t="s">
        <v>3566</v>
      </c>
      <c r="G567" s="6">
        <v>79201</v>
      </c>
      <c r="H567" s="6" t="s">
        <v>698</v>
      </c>
      <c r="I567" s="6" t="s">
        <v>3564</v>
      </c>
      <c r="J567" s="6" t="s">
        <v>3565</v>
      </c>
      <c r="K567" s="6">
        <v>739509280</v>
      </c>
      <c r="L567" s="6" t="s">
        <v>3528</v>
      </c>
      <c r="M567" s="6" t="s">
        <v>3543</v>
      </c>
      <c r="N567" s="6" t="s">
        <v>63</v>
      </c>
      <c r="O567" s="6" t="s">
        <v>790</v>
      </c>
      <c r="P567" s="6"/>
      <c r="Q567" s="6" t="str">
        <f>VLOOKUP(G567,seznampsc!A:B,2,FALSE)</f>
        <v>Bruntál</v>
      </c>
      <c r="R567" s="6" t="str">
        <f>VLOOKUP(G567,seznampsc!A:C,3,FALSE)</f>
        <v>Moravskoslezský kraj</v>
      </c>
      <c r="S567" s="6">
        <v>49.990069400000003</v>
      </c>
      <c r="T567" s="6">
        <v>17.476044300000002</v>
      </c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  <c r="AR567" s="6"/>
      <c r="AS567" s="6"/>
      <c r="AT567" s="6"/>
      <c r="AU567" s="3" t="s">
        <v>3544</v>
      </c>
    </row>
    <row r="568" spans="1:48" ht="24" customHeight="1" x14ac:dyDescent="0.3">
      <c r="A568" s="6"/>
      <c r="B568" s="6" t="s">
        <v>65</v>
      </c>
      <c r="C568" s="6" t="s">
        <v>3537</v>
      </c>
      <c r="D568" s="6" t="s">
        <v>3538</v>
      </c>
      <c r="E568" s="6" t="s">
        <v>3539</v>
      </c>
      <c r="F568" s="6" t="s">
        <v>3567</v>
      </c>
      <c r="G568" s="6">
        <v>58301</v>
      </c>
      <c r="H568" s="6" t="s">
        <v>3568</v>
      </c>
      <c r="I568" s="6" t="s">
        <v>3569</v>
      </c>
      <c r="J568" s="6" t="s">
        <v>3570</v>
      </c>
      <c r="K568" s="6">
        <v>739509276</v>
      </c>
      <c r="L568" s="6" t="s">
        <v>3528</v>
      </c>
      <c r="M568" s="6" t="s">
        <v>3543</v>
      </c>
      <c r="N568" s="6" t="s">
        <v>63</v>
      </c>
      <c r="O568" s="6" t="s">
        <v>3556</v>
      </c>
      <c r="P568" s="6"/>
      <c r="Q568" s="6" t="str">
        <f>VLOOKUP(G568,seznampsc!A:B,2,FALSE)</f>
        <v>Havlíčkův Brod</v>
      </c>
      <c r="R568" s="6" t="str">
        <f>VLOOKUP(G568,seznampsc!A:C,3,FALSE)</f>
        <v>Kraj Vysočina</v>
      </c>
      <c r="S568" s="6">
        <v>49.712819799999998</v>
      </c>
      <c r="T568" s="6">
        <v>15.6835076</v>
      </c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6"/>
      <c r="AS568" s="6"/>
      <c r="AT568" s="6"/>
      <c r="AU568" s="3" t="s">
        <v>3544</v>
      </c>
    </row>
    <row r="569" spans="1:48" ht="24" customHeight="1" x14ac:dyDescent="0.3">
      <c r="A569" s="6"/>
      <c r="B569" s="6" t="s">
        <v>65</v>
      </c>
      <c r="C569" s="6" t="s">
        <v>3537</v>
      </c>
      <c r="D569" s="6" t="s">
        <v>3538</v>
      </c>
      <c r="E569" s="6" t="s">
        <v>3539</v>
      </c>
      <c r="F569" s="6" t="s">
        <v>3571</v>
      </c>
      <c r="G569" s="6">
        <v>58401</v>
      </c>
      <c r="H569" s="6" t="s">
        <v>3572</v>
      </c>
      <c r="I569" s="6" t="s">
        <v>3573</v>
      </c>
      <c r="J569" s="6" t="s">
        <v>3574</v>
      </c>
      <c r="K569" s="6">
        <v>739509275</v>
      </c>
      <c r="L569" s="6" t="s">
        <v>3528</v>
      </c>
      <c r="M569" s="6" t="s">
        <v>3543</v>
      </c>
      <c r="N569" s="6" t="s">
        <v>63</v>
      </c>
      <c r="O569" s="6" t="s">
        <v>3556</v>
      </c>
      <c r="P569" s="6"/>
      <c r="Q569" s="6" t="str">
        <f>VLOOKUP(G569,seznampsc!A:B,2,FALSE)</f>
        <v>Havlíčkův Brod</v>
      </c>
      <c r="R569" s="6" t="str">
        <f>VLOOKUP(G569,seznampsc!A:C,3,FALSE)</f>
        <v>Kraj Vysočina</v>
      </c>
      <c r="S569" s="6">
        <v>49.690783099999997</v>
      </c>
      <c r="T569" s="6">
        <v>15.2764346</v>
      </c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  <c r="AR569" s="6"/>
      <c r="AS569" s="6"/>
      <c r="AT569" s="6"/>
      <c r="AU569" s="3" t="s">
        <v>3544</v>
      </c>
    </row>
    <row r="570" spans="1:48" ht="24" customHeight="1" x14ac:dyDescent="0.3">
      <c r="A570" s="6"/>
      <c r="B570" s="6" t="s">
        <v>65</v>
      </c>
      <c r="C570" s="6" t="s">
        <v>3537</v>
      </c>
      <c r="D570" s="6" t="s">
        <v>3538</v>
      </c>
      <c r="E570" s="6" t="s">
        <v>3539</v>
      </c>
      <c r="F570" s="6" t="s">
        <v>3575</v>
      </c>
      <c r="G570" s="6">
        <v>50353</v>
      </c>
      <c r="H570" s="6" t="s">
        <v>3576</v>
      </c>
      <c r="I570" s="6" t="s">
        <v>3577</v>
      </c>
      <c r="J570" s="6" t="s">
        <v>3578</v>
      </c>
      <c r="K570" s="6">
        <v>739966428</v>
      </c>
      <c r="L570" s="6" t="s">
        <v>3528</v>
      </c>
      <c r="M570" s="6" t="s">
        <v>3543</v>
      </c>
      <c r="N570" s="6" t="s">
        <v>63</v>
      </c>
      <c r="O570" s="6" t="s">
        <v>3556</v>
      </c>
      <c r="P570" s="6"/>
      <c r="Q570" s="6" t="str">
        <f>VLOOKUP(G570,seznampsc!A:B,2,FALSE)</f>
        <v>Hradec Králové</v>
      </c>
      <c r="R570" s="6" t="str">
        <f>VLOOKUP(G570,seznampsc!A:C,3,FALSE)</f>
        <v>Královéhradecký kraj</v>
      </c>
      <c r="S570" s="6">
        <v>50.253877499999902</v>
      </c>
      <c r="T570" s="6">
        <v>15.492236699999999</v>
      </c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  <c r="AR570" s="6"/>
      <c r="AS570" s="6"/>
      <c r="AT570" s="6"/>
      <c r="AU570" s="3" t="s">
        <v>3544</v>
      </c>
    </row>
    <row r="571" spans="1:48" ht="24" customHeight="1" x14ac:dyDescent="0.3">
      <c r="A571" s="1"/>
      <c r="B571" s="1" t="s">
        <v>65</v>
      </c>
      <c r="C571" s="1" t="s">
        <v>3579</v>
      </c>
      <c r="D571" s="1" t="s">
        <v>3580</v>
      </c>
      <c r="E571" s="1" t="s">
        <v>3581</v>
      </c>
      <c r="F571" s="1" t="s">
        <v>3582</v>
      </c>
      <c r="G571" s="1">
        <v>33023</v>
      </c>
      <c r="H571" s="1" t="s">
        <v>3583</v>
      </c>
      <c r="I571" s="1" t="s">
        <v>3584</v>
      </c>
      <c r="J571" s="1" t="s">
        <v>3585</v>
      </c>
      <c r="K571" s="1">
        <v>775851044.37700999</v>
      </c>
      <c r="L571" s="1" t="s">
        <v>586</v>
      </c>
      <c r="M571" s="1" t="s">
        <v>3586</v>
      </c>
      <c r="N571" s="1" t="s">
        <v>63</v>
      </c>
      <c r="O571" s="1" t="s">
        <v>3587</v>
      </c>
      <c r="P571" s="6"/>
      <c r="Q571" s="6" t="str">
        <f>VLOOKUP(G571,seznampsc!A:B,2,FALSE)</f>
        <v>Plzeň-sever</v>
      </c>
      <c r="R571" s="6" t="str">
        <f>VLOOKUP(G571,seznampsc!A:C,3,FALSE)</f>
        <v>Plzeňský kraj</v>
      </c>
      <c r="S571" s="3">
        <v>49.708277899999999</v>
      </c>
      <c r="T571" s="3">
        <v>13.2244645</v>
      </c>
      <c r="AU571" s="15" t="s">
        <v>3588</v>
      </c>
      <c r="AV571" s="10"/>
    </row>
    <row r="572" spans="1:48" ht="24" customHeight="1" x14ac:dyDescent="0.3">
      <c r="A572" s="6"/>
      <c r="B572" s="6" t="s">
        <v>65</v>
      </c>
      <c r="C572" s="6" t="s">
        <v>3589</v>
      </c>
      <c r="D572" s="6" t="s">
        <v>3590</v>
      </c>
      <c r="E572" s="6" t="s">
        <v>3591</v>
      </c>
      <c r="F572" s="6" t="s">
        <v>3592</v>
      </c>
      <c r="G572" s="6">
        <v>35002</v>
      </c>
      <c r="H572" s="6" t="s">
        <v>3426</v>
      </c>
      <c r="I572" s="6" t="s">
        <v>3593</v>
      </c>
      <c r="J572" s="6" t="s">
        <v>3594</v>
      </c>
      <c r="K572" s="6">
        <v>737269941.73726904</v>
      </c>
      <c r="L572" s="6" t="s">
        <v>1630</v>
      </c>
      <c r="M572" s="6" t="s">
        <v>3586</v>
      </c>
      <c r="N572" s="6" t="s">
        <v>63</v>
      </c>
      <c r="O572" s="6" t="s">
        <v>3595</v>
      </c>
      <c r="P572" s="6"/>
      <c r="Q572" s="6" t="str">
        <f>VLOOKUP(G572,seznampsc!A:B,2,FALSE)</f>
        <v>Cheb</v>
      </c>
      <c r="R572" s="6" t="str">
        <f>VLOOKUP(G572,seznampsc!A:C,3,FALSE)</f>
        <v>Karlovarský kraj</v>
      </c>
      <c r="S572" s="6">
        <v>50.083513400000001</v>
      </c>
      <c r="T572" s="6">
        <v>12.3816659</v>
      </c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  <c r="AR572" s="6"/>
      <c r="AS572" s="6"/>
      <c r="AT572" s="6"/>
      <c r="AV572" s="10">
        <v>200000</v>
      </c>
    </row>
    <row r="573" spans="1:48" ht="24" customHeight="1" x14ac:dyDescent="0.3">
      <c r="A573" s="6"/>
      <c r="B573" s="6" t="s">
        <v>65</v>
      </c>
      <c r="C573" s="6" t="s">
        <v>3501</v>
      </c>
      <c r="D573" s="6">
        <v>45145555</v>
      </c>
      <c r="E573" s="6" t="s">
        <v>3502</v>
      </c>
      <c r="F573" s="6" t="s">
        <v>3503</v>
      </c>
      <c r="G573" s="6">
        <v>26101</v>
      </c>
      <c r="H573" s="6" t="s">
        <v>3504</v>
      </c>
      <c r="I573" s="6" t="s">
        <v>3505</v>
      </c>
      <c r="J573" s="6" t="s">
        <v>3506</v>
      </c>
      <c r="K573" s="6">
        <v>603523523</v>
      </c>
      <c r="L573" s="6" t="s">
        <v>73</v>
      </c>
      <c r="M573" s="3" t="s">
        <v>62</v>
      </c>
      <c r="N573" s="6" t="s">
        <v>63</v>
      </c>
      <c r="O573" s="6" t="s">
        <v>3508</v>
      </c>
      <c r="P573" s="6"/>
      <c r="Q573" s="6" t="str">
        <f>VLOOKUP(G573,seznampsc!A:B,2,FALSE)</f>
        <v>Příbram</v>
      </c>
      <c r="R573" s="6" t="str">
        <f>VLOOKUP(G573,seznampsc!A:C,3,FALSE)</f>
        <v>Středočeský kraj</v>
      </c>
      <c r="S573" s="6">
        <v>49.685470000000002</v>
      </c>
      <c r="T573" s="6">
        <v>13.98973</v>
      </c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  <c r="AR573" s="6"/>
      <c r="AS573" s="6"/>
      <c r="AT573" s="6"/>
    </row>
    <row r="574" spans="1:48" ht="24" customHeight="1" x14ac:dyDescent="0.3">
      <c r="A574" s="6"/>
      <c r="B574" s="6" t="s">
        <v>65</v>
      </c>
      <c r="C574" s="6" t="s">
        <v>3596</v>
      </c>
      <c r="D574" s="6" t="s">
        <v>3597</v>
      </c>
      <c r="E574" s="6" t="s">
        <v>3598</v>
      </c>
      <c r="F574" s="6" t="s">
        <v>3599</v>
      </c>
      <c r="G574" s="6">
        <v>43001</v>
      </c>
      <c r="H574" s="6" t="s">
        <v>2017</v>
      </c>
      <c r="I574" s="6"/>
      <c r="J574" s="6" t="s">
        <v>3600</v>
      </c>
      <c r="K574" s="8">
        <v>474699444</v>
      </c>
      <c r="L574" s="6" t="s">
        <v>1630</v>
      </c>
      <c r="M574" s="6" t="s">
        <v>3601</v>
      </c>
      <c r="N574" s="6" t="s">
        <v>63</v>
      </c>
      <c r="O574" s="6" t="s">
        <v>3602</v>
      </c>
      <c r="P574" s="6"/>
      <c r="Q574" s="6" t="str">
        <f>VLOOKUP(G574,seznampsc!A:B,2,FALSE)</f>
        <v>Chomutov</v>
      </c>
      <c r="R574" s="6" t="str">
        <f>VLOOKUP(G574,seznampsc!A:C,3,FALSE)</f>
        <v>Ústecký kraj</v>
      </c>
      <c r="S574" s="6">
        <v>50.475693100000001</v>
      </c>
      <c r="T574" s="6">
        <v>13.345365299999999</v>
      </c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  <c r="AR574" s="6"/>
      <c r="AS574" s="6"/>
      <c r="AT574" s="6"/>
      <c r="AV574" s="10">
        <v>200000</v>
      </c>
    </row>
    <row r="575" spans="1:48" ht="24" customHeight="1" x14ac:dyDescent="0.3">
      <c r="A575" s="6"/>
      <c r="B575" s="6" t="s">
        <v>65</v>
      </c>
      <c r="C575" s="6" t="s">
        <v>3603</v>
      </c>
      <c r="D575" s="6" t="s">
        <v>3604</v>
      </c>
      <c r="E575" s="6" t="s">
        <v>1823</v>
      </c>
      <c r="F575" s="6" t="s">
        <v>3605</v>
      </c>
      <c r="G575" s="6">
        <v>25101</v>
      </c>
      <c r="H575" s="6" t="s">
        <v>3135</v>
      </c>
      <c r="I575" s="6" t="s">
        <v>3606</v>
      </c>
      <c r="J575" s="7" t="s">
        <v>3607</v>
      </c>
      <c r="K575" s="6">
        <v>271021107.72448301</v>
      </c>
      <c r="L575" s="6" t="s">
        <v>1630</v>
      </c>
      <c r="M575" s="6" t="s">
        <v>3608</v>
      </c>
      <c r="N575" s="6" t="s">
        <v>63</v>
      </c>
      <c r="O575" s="6" t="s">
        <v>3609</v>
      </c>
      <c r="P575" s="6"/>
      <c r="Q575" s="6" t="str">
        <f>VLOOKUP(G575,seznampsc!A:B,2,FALSE)</f>
        <v>Praha-východ</v>
      </c>
      <c r="R575" s="6" t="str">
        <f>VLOOKUP(G575,seznampsc!A:C,3,FALSE)</f>
        <v>Středočeský kraj</v>
      </c>
      <c r="S575" s="6">
        <v>50.001522899999998</v>
      </c>
      <c r="T575" s="6">
        <v>14.575849</v>
      </c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  <c r="AR575" s="6"/>
      <c r="AS575" s="6"/>
      <c r="AT575" s="6"/>
      <c r="AV575" s="10">
        <v>200000</v>
      </c>
    </row>
    <row r="576" spans="1:48" ht="24" customHeight="1" x14ac:dyDescent="0.3">
      <c r="A576" s="6"/>
      <c r="B576" s="6" t="s">
        <v>65</v>
      </c>
      <c r="C576" s="6" t="s">
        <v>3603</v>
      </c>
      <c r="D576" s="6" t="s">
        <v>3604</v>
      </c>
      <c r="E576" s="6" t="s">
        <v>1823</v>
      </c>
      <c r="F576" s="6" t="s">
        <v>3610</v>
      </c>
      <c r="G576" s="6">
        <v>25101</v>
      </c>
      <c r="H576" s="6" t="s">
        <v>3135</v>
      </c>
      <c r="I576" s="6" t="s">
        <v>3611</v>
      </c>
      <c r="J576" s="7" t="s">
        <v>3612</v>
      </c>
      <c r="K576" s="8">
        <v>272090870</v>
      </c>
      <c r="L576" s="6" t="s">
        <v>1630</v>
      </c>
      <c r="M576" s="6" t="s">
        <v>3613</v>
      </c>
      <c r="N576" s="6" t="s">
        <v>63</v>
      </c>
      <c r="O576" s="6" t="s">
        <v>3609</v>
      </c>
      <c r="P576" s="6"/>
      <c r="Q576" s="6" t="str">
        <f>VLOOKUP(G576,seznampsc!A:B,2,FALSE)</f>
        <v>Praha-východ</v>
      </c>
      <c r="R576" s="6" t="str">
        <f>VLOOKUP(G576,seznampsc!A:C,3,FALSE)</f>
        <v>Středočeský kraj</v>
      </c>
      <c r="S576" s="6">
        <v>49.996080800000001</v>
      </c>
      <c r="T576" s="6">
        <v>14.5840259</v>
      </c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  <c r="AR576" s="6"/>
      <c r="AS576" s="6"/>
      <c r="AT576" s="6"/>
      <c r="AV576" s="10">
        <v>200000</v>
      </c>
    </row>
    <row r="577" spans="1:48" ht="24" customHeight="1" x14ac:dyDescent="0.3">
      <c r="A577" s="6"/>
      <c r="B577" s="6" t="s">
        <v>65</v>
      </c>
      <c r="C577" s="6" t="s">
        <v>3603</v>
      </c>
      <c r="D577" s="6" t="s">
        <v>3604</v>
      </c>
      <c r="E577" s="6" t="s">
        <v>1823</v>
      </c>
      <c r="F577" s="6" t="s">
        <v>3614</v>
      </c>
      <c r="G577" s="6">
        <v>50004</v>
      </c>
      <c r="H577" s="6" t="s">
        <v>330</v>
      </c>
      <c r="I577" s="6"/>
      <c r="J577" s="6" t="s">
        <v>3615</v>
      </c>
      <c r="K577" s="8">
        <v>495065555</v>
      </c>
      <c r="L577" s="6" t="s">
        <v>1630</v>
      </c>
      <c r="M577" s="6" t="s">
        <v>3608</v>
      </c>
      <c r="N577" s="6" t="s">
        <v>63</v>
      </c>
      <c r="O577" s="6" t="s">
        <v>3616</v>
      </c>
      <c r="P577" s="6"/>
      <c r="Q577" s="6" t="str">
        <f>VLOOKUP(G577,seznampsc!A:B,2,FALSE)</f>
        <v>Hradec Králové</v>
      </c>
      <c r="R577" s="6" t="str">
        <f>VLOOKUP(G577,seznampsc!A:C,3,FALSE)</f>
        <v>Královéhradecký kraj</v>
      </c>
      <c r="S577" s="6">
        <v>50.193852999999997</v>
      </c>
      <c r="T577" s="6">
        <v>15.7836318</v>
      </c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  <c r="AR577" s="6"/>
      <c r="AS577" s="6"/>
      <c r="AT577" s="6"/>
      <c r="AV577" s="10">
        <v>200000</v>
      </c>
    </row>
    <row r="578" spans="1:48" ht="24" customHeight="1" x14ac:dyDescent="0.3">
      <c r="A578" s="6"/>
      <c r="B578" s="6" t="s">
        <v>65</v>
      </c>
      <c r="C578" s="6" t="s">
        <v>3603</v>
      </c>
      <c r="D578" s="6" t="s">
        <v>3604</v>
      </c>
      <c r="E578" s="6" t="s">
        <v>1823</v>
      </c>
      <c r="F578" s="6" t="s">
        <v>3617</v>
      </c>
      <c r="G578" s="6">
        <v>33023</v>
      </c>
      <c r="H578" s="6" t="s">
        <v>3583</v>
      </c>
      <c r="I578" s="6"/>
      <c r="J578" s="6" t="s">
        <v>3618</v>
      </c>
      <c r="K578" s="6" t="s">
        <v>3619</v>
      </c>
      <c r="L578" s="6" t="s">
        <v>1630</v>
      </c>
      <c r="M578" s="6" t="s">
        <v>3608</v>
      </c>
      <c r="N578" s="6" t="s">
        <v>63</v>
      </c>
      <c r="O578" s="6" t="s">
        <v>3620</v>
      </c>
      <c r="P578" s="6"/>
      <c r="Q578" s="6" t="str">
        <f>VLOOKUP(G578,seznampsc!A:B,2,FALSE)</f>
        <v>Plzeň-sever</v>
      </c>
      <c r="R578" s="6" t="str">
        <f>VLOOKUP(G578,seznampsc!A:C,3,FALSE)</f>
        <v>Plzeňský kraj</v>
      </c>
      <c r="S578" s="6">
        <v>49.706936499999998</v>
      </c>
      <c r="T578" s="6">
        <v>13.222367999999999</v>
      </c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6"/>
      <c r="AS578" s="6"/>
      <c r="AT578" s="6"/>
      <c r="AV578" s="10">
        <v>200000</v>
      </c>
    </row>
    <row r="579" spans="1:48" ht="24" customHeight="1" x14ac:dyDescent="0.3">
      <c r="A579" s="6"/>
      <c r="B579" s="6" t="s">
        <v>65</v>
      </c>
      <c r="C579" s="6" t="s">
        <v>3603</v>
      </c>
      <c r="D579" s="6" t="s">
        <v>3604</v>
      </c>
      <c r="E579" s="6" t="s">
        <v>1823</v>
      </c>
      <c r="F579" s="6" t="s">
        <v>3621</v>
      </c>
      <c r="G579" s="6">
        <v>26712</v>
      </c>
      <c r="H579" s="6" t="s">
        <v>3622</v>
      </c>
      <c r="I579" s="6"/>
      <c r="J579" s="6" t="s">
        <v>3623</v>
      </c>
      <c r="K579" s="6" t="s">
        <v>3624</v>
      </c>
      <c r="L579" s="6" t="s">
        <v>1630</v>
      </c>
      <c r="M579" s="6" t="s">
        <v>3608</v>
      </c>
      <c r="N579" s="6" t="s">
        <v>63</v>
      </c>
      <c r="O579" s="6" t="s">
        <v>3625</v>
      </c>
      <c r="P579" s="6"/>
      <c r="Q579" s="6" t="str">
        <f>VLOOKUP(G579,seznampsc!A:B,2,FALSE)</f>
        <v>Beroun</v>
      </c>
      <c r="R579" s="6" t="str">
        <f>VLOOKUP(G579,seznampsc!A:C,3,FALSE)</f>
        <v>Středočeský kraj</v>
      </c>
      <c r="S579" s="6">
        <v>49.992276199999999</v>
      </c>
      <c r="T579" s="6">
        <v>14.154679099999999</v>
      </c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  <c r="AR579" s="6"/>
      <c r="AS579" s="6"/>
      <c r="AT579" s="6"/>
      <c r="AV579" s="10">
        <v>200000</v>
      </c>
    </row>
    <row r="580" spans="1:48" ht="24" customHeight="1" x14ac:dyDescent="0.3">
      <c r="A580" s="6"/>
      <c r="B580" s="6" t="s">
        <v>65</v>
      </c>
      <c r="C580" s="6" t="s">
        <v>3603</v>
      </c>
      <c r="D580" s="6" t="s">
        <v>3604</v>
      </c>
      <c r="E580" s="6" t="s">
        <v>1823</v>
      </c>
      <c r="F580" s="6" t="s">
        <v>3626</v>
      </c>
      <c r="G580" s="6">
        <v>51101</v>
      </c>
      <c r="H580" s="6" t="s">
        <v>3627</v>
      </c>
      <c r="I580" s="6"/>
      <c r="J580" s="6" t="s">
        <v>3628</v>
      </c>
      <c r="K580" s="8">
        <v>724483281</v>
      </c>
      <c r="L580" s="6" t="s">
        <v>1630</v>
      </c>
      <c r="M580" s="6" t="s">
        <v>3608</v>
      </c>
      <c r="N580" s="6" t="s">
        <v>63</v>
      </c>
      <c r="O580" s="6" t="s">
        <v>3629</v>
      </c>
      <c r="P580" s="6"/>
      <c r="Q580" s="6" t="str">
        <f>VLOOKUP(G580,seznampsc!A:B,2,FALSE)</f>
        <v>Semily</v>
      </c>
      <c r="R580" s="6" t="str">
        <f>VLOOKUP(G580,seznampsc!A:C,3,FALSE)</f>
        <v>Liberecký kraj</v>
      </c>
      <c r="S580" s="6">
        <v>50.5848157</v>
      </c>
      <c r="T580" s="6">
        <v>15.123022600000001</v>
      </c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  <c r="AR580" s="6"/>
      <c r="AS580" s="6"/>
      <c r="AT580" s="6"/>
      <c r="AV580" s="10">
        <v>200000</v>
      </c>
    </row>
    <row r="581" spans="1:48" ht="24" customHeight="1" x14ac:dyDescent="0.3">
      <c r="A581" s="6"/>
      <c r="B581" s="6" t="s">
        <v>65</v>
      </c>
      <c r="C581" s="6" t="s">
        <v>3603</v>
      </c>
      <c r="D581" s="6" t="s">
        <v>3604</v>
      </c>
      <c r="E581" s="6" t="s">
        <v>1823</v>
      </c>
      <c r="F581" s="6" t="s">
        <v>3630</v>
      </c>
      <c r="G581" s="6">
        <v>40001</v>
      </c>
      <c r="H581" s="6" t="s">
        <v>430</v>
      </c>
      <c r="I581" s="6"/>
      <c r="J581" s="6" t="s">
        <v>3631</v>
      </c>
      <c r="K581" s="8">
        <v>475211331</v>
      </c>
      <c r="L581" s="6" t="s">
        <v>1630</v>
      </c>
      <c r="M581" s="6" t="s">
        <v>3608</v>
      </c>
      <c r="N581" s="6" t="s">
        <v>63</v>
      </c>
      <c r="O581" s="6" t="s">
        <v>3632</v>
      </c>
      <c r="P581" s="6"/>
      <c r="Q581" s="6" t="str">
        <f>VLOOKUP(G581,seznampsc!A:B,2,FALSE)</f>
        <v>Ústí nad Labem</v>
      </c>
      <c r="R581" s="6" t="str">
        <f>VLOOKUP(G581,seznampsc!A:C,3,FALSE)</f>
        <v>Ústecký kraj</v>
      </c>
      <c r="S581" s="6">
        <v>50.650269700000003</v>
      </c>
      <c r="T581" s="6">
        <v>14.0185172</v>
      </c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  <c r="AR581" s="6"/>
      <c r="AS581" s="6"/>
      <c r="AT581" s="6"/>
      <c r="AV581" s="10">
        <v>200000</v>
      </c>
    </row>
    <row r="582" spans="1:48" ht="24" customHeight="1" x14ac:dyDescent="0.3">
      <c r="A582" s="6"/>
      <c r="B582" s="6" t="s">
        <v>65</v>
      </c>
      <c r="C582" s="6" t="s">
        <v>3603</v>
      </c>
      <c r="D582" s="6" t="s">
        <v>3604</v>
      </c>
      <c r="E582" s="6" t="s">
        <v>1823</v>
      </c>
      <c r="F582" s="6" t="s">
        <v>3633</v>
      </c>
      <c r="G582" s="6">
        <v>39601</v>
      </c>
      <c r="H582" s="6" t="s">
        <v>1697</v>
      </c>
      <c r="I582" s="6"/>
      <c r="J582" s="6" t="s">
        <v>3634</v>
      </c>
      <c r="K582" s="8">
        <v>724483262</v>
      </c>
      <c r="L582" s="6" t="s">
        <v>1630</v>
      </c>
      <c r="M582" s="6" t="s">
        <v>3608</v>
      </c>
      <c r="N582" s="6" t="s">
        <v>63</v>
      </c>
      <c r="O582" s="6" t="s">
        <v>3635</v>
      </c>
      <c r="P582" s="6"/>
      <c r="Q582" s="6" t="str">
        <f>VLOOKUP(G582,seznampsc!A:B,2,FALSE)</f>
        <v>Pelhřimov</v>
      </c>
      <c r="R582" s="6" t="str">
        <f>VLOOKUP(G582,seznampsc!A:C,3,FALSE)</f>
        <v>Kraj Vysočina</v>
      </c>
      <c r="S582" s="6">
        <v>49.527311500000003</v>
      </c>
      <c r="T582" s="6">
        <v>15.353933899999999</v>
      </c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  <c r="AR582" s="6"/>
      <c r="AS582" s="6"/>
      <c r="AT582" s="6"/>
      <c r="AV582" s="10">
        <v>200000</v>
      </c>
    </row>
    <row r="583" spans="1:48" ht="24" customHeight="1" x14ac:dyDescent="0.3">
      <c r="A583" s="6"/>
      <c r="B583" s="6" t="s">
        <v>65</v>
      </c>
      <c r="C583" s="6" t="s">
        <v>3636</v>
      </c>
      <c r="D583" s="6">
        <v>25614304</v>
      </c>
      <c r="E583" s="6" t="s">
        <v>3637</v>
      </c>
      <c r="F583" s="6" t="s">
        <v>3638</v>
      </c>
      <c r="G583" s="6">
        <v>10000</v>
      </c>
      <c r="H583" s="6" t="s">
        <v>3220</v>
      </c>
      <c r="I583" s="6"/>
      <c r="J583" s="7" t="s">
        <v>3639</v>
      </c>
      <c r="K583" s="6">
        <v>778480161</v>
      </c>
      <c r="L583" s="6" t="s">
        <v>586</v>
      </c>
      <c r="M583" s="6" t="s">
        <v>134</v>
      </c>
      <c r="N583" s="6" t="s">
        <v>63</v>
      </c>
      <c r="O583" s="6" t="s">
        <v>1919</v>
      </c>
      <c r="P583" s="6"/>
      <c r="Q583" s="6" t="str">
        <f>VLOOKUP(G583,seznampsc!A:B,2,FALSE)</f>
        <v>Hlavní město Praha</v>
      </c>
      <c r="R583" s="6" t="str">
        <f>VLOOKUP(G583,seznampsc!A:C,3,FALSE)</f>
        <v>Hlavní město Praha</v>
      </c>
      <c r="S583" s="6" t="s">
        <v>3640</v>
      </c>
      <c r="T583" s="6" t="s">
        <v>3641</v>
      </c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  <c r="AR583" s="6"/>
      <c r="AS583" s="6"/>
      <c r="AT583" s="6"/>
      <c r="AU583" s="6" t="s">
        <v>3642</v>
      </c>
      <c r="AV583" s="10">
        <v>200000</v>
      </c>
    </row>
    <row r="584" spans="1:48" ht="24" customHeight="1" x14ac:dyDescent="0.3">
      <c r="A584" s="6"/>
      <c r="B584" s="6" t="s">
        <v>65</v>
      </c>
      <c r="C584" s="6" t="s">
        <v>3603</v>
      </c>
      <c r="D584" s="6" t="s">
        <v>3604</v>
      </c>
      <c r="E584" s="6" t="s">
        <v>1823</v>
      </c>
      <c r="F584" s="6" t="s">
        <v>3643</v>
      </c>
      <c r="G584" s="6">
        <v>62700</v>
      </c>
      <c r="H584" s="6" t="s">
        <v>3644</v>
      </c>
      <c r="I584" s="6"/>
      <c r="J584" s="6" t="s">
        <v>3645</v>
      </c>
      <c r="K584" s="8">
        <v>545197313</v>
      </c>
      <c r="L584" s="6" t="s">
        <v>1630</v>
      </c>
      <c r="M584" s="6" t="s">
        <v>3608</v>
      </c>
      <c r="N584" s="6" t="s">
        <v>63</v>
      </c>
      <c r="O584" s="6" t="s">
        <v>3632</v>
      </c>
      <c r="P584" s="6"/>
      <c r="Q584" s="6" t="str">
        <f>VLOOKUP(G584,seznampsc!A:B,2,FALSE)</f>
        <v>Brno-město</v>
      </c>
      <c r="R584" s="6" t="str">
        <f>VLOOKUP(G584,seznampsc!A:C,3,FALSE)</f>
        <v>Jihomoravský kraj</v>
      </c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  <c r="AR584" s="6"/>
      <c r="AS584" s="6"/>
      <c r="AT584" s="6"/>
      <c r="AV584" s="10">
        <v>200000</v>
      </c>
    </row>
    <row r="585" spans="1:48" ht="24" customHeight="1" x14ac:dyDescent="0.3">
      <c r="A585" s="6"/>
      <c r="B585" s="6" t="s">
        <v>65</v>
      </c>
      <c r="C585" s="6" t="s">
        <v>3603</v>
      </c>
      <c r="D585" s="6" t="s">
        <v>3604</v>
      </c>
      <c r="E585" s="6" t="s">
        <v>1823</v>
      </c>
      <c r="F585" s="6" t="s">
        <v>3646</v>
      </c>
      <c r="G585" s="6">
        <v>66441</v>
      </c>
      <c r="H585" s="6" t="s">
        <v>3647</v>
      </c>
      <c r="I585" s="6"/>
      <c r="J585" s="6" t="s">
        <v>3648</v>
      </c>
      <c r="K585" s="8">
        <v>547422260</v>
      </c>
      <c r="L585" s="6" t="s">
        <v>1630</v>
      </c>
      <c r="M585" s="6" t="s">
        <v>3608</v>
      </c>
      <c r="N585" s="6" t="s">
        <v>63</v>
      </c>
      <c r="O585" s="6" t="s">
        <v>3649</v>
      </c>
      <c r="P585" s="6"/>
      <c r="Q585" s="6" t="str">
        <f>VLOOKUP(G585,seznampsc!A:B,2,FALSE)</f>
        <v>Brno-venkov</v>
      </c>
      <c r="R585" s="6" t="str">
        <f>VLOOKUP(G585,seznampsc!A:C,3,FALSE)</f>
        <v>Jihomoravský kraj</v>
      </c>
      <c r="S585" s="6">
        <v>49.180667100000001</v>
      </c>
      <c r="T585" s="6">
        <v>16.487164799999999</v>
      </c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  <c r="AR585" s="6"/>
      <c r="AS585" s="6"/>
      <c r="AT585" s="6"/>
      <c r="AV585" s="10">
        <v>200000</v>
      </c>
    </row>
    <row r="586" spans="1:48" ht="24" customHeight="1" x14ac:dyDescent="0.3">
      <c r="A586" s="6"/>
      <c r="B586" s="6" t="s">
        <v>65</v>
      </c>
      <c r="C586" s="6" t="s">
        <v>3603</v>
      </c>
      <c r="D586" s="6" t="s">
        <v>3604</v>
      </c>
      <c r="E586" s="6" t="s">
        <v>1823</v>
      </c>
      <c r="F586" s="6" t="s">
        <v>3650</v>
      </c>
      <c r="G586" s="6">
        <v>76502</v>
      </c>
      <c r="H586" s="6" t="s">
        <v>3021</v>
      </c>
      <c r="I586" s="6"/>
      <c r="J586" s="6" t="s">
        <v>3651</v>
      </c>
      <c r="K586" s="8">
        <v>577102501</v>
      </c>
      <c r="L586" s="6" t="s">
        <v>1630</v>
      </c>
      <c r="M586" s="6" t="s">
        <v>3608</v>
      </c>
      <c r="N586" s="6" t="s">
        <v>63</v>
      </c>
      <c r="O586" s="6" t="s">
        <v>3652</v>
      </c>
      <c r="P586" s="6"/>
      <c r="Q586" s="6" t="str">
        <f>VLOOKUP(G586,seznampsc!A:B,2,FALSE)</f>
        <v>Zlín</v>
      </c>
      <c r="R586" s="6" t="str">
        <f>VLOOKUP(G586,seznampsc!A:C,3,FALSE)</f>
        <v>Zlínský kraj</v>
      </c>
      <c r="S586" s="6">
        <v>49.212960199999998</v>
      </c>
      <c r="T586" s="6">
        <v>17.5147665</v>
      </c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  <c r="AR586" s="6"/>
      <c r="AS586" s="6"/>
      <c r="AT586" s="6"/>
      <c r="AV586" s="10">
        <v>200000</v>
      </c>
    </row>
    <row r="587" spans="1:48" ht="24" customHeight="1" x14ac:dyDescent="0.3">
      <c r="A587" s="6"/>
      <c r="B587" s="6" t="s">
        <v>65</v>
      </c>
      <c r="C587" s="6" t="s">
        <v>3603</v>
      </c>
      <c r="D587" s="6" t="s">
        <v>3604</v>
      </c>
      <c r="E587" s="6" t="s">
        <v>1823</v>
      </c>
      <c r="F587" s="6" t="s">
        <v>3653</v>
      </c>
      <c r="G587" s="6">
        <v>78301</v>
      </c>
      <c r="H587" s="6" t="s">
        <v>265</v>
      </c>
      <c r="I587" s="6"/>
      <c r="J587" s="6" t="s">
        <v>3654</v>
      </c>
      <c r="K587" s="8">
        <v>724483270</v>
      </c>
      <c r="L587" s="6" t="s">
        <v>1630</v>
      </c>
      <c r="M587" s="6" t="s">
        <v>3608</v>
      </c>
      <c r="N587" s="6" t="s">
        <v>63</v>
      </c>
      <c r="O587" s="6" t="s">
        <v>3632</v>
      </c>
      <c r="P587" s="6"/>
      <c r="Q587" s="6" t="str">
        <f>VLOOKUP(G587,seznampsc!A:B,2,FALSE)</f>
        <v>Olomouc</v>
      </c>
      <c r="R587" s="6" t="str">
        <f>VLOOKUP(G587,seznampsc!A:C,3,FALSE)</f>
        <v>Olomoucký kraj</v>
      </c>
      <c r="S587" s="6">
        <v>49.566932399999999</v>
      </c>
      <c r="T587" s="6">
        <v>17.205109400000001</v>
      </c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  <c r="AR587" s="6"/>
      <c r="AS587" s="6"/>
      <c r="AT587" s="6"/>
      <c r="AV587" s="10">
        <v>200000</v>
      </c>
    </row>
    <row r="588" spans="1:48" ht="24" customHeight="1" x14ac:dyDescent="0.3">
      <c r="A588" s="6"/>
      <c r="B588" s="6" t="s">
        <v>65</v>
      </c>
      <c r="C588" s="6" t="s">
        <v>3603</v>
      </c>
      <c r="D588" s="6" t="s">
        <v>3604</v>
      </c>
      <c r="E588" s="6" t="s">
        <v>1823</v>
      </c>
      <c r="F588" s="6" t="s">
        <v>3655</v>
      </c>
      <c r="G588" s="6">
        <v>73564</v>
      </c>
      <c r="H588" s="6" t="s">
        <v>3656</v>
      </c>
      <c r="I588" s="6"/>
      <c r="J588" s="6" t="s">
        <v>3657</v>
      </c>
      <c r="K588" s="6" t="s">
        <v>3658</v>
      </c>
      <c r="L588" s="6" t="s">
        <v>1630</v>
      </c>
      <c r="M588" s="6" t="s">
        <v>3608</v>
      </c>
      <c r="N588" s="6" t="s">
        <v>63</v>
      </c>
      <c r="O588" s="6" t="s">
        <v>3659</v>
      </c>
      <c r="P588" s="6"/>
      <c r="Q588" s="6" t="str">
        <f>VLOOKUP(G588,seznampsc!A:B,2,FALSE)</f>
        <v>Karviná</v>
      </c>
      <c r="R588" s="6" t="str">
        <f>VLOOKUP(G588,seznampsc!A:C,3,FALSE)</f>
        <v>Moravskoslezský kraj</v>
      </c>
      <c r="S588" s="6">
        <v>49.788557599999997</v>
      </c>
      <c r="T588" s="6">
        <v>18.4483383</v>
      </c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  <c r="AR588" s="6"/>
      <c r="AS588" s="6"/>
      <c r="AT588" s="6"/>
      <c r="AV588" s="10">
        <v>200000</v>
      </c>
    </row>
    <row r="589" spans="1:48" ht="24" customHeight="1" x14ac:dyDescent="0.3">
      <c r="A589" s="6"/>
      <c r="B589" s="6" t="s">
        <v>65</v>
      </c>
      <c r="C589" s="6" t="s">
        <v>1822</v>
      </c>
      <c r="D589" s="6" t="s">
        <v>3604</v>
      </c>
      <c r="E589" s="6" t="s">
        <v>1823</v>
      </c>
      <c r="F589" s="6" t="s">
        <v>3660</v>
      </c>
      <c r="G589" s="6">
        <v>71800</v>
      </c>
      <c r="H589" s="6" t="s">
        <v>3661</v>
      </c>
      <c r="I589" s="6"/>
      <c r="J589" s="6" t="s">
        <v>3662</v>
      </c>
      <c r="K589" s="8">
        <v>602575873</v>
      </c>
      <c r="L589" s="6" t="s">
        <v>1630</v>
      </c>
      <c r="M589" s="6" t="s">
        <v>3613</v>
      </c>
      <c r="N589" s="6" t="s">
        <v>63</v>
      </c>
      <c r="O589" s="6" t="s">
        <v>3632</v>
      </c>
      <c r="P589" s="6"/>
      <c r="Q589" s="6" t="str">
        <f>VLOOKUP(G589,seznampsc!A:B,2,FALSE)</f>
        <v>Ostrava-město</v>
      </c>
      <c r="R589" s="6" t="str">
        <f>VLOOKUP(G589,seznampsc!A:C,3,FALSE)</f>
        <v>Moravskoslezský kraj</v>
      </c>
      <c r="S589" s="6">
        <v>49.808931899999997</v>
      </c>
      <c r="T589" s="6">
        <v>18.320072100000001</v>
      </c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  <c r="AR589" s="6"/>
      <c r="AS589" s="6"/>
      <c r="AT589" s="6"/>
      <c r="AV589" s="10">
        <v>200000</v>
      </c>
    </row>
    <row r="590" spans="1:48" ht="24" customHeight="1" x14ac:dyDescent="0.3">
      <c r="A590" s="6"/>
      <c r="B590" s="6" t="s">
        <v>65</v>
      </c>
      <c r="C590" s="6" t="s">
        <v>3663</v>
      </c>
      <c r="D590" s="6">
        <v>46346040</v>
      </c>
      <c r="E590" s="6" t="s">
        <v>3664</v>
      </c>
      <c r="F590" s="6" t="s">
        <v>3665</v>
      </c>
      <c r="G590" s="6">
        <v>58601</v>
      </c>
      <c r="H590" s="6" t="s">
        <v>286</v>
      </c>
      <c r="I590" s="6"/>
      <c r="J590" s="6" t="s">
        <v>3666</v>
      </c>
      <c r="K590" s="6">
        <v>606686710</v>
      </c>
      <c r="L590" s="6" t="s">
        <v>586</v>
      </c>
      <c r="M590" s="6" t="s">
        <v>3667</v>
      </c>
      <c r="N590" s="6" t="s">
        <v>63</v>
      </c>
      <c r="O590" s="6" t="s">
        <v>1976</v>
      </c>
      <c r="P590" s="6"/>
      <c r="Q590" s="6" t="str">
        <f>VLOOKUP(G590,seznampsc!A:B,2,FALSE)</f>
        <v>Jihlava</v>
      </c>
      <c r="R590" s="6" t="str">
        <f>VLOOKUP(G590,seznampsc!A:C,3,FALSE)</f>
        <v>Kraj Vysočina</v>
      </c>
      <c r="S590" s="6" t="s">
        <v>3668</v>
      </c>
      <c r="T590" s="6" t="s">
        <v>3669</v>
      </c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  <c r="AR590" s="6"/>
      <c r="AS590" s="6"/>
      <c r="AT590" s="6"/>
      <c r="AU590" s="6"/>
      <c r="AV590" s="8">
        <v>200000</v>
      </c>
    </row>
    <row r="591" spans="1:48" ht="24" customHeight="1" x14ac:dyDescent="0.3">
      <c r="A591" s="6"/>
      <c r="B591" s="6" t="s">
        <v>65</v>
      </c>
      <c r="C591" s="6" t="s">
        <v>1822</v>
      </c>
      <c r="D591" s="6">
        <v>61055239</v>
      </c>
      <c r="E591" s="6" t="s">
        <v>1823</v>
      </c>
      <c r="F591" s="6" t="s">
        <v>3670</v>
      </c>
      <c r="G591" s="6">
        <v>25067</v>
      </c>
      <c r="H591" s="6" t="s">
        <v>3671</v>
      </c>
      <c r="I591" s="6"/>
      <c r="J591" s="6" t="s">
        <v>3672</v>
      </c>
      <c r="K591" s="6">
        <v>724483797</v>
      </c>
      <c r="L591" s="6" t="s">
        <v>1630</v>
      </c>
      <c r="M591" s="6" t="s">
        <v>1828</v>
      </c>
      <c r="N591" s="6" t="s">
        <v>63</v>
      </c>
      <c r="O591" s="6" t="s">
        <v>3673</v>
      </c>
      <c r="P591" s="6"/>
      <c r="Q591" s="6" t="str">
        <f>VLOOKUP(G591,seznampsc!A:B,2,FALSE)</f>
        <v>Praha-východ</v>
      </c>
      <c r="R591" s="6" t="str">
        <f>VLOOKUP(G591,seznampsc!A:C,3,FALSE)</f>
        <v>Středočeský kraj</v>
      </c>
      <c r="S591" s="6" t="s">
        <v>3674</v>
      </c>
      <c r="T591" s="6" t="s">
        <v>3675</v>
      </c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  <c r="AT591" s="6"/>
      <c r="AV591" s="10">
        <v>200000</v>
      </c>
    </row>
    <row r="592" spans="1:48" ht="24" customHeight="1" x14ac:dyDescent="0.3">
      <c r="A592" s="6"/>
      <c r="B592" s="6" t="s">
        <v>65</v>
      </c>
      <c r="C592" s="6" t="s">
        <v>3676</v>
      </c>
      <c r="D592" s="6" t="s">
        <v>3677</v>
      </c>
      <c r="E592" s="6" t="s">
        <v>3678</v>
      </c>
      <c r="F592" s="6" t="s">
        <v>3679</v>
      </c>
      <c r="G592" s="6">
        <v>39601</v>
      </c>
      <c r="H592" s="6" t="s">
        <v>1697</v>
      </c>
      <c r="I592" s="6" t="s">
        <v>3680</v>
      </c>
      <c r="J592" s="6" t="s">
        <v>3681</v>
      </c>
      <c r="K592" s="6" t="s">
        <v>3682</v>
      </c>
      <c r="L592" s="6" t="s">
        <v>1630</v>
      </c>
      <c r="M592" s="6" t="s">
        <v>3683</v>
      </c>
      <c r="N592" s="6" t="s">
        <v>63</v>
      </c>
      <c r="O592" s="6" t="s">
        <v>3684</v>
      </c>
      <c r="P592" s="6"/>
      <c r="Q592" s="6" t="str">
        <f>VLOOKUP(G592,seznampsc!A:B,2,FALSE)</f>
        <v>Pelhřimov</v>
      </c>
      <c r="R592" s="6" t="str">
        <f>VLOOKUP(G592,seznampsc!A:C,3,FALSE)</f>
        <v>Kraj Vysočina</v>
      </c>
      <c r="S592" s="6">
        <v>49.535732899999999</v>
      </c>
      <c r="T592" s="6">
        <v>15.351043300000001</v>
      </c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  <c r="AV592" s="10">
        <v>200000</v>
      </c>
    </row>
    <row r="593" spans="1:48" ht="24" customHeight="1" x14ac:dyDescent="0.3">
      <c r="A593" s="6"/>
      <c r="B593" s="6" t="s">
        <v>65</v>
      </c>
      <c r="C593" s="6" t="s">
        <v>3685</v>
      </c>
      <c r="D593" s="6" t="s">
        <v>922</v>
      </c>
      <c r="E593" s="6" t="s">
        <v>923</v>
      </c>
      <c r="F593" s="6" t="s">
        <v>3686</v>
      </c>
      <c r="G593" s="6">
        <v>61700</v>
      </c>
      <c r="H593" s="6" t="s">
        <v>272</v>
      </c>
      <c r="I593" s="6"/>
      <c r="J593" s="6" t="s">
        <v>3687</v>
      </c>
      <c r="K593" s="6">
        <v>545421242</v>
      </c>
      <c r="L593" s="6" t="s">
        <v>1630</v>
      </c>
      <c r="M593" s="6" t="s">
        <v>3688</v>
      </c>
      <c r="N593" s="6" t="s">
        <v>63</v>
      </c>
      <c r="O593" s="6" t="s">
        <v>3689</v>
      </c>
      <c r="P593" s="6"/>
      <c r="Q593" s="6" t="str">
        <f>VLOOKUP(G593,seznampsc!A:B,2,FALSE)</f>
        <v>Brno-město</v>
      </c>
      <c r="R593" s="6" t="str">
        <f>VLOOKUP(G593,seznampsc!A:C,3,FALSE)</f>
        <v>Jihomoravský kraj</v>
      </c>
      <c r="S593" s="6">
        <v>49.18141</v>
      </c>
      <c r="T593" s="6">
        <v>16.621670000000002</v>
      </c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  <c r="AV593" s="10">
        <v>200000</v>
      </c>
    </row>
    <row r="594" spans="1:48" ht="24" customHeight="1" x14ac:dyDescent="0.3">
      <c r="A594" s="6"/>
      <c r="B594" s="6" t="s">
        <v>65</v>
      </c>
      <c r="C594" s="6" t="s">
        <v>3685</v>
      </c>
      <c r="D594" s="6" t="s">
        <v>922</v>
      </c>
      <c r="E594" s="6" t="s">
        <v>923</v>
      </c>
      <c r="F594" s="6" t="s">
        <v>3690</v>
      </c>
      <c r="G594" s="6">
        <v>73535</v>
      </c>
      <c r="H594" s="6" t="s">
        <v>3691</v>
      </c>
      <c r="I594" s="6"/>
      <c r="J594" s="6" t="s">
        <v>3692</v>
      </c>
      <c r="K594" s="6">
        <v>596499421</v>
      </c>
      <c r="L594" s="6" t="s">
        <v>1630</v>
      </c>
      <c r="M594" s="6" t="s">
        <v>3688</v>
      </c>
      <c r="N594" s="6" t="s">
        <v>63</v>
      </c>
      <c r="O594" s="6" t="s">
        <v>3693</v>
      </c>
      <c r="P594" s="6"/>
      <c r="Q594" s="6" t="str">
        <f>VLOOKUP(G594,seznampsc!A:B,2,FALSE)</f>
        <v>Karviná</v>
      </c>
      <c r="R594" s="6" t="str">
        <f>VLOOKUP(G594,seznampsc!A:C,3,FALSE)</f>
        <v>Moravskoslezský kraj</v>
      </c>
      <c r="S594" s="6">
        <v>49.80124</v>
      </c>
      <c r="T594" s="6">
        <v>18.47212</v>
      </c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6"/>
      <c r="AV594" s="10">
        <v>200000</v>
      </c>
    </row>
    <row r="595" spans="1:48" ht="24" customHeight="1" x14ac:dyDescent="0.3">
      <c r="A595" s="6"/>
      <c r="B595" s="6" t="s">
        <v>65</v>
      </c>
      <c r="C595" s="6" t="s">
        <v>3685</v>
      </c>
      <c r="D595" s="6" t="s">
        <v>922</v>
      </c>
      <c r="E595" s="6" t="s">
        <v>923</v>
      </c>
      <c r="F595" s="6" t="s">
        <v>3694</v>
      </c>
      <c r="G595" s="6">
        <v>69301</v>
      </c>
      <c r="H595" s="6" t="s">
        <v>930</v>
      </c>
      <c r="I595" s="6"/>
      <c r="J595" s="6" t="s">
        <v>3695</v>
      </c>
      <c r="K595" s="6">
        <v>519402300</v>
      </c>
      <c r="L595" s="6" t="s">
        <v>1630</v>
      </c>
      <c r="M595" s="6" t="s">
        <v>3688</v>
      </c>
      <c r="N595" s="6" t="s">
        <v>63</v>
      </c>
      <c r="O595" s="6" t="s">
        <v>3689</v>
      </c>
      <c r="P595" s="6"/>
      <c r="Q595" s="6" t="str">
        <f>VLOOKUP(G595,seznampsc!A:B,2,FALSE)</f>
        <v>Břeclav</v>
      </c>
      <c r="R595" s="6" t="str">
        <f>VLOOKUP(G595,seznampsc!A:C,3,FALSE)</f>
        <v>Jihomoravský kraj</v>
      </c>
      <c r="S595" s="6">
        <v>48.939889999999998</v>
      </c>
      <c r="T595" s="6">
        <v>16.738289999999999</v>
      </c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6"/>
      <c r="AV595" s="10">
        <v>200000</v>
      </c>
    </row>
    <row r="596" spans="1:48" ht="24" customHeight="1" x14ac:dyDescent="0.3">
      <c r="A596" s="3" t="s">
        <v>53</v>
      </c>
      <c r="B596" s="3" t="s">
        <v>65</v>
      </c>
      <c r="C596" s="3" t="s">
        <v>3696</v>
      </c>
      <c r="E596" s="3" t="s">
        <v>3697</v>
      </c>
      <c r="F596" s="3" t="s">
        <v>3698</v>
      </c>
      <c r="G596" s="3">
        <v>25001</v>
      </c>
      <c r="H596" s="3" t="s">
        <v>3699</v>
      </c>
      <c r="Q596" s="6" t="str">
        <f>VLOOKUP(G596,seznampsc!A:B,2,FALSE)</f>
        <v>Praha-východ</v>
      </c>
      <c r="R596" s="6" t="str">
        <f>VLOOKUP(G596,seznampsc!A:C,3,FALSE)</f>
        <v>Středočeský kraj</v>
      </c>
      <c r="AD596" s="3">
        <v>700</v>
      </c>
      <c r="AE596" s="3">
        <v>750</v>
      </c>
      <c r="AF596" s="3">
        <v>750</v>
      </c>
      <c r="AJ596" s="3">
        <v>100</v>
      </c>
      <c r="AK596" s="3">
        <v>100</v>
      </c>
      <c r="AP596" s="3">
        <v>3</v>
      </c>
      <c r="AQ596" s="3">
        <v>10</v>
      </c>
      <c r="AS596" s="3">
        <v>40</v>
      </c>
      <c r="AV596" s="3">
        <v>100000</v>
      </c>
    </row>
    <row r="597" spans="1:48" ht="24" customHeight="1" x14ac:dyDescent="0.3">
      <c r="A597" s="6"/>
      <c r="B597" s="6" t="s">
        <v>65</v>
      </c>
      <c r="C597" s="6" t="s">
        <v>3685</v>
      </c>
      <c r="D597" s="6" t="s">
        <v>922</v>
      </c>
      <c r="E597" s="6" t="s">
        <v>923</v>
      </c>
      <c r="F597" s="6" t="s">
        <v>3700</v>
      </c>
      <c r="G597" s="6">
        <v>76302</v>
      </c>
      <c r="H597" s="6" t="s">
        <v>230</v>
      </c>
      <c r="I597" s="6"/>
      <c r="J597" s="6" t="s">
        <v>3701</v>
      </c>
      <c r="K597" s="6">
        <v>725980810</v>
      </c>
      <c r="L597" s="6" t="s">
        <v>1630</v>
      </c>
      <c r="M597" s="6" t="s">
        <v>3688</v>
      </c>
      <c r="N597" s="6" t="s">
        <v>63</v>
      </c>
      <c r="O597" s="6" t="s">
        <v>3702</v>
      </c>
      <c r="P597" s="6"/>
      <c r="Q597" s="6" t="str">
        <f>VLOOKUP(G597,seznampsc!A:B,2,FALSE)</f>
        <v>Zlín</v>
      </c>
      <c r="R597" s="6" t="str">
        <f>VLOOKUP(G597,seznampsc!A:C,3,FALSE)</f>
        <v>Zlínský kraj</v>
      </c>
      <c r="S597" s="6">
        <v>49.214010000000002</v>
      </c>
      <c r="T597" s="6">
        <v>17.620989999999999</v>
      </c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  <c r="AT597" s="6"/>
      <c r="AV597" s="10">
        <v>200000</v>
      </c>
    </row>
    <row r="598" spans="1:48" ht="24" customHeight="1" x14ac:dyDescent="0.3">
      <c r="A598" s="6"/>
      <c r="B598" s="6" t="s">
        <v>65</v>
      </c>
      <c r="C598" s="6" t="s">
        <v>3703</v>
      </c>
      <c r="D598" s="6" t="s">
        <v>3704</v>
      </c>
      <c r="E598" s="6" t="s">
        <v>3705</v>
      </c>
      <c r="F598" s="6" t="s">
        <v>3706</v>
      </c>
      <c r="G598" s="6">
        <v>33023</v>
      </c>
      <c r="H598" s="6" t="s">
        <v>3583</v>
      </c>
      <c r="I598" s="6" t="s">
        <v>3707</v>
      </c>
      <c r="J598" s="6" t="s">
        <v>3708</v>
      </c>
      <c r="K598" s="6">
        <v>720935811</v>
      </c>
      <c r="L598" s="6" t="s">
        <v>1630</v>
      </c>
      <c r="M598" s="6" t="s">
        <v>3709</v>
      </c>
      <c r="N598" s="6" t="s">
        <v>63</v>
      </c>
      <c r="P598" s="6"/>
      <c r="Q598" s="6" t="str">
        <f>VLOOKUP(G598,seznampsc!A:B,2,FALSE)</f>
        <v>Plzeň-sever</v>
      </c>
      <c r="R598" s="6" t="str">
        <f>VLOOKUP(G598,seznampsc!A:C,3,FALSE)</f>
        <v>Plzeňský kraj</v>
      </c>
      <c r="S598" s="6">
        <v>49.706372000000002</v>
      </c>
      <c r="T598" s="6">
        <v>13.220224999999999</v>
      </c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  <c r="AV598" s="10">
        <v>200000</v>
      </c>
    </row>
    <row r="599" spans="1:48" ht="24" customHeight="1" x14ac:dyDescent="0.3">
      <c r="A599" s="6"/>
      <c r="B599" s="6" t="s">
        <v>65</v>
      </c>
      <c r="C599" s="6" t="s">
        <v>3710</v>
      </c>
      <c r="D599" s="6" t="s">
        <v>3711</v>
      </c>
      <c r="E599" s="6" t="s">
        <v>3712</v>
      </c>
      <c r="F599" s="6" t="s">
        <v>3713</v>
      </c>
      <c r="G599" s="6">
        <v>27601</v>
      </c>
      <c r="H599" s="6" t="s">
        <v>237</v>
      </c>
      <c r="I599" s="6" t="s">
        <v>3714</v>
      </c>
      <c r="J599" s="6" t="s">
        <v>3715</v>
      </c>
      <c r="K599" s="6">
        <v>737229461</v>
      </c>
      <c r="L599" s="6" t="s">
        <v>1630</v>
      </c>
      <c r="M599" s="6" t="s">
        <v>3716</v>
      </c>
      <c r="N599" s="6" t="s">
        <v>63</v>
      </c>
      <c r="O599" s="6" t="s">
        <v>198</v>
      </c>
      <c r="P599" s="6"/>
      <c r="Q599" s="6" t="str">
        <f>VLOOKUP(G599,seznampsc!A:B,2,FALSE)</f>
        <v>Mělník</v>
      </c>
      <c r="R599" s="6" t="str">
        <f>VLOOKUP(G599,seznampsc!A:C,3,FALSE)</f>
        <v>Středočeský kraj</v>
      </c>
      <c r="S599" s="6">
        <v>50.373829999999998</v>
      </c>
      <c r="T599" s="6">
        <v>14.4611</v>
      </c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  <c r="AV599" s="10">
        <v>200000</v>
      </c>
    </row>
    <row r="600" spans="1:48" ht="24" customHeight="1" x14ac:dyDescent="0.3">
      <c r="A600" s="1"/>
      <c r="B600" s="1" t="s">
        <v>65</v>
      </c>
      <c r="C600" s="1" t="s">
        <v>3717</v>
      </c>
      <c r="D600" s="1" t="s">
        <v>3580</v>
      </c>
      <c r="E600" s="1" t="s">
        <v>3581</v>
      </c>
      <c r="F600" s="1" t="s">
        <v>3718</v>
      </c>
      <c r="G600" s="1">
        <v>26711</v>
      </c>
      <c r="H600" s="1" t="s">
        <v>3622</v>
      </c>
      <c r="I600" s="1" t="s">
        <v>3719</v>
      </c>
      <c r="J600" s="1" t="s">
        <v>3720</v>
      </c>
      <c r="K600" s="1" t="s">
        <v>3721</v>
      </c>
      <c r="L600" s="1" t="s">
        <v>586</v>
      </c>
      <c r="M600" s="1" t="s">
        <v>3586</v>
      </c>
      <c r="N600" s="1" t="s">
        <v>63</v>
      </c>
      <c r="O600" s="1" t="s">
        <v>3722</v>
      </c>
      <c r="P600" s="6"/>
      <c r="Q600" s="6" t="str">
        <f>VLOOKUP(G600,seznampsc!A:B,2,FALSE)</f>
        <v>Beroun</v>
      </c>
      <c r="R600" s="6" t="str">
        <f>VLOOKUP(G600,seznampsc!A:C,3,FALSE)</f>
        <v>Středočeský kraj</v>
      </c>
      <c r="S600" s="1">
        <v>49.999628399999999</v>
      </c>
      <c r="T600" s="1">
        <v>14.164495799999999</v>
      </c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5" t="s">
        <v>3588</v>
      </c>
      <c r="AV600" s="10"/>
    </row>
    <row r="601" spans="1:48" ht="24" customHeight="1" x14ac:dyDescent="0.3">
      <c r="A601" s="6"/>
      <c r="B601" s="6" t="s">
        <v>65</v>
      </c>
      <c r="C601" s="6" t="s">
        <v>3603</v>
      </c>
      <c r="D601" s="6" t="s">
        <v>3604</v>
      </c>
      <c r="E601" s="6" t="s">
        <v>1823</v>
      </c>
      <c r="F601" s="6" t="s">
        <v>3723</v>
      </c>
      <c r="G601" s="6">
        <v>37001</v>
      </c>
      <c r="H601" s="6" t="s">
        <v>460</v>
      </c>
      <c r="I601" s="6"/>
      <c r="J601" s="6" t="s">
        <v>3724</v>
      </c>
      <c r="K601" s="8">
        <v>387006825</v>
      </c>
      <c r="L601" s="6" t="s">
        <v>1630</v>
      </c>
      <c r="M601" s="6" t="s">
        <v>3608</v>
      </c>
      <c r="N601" s="6" t="s">
        <v>63</v>
      </c>
      <c r="O601" s="6" t="s">
        <v>3725</v>
      </c>
      <c r="P601" s="6"/>
      <c r="Q601" s="6" t="str">
        <f>VLOOKUP(G601,seznampsc!A:B,2,FALSE)</f>
        <v>České Budějovice</v>
      </c>
      <c r="R601" s="6" t="str">
        <f>VLOOKUP(G601,seznampsc!A:C,3,FALSE)</f>
        <v>Jihočeský kraj</v>
      </c>
      <c r="S601" s="6">
        <v>48.981982100000003</v>
      </c>
      <c r="T601" s="6">
        <v>14.491212600000001</v>
      </c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  <c r="AV601" s="10">
        <v>200000</v>
      </c>
    </row>
    <row r="602" spans="1:48" ht="24" customHeight="1" x14ac:dyDescent="0.3">
      <c r="A602" s="6"/>
      <c r="B602" s="6" t="s">
        <v>65</v>
      </c>
      <c r="C602" s="6" t="s">
        <v>3726</v>
      </c>
      <c r="D602" s="6">
        <v>25582305</v>
      </c>
      <c r="E602" s="6" t="s">
        <v>3727</v>
      </c>
      <c r="F602" s="6" t="s">
        <v>3728</v>
      </c>
      <c r="G602" s="6">
        <v>68603</v>
      </c>
      <c r="H602" s="6" t="s">
        <v>1691</v>
      </c>
      <c r="I602" s="6" t="s">
        <v>3729</v>
      </c>
      <c r="J602" s="6" t="s">
        <v>3730</v>
      </c>
      <c r="K602" s="6">
        <v>720078593</v>
      </c>
      <c r="L602" s="6" t="s">
        <v>3528</v>
      </c>
      <c r="M602" s="6" t="s">
        <v>3543</v>
      </c>
      <c r="N602" s="6" t="s">
        <v>63</v>
      </c>
      <c r="O602" s="6" t="s">
        <v>2245</v>
      </c>
      <c r="P602" s="6"/>
      <c r="Q602" s="6" t="str">
        <f>VLOOKUP(G602,seznampsc!A:B,2,FALSE)</f>
        <v>Uherské Hradiště</v>
      </c>
      <c r="R602" s="6" t="str">
        <f>VLOOKUP(G602,seznampsc!A:C,3,FALSE)</f>
        <v>Zlínský kraj</v>
      </c>
      <c r="S602" s="6" t="s">
        <v>3731</v>
      </c>
      <c r="T602" s="6" t="s">
        <v>3732</v>
      </c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</row>
    <row r="603" spans="1:48" ht="24" customHeight="1" x14ac:dyDescent="0.3">
      <c r="A603" s="6"/>
      <c r="B603" s="6" t="s">
        <v>65</v>
      </c>
      <c r="C603" s="6" t="s">
        <v>3733</v>
      </c>
      <c r="D603" s="6">
        <v>60730871</v>
      </c>
      <c r="E603" s="6" t="s">
        <v>3734</v>
      </c>
      <c r="F603" s="6" t="s">
        <v>3735</v>
      </c>
      <c r="G603" s="6">
        <v>58811</v>
      </c>
      <c r="H603" s="6" t="s">
        <v>3736</v>
      </c>
      <c r="I603" s="6" t="s">
        <v>3737</v>
      </c>
      <c r="J603" s="6" t="s">
        <v>3738</v>
      </c>
      <c r="K603" s="6">
        <v>567575176</v>
      </c>
      <c r="L603" s="6" t="s">
        <v>3528</v>
      </c>
      <c r="M603" s="6" t="s">
        <v>3543</v>
      </c>
      <c r="N603" s="6" t="s">
        <v>63</v>
      </c>
      <c r="O603" s="6"/>
      <c r="P603" s="6"/>
      <c r="Q603" s="6" t="str">
        <f>VLOOKUP(G603,seznampsc!A:B,2,FALSE)</f>
        <v>Jihlava</v>
      </c>
      <c r="R603" s="6" t="str">
        <f>VLOOKUP(G603,seznampsc!A:C,3,FALSE)</f>
        <v>Kraj Vysočina</v>
      </c>
      <c r="S603" s="6" t="s">
        <v>3739</v>
      </c>
      <c r="T603" s="6" t="s">
        <v>3740</v>
      </c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6"/>
    </row>
    <row r="604" spans="1:48" ht="24" customHeight="1" x14ac:dyDescent="0.3">
      <c r="A604" s="6"/>
      <c r="B604" s="6" t="s">
        <v>65</v>
      </c>
      <c r="C604" s="6" t="s">
        <v>3741</v>
      </c>
      <c r="D604" s="6">
        <v>15029239</v>
      </c>
      <c r="E604" s="6" t="s">
        <v>3742</v>
      </c>
      <c r="F604" s="6" t="s">
        <v>3743</v>
      </c>
      <c r="G604" s="6">
        <v>56169</v>
      </c>
      <c r="H604" s="6" t="s">
        <v>3744</v>
      </c>
      <c r="I604" s="6" t="s">
        <v>3745</v>
      </c>
      <c r="J604" s="6" t="s">
        <v>3746</v>
      </c>
      <c r="K604" s="6">
        <v>465631912</v>
      </c>
      <c r="L604" s="6" t="s">
        <v>3528</v>
      </c>
      <c r="M604" s="6" t="s">
        <v>3543</v>
      </c>
      <c r="N604" s="6" t="s">
        <v>63</v>
      </c>
      <c r="O604" s="6"/>
      <c r="P604" s="6"/>
      <c r="Q604" s="6" t="str">
        <f>VLOOKUP(G604,seznampsc!A:B,2,FALSE)</f>
        <v>Ústí nad Orlicí</v>
      </c>
      <c r="R604" s="6" t="str">
        <f>VLOOKUP(G604,seznampsc!A:C,3,FALSE)</f>
        <v>Pardubický kraj</v>
      </c>
      <c r="S604" s="6" t="s">
        <v>3747</v>
      </c>
      <c r="T604" s="6" t="s">
        <v>3748</v>
      </c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</row>
    <row r="605" spans="1:48" ht="24" customHeight="1" x14ac:dyDescent="0.3">
      <c r="A605" s="6"/>
      <c r="B605" s="6" t="s">
        <v>65</v>
      </c>
      <c r="C605" s="6" t="s">
        <v>3749</v>
      </c>
      <c r="D605" s="6">
        <v>28097475</v>
      </c>
      <c r="E605" s="6" t="s">
        <v>3750</v>
      </c>
      <c r="F605" s="6" t="s">
        <v>3751</v>
      </c>
      <c r="G605" s="6">
        <v>39301</v>
      </c>
      <c r="H605" s="6" t="s">
        <v>3752</v>
      </c>
      <c r="I605" s="6" t="s">
        <v>3753</v>
      </c>
      <c r="J605" s="6" t="s">
        <v>3754</v>
      </c>
      <c r="K605" s="6" t="s">
        <v>3755</v>
      </c>
      <c r="L605" s="6" t="s">
        <v>3528</v>
      </c>
      <c r="M605" s="6" t="s">
        <v>3543</v>
      </c>
      <c r="N605" s="6" t="s">
        <v>63</v>
      </c>
      <c r="O605" s="6"/>
      <c r="P605" s="6"/>
      <c r="Q605" s="6" t="str">
        <f>VLOOKUP(G605,seznampsc!A:B,2,FALSE)</f>
        <v>Pelhřimov</v>
      </c>
      <c r="R605" s="6" t="str">
        <f>VLOOKUP(G605,seznampsc!A:C,3,FALSE)</f>
        <v>Kraj Vysočina</v>
      </c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  <c r="AU605" s="3" t="s">
        <v>3756</v>
      </c>
    </row>
    <row r="606" spans="1:48" ht="24" customHeight="1" x14ac:dyDescent="0.3">
      <c r="A606" s="6"/>
      <c r="B606" s="6" t="s">
        <v>65</v>
      </c>
      <c r="C606" s="6" t="s">
        <v>3757</v>
      </c>
      <c r="D606" s="6">
        <v>25393901</v>
      </c>
      <c r="E606" s="6" t="s">
        <v>3758</v>
      </c>
      <c r="F606" s="6" t="s">
        <v>3759</v>
      </c>
      <c r="G606" s="6">
        <v>74256</v>
      </c>
      <c r="H606" s="6" t="s">
        <v>3760</v>
      </c>
      <c r="I606" s="6" t="s">
        <v>3761</v>
      </c>
      <c r="J606" s="6" t="s">
        <v>3762</v>
      </c>
      <c r="K606" s="6" t="s">
        <v>3763</v>
      </c>
      <c r="L606" s="6" t="s">
        <v>1630</v>
      </c>
      <c r="M606" s="6" t="s">
        <v>3764</v>
      </c>
      <c r="N606" s="6" t="s">
        <v>63</v>
      </c>
      <c r="O606" s="6" t="s">
        <v>3765</v>
      </c>
      <c r="P606" s="6"/>
      <c r="Q606" s="6" t="str">
        <f>VLOOKUP(G606,seznampsc!A:B,2,FALSE)</f>
        <v>Nový Jičín</v>
      </c>
      <c r="R606" s="6" t="str">
        <f>VLOOKUP(G606,seznampsc!A:C,3,FALSE)</f>
        <v>Moravskoslezský kraj</v>
      </c>
      <c r="S606" s="6" t="s">
        <v>3766</v>
      </c>
      <c r="T606" s="6" t="s">
        <v>3767</v>
      </c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  <c r="AU606" s="6"/>
      <c r="AV606" s="10">
        <v>200000</v>
      </c>
    </row>
    <row r="607" spans="1:48" ht="24" customHeight="1" x14ac:dyDescent="0.3">
      <c r="A607" s="6"/>
      <c r="B607" s="6" t="s">
        <v>65</v>
      </c>
      <c r="C607" s="6" t="s">
        <v>3768</v>
      </c>
      <c r="D607" s="6">
        <v>48466883</v>
      </c>
      <c r="E607" s="6" t="s">
        <v>3769</v>
      </c>
      <c r="F607" s="6" t="s">
        <v>3770</v>
      </c>
      <c r="G607" s="6">
        <v>79807</v>
      </c>
      <c r="H607" s="6" t="s">
        <v>3771</v>
      </c>
      <c r="I607" s="6" t="s">
        <v>3769</v>
      </c>
      <c r="J607" s="6" t="s">
        <v>3772</v>
      </c>
      <c r="K607" s="6">
        <v>602747791</v>
      </c>
      <c r="L607" s="6" t="s">
        <v>3528</v>
      </c>
      <c r="M607" s="6" t="s">
        <v>3773</v>
      </c>
      <c r="N607" s="6" t="s">
        <v>63</v>
      </c>
      <c r="O607" s="6"/>
      <c r="P607" s="6"/>
      <c r="Q607" s="6" t="str">
        <f>VLOOKUP(G607,seznampsc!A:B,2,FALSE)</f>
        <v>Prostějov</v>
      </c>
      <c r="R607" s="6" t="str">
        <f>VLOOKUP(G607,seznampsc!A:C,3,FALSE)</f>
        <v>Olomoucký kraj</v>
      </c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  <c r="AU607" s="3" t="s">
        <v>3756</v>
      </c>
    </row>
    <row r="608" spans="1:48" ht="24" customHeight="1" x14ac:dyDescent="0.3">
      <c r="A608" s="6"/>
      <c r="B608" s="6" t="s">
        <v>65</v>
      </c>
      <c r="C608" s="6" t="s">
        <v>3774</v>
      </c>
      <c r="D608" s="6">
        <v>25044746</v>
      </c>
      <c r="E608" s="6" t="s">
        <v>2672</v>
      </c>
      <c r="F608" s="6" t="s">
        <v>2673</v>
      </c>
      <c r="G608" s="6">
        <v>41703</v>
      </c>
      <c r="H608" s="6" t="s">
        <v>2674</v>
      </c>
      <c r="I608" s="6" t="s">
        <v>2675</v>
      </c>
      <c r="J608" s="6" t="s">
        <v>2676</v>
      </c>
      <c r="K608" s="6">
        <v>733312775</v>
      </c>
      <c r="L608" s="6" t="s">
        <v>3528</v>
      </c>
      <c r="M608" s="6" t="s">
        <v>3543</v>
      </c>
      <c r="N608" s="6" t="s">
        <v>63</v>
      </c>
      <c r="O608" s="6" t="s">
        <v>2282</v>
      </c>
      <c r="P608" s="6"/>
      <c r="Q608" s="6" t="str">
        <f>VLOOKUP(G608,seznampsc!A:B,2,FALSE)</f>
        <v>Teplice</v>
      </c>
      <c r="R608" s="6" t="str">
        <f>VLOOKUP(G608,seznampsc!A:C,3,FALSE)</f>
        <v>Ústecký kraj</v>
      </c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6"/>
      <c r="AU608" s="3" t="s">
        <v>3756</v>
      </c>
    </row>
    <row r="609" spans="1:48" ht="24" customHeight="1" x14ac:dyDescent="0.3">
      <c r="A609" s="6"/>
      <c r="B609" s="6" t="s">
        <v>65</v>
      </c>
      <c r="C609" s="6" t="s">
        <v>3775</v>
      </c>
      <c r="D609" s="6">
        <v>42937736</v>
      </c>
      <c r="E609" s="6" t="s">
        <v>2714</v>
      </c>
      <c r="F609" s="6" t="s">
        <v>3776</v>
      </c>
      <c r="G609" s="6">
        <v>53002</v>
      </c>
      <c r="H609" s="6" t="s">
        <v>2716</v>
      </c>
      <c r="I609" s="6" t="s">
        <v>2717</v>
      </c>
      <c r="J609" s="6" t="s">
        <v>2718</v>
      </c>
      <c r="K609" s="6">
        <v>737249614</v>
      </c>
      <c r="L609" s="6" t="s">
        <v>3528</v>
      </c>
      <c r="M609" s="6" t="s">
        <v>3543</v>
      </c>
      <c r="N609" s="6" t="s">
        <v>63</v>
      </c>
      <c r="O609" s="6" t="s">
        <v>2282</v>
      </c>
      <c r="P609" s="6"/>
      <c r="Q609" s="6" t="str">
        <f>VLOOKUP(G609,seznampsc!A:B,2,FALSE)</f>
        <v>Pardubice</v>
      </c>
      <c r="R609" s="6" t="str">
        <f>VLOOKUP(G609,seznampsc!A:C,3,FALSE)</f>
        <v>Pardubický kraj</v>
      </c>
      <c r="S609" s="6" t="s">
        <v>2719</v>
      </c>
      <c r="T609" s="6" t="s">
        <v>2720</v>
      </c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  <c r="AU609" s="6"/>
    </row>
    <row r="610" spans="1:48" ht="24" customHeight="1" x14ac:dyDescent="0.3">
      <c r="A610" s="6"/>
      <c r="B610" s="6" t="s">
        <v>65</v>
      </c>
      <c r="C610" s="6" t="s">
        <v>3777</v>
      </c>
      <c r="D610" s="6">
        <v>29219591</v>
      </c>
      <c r="E610" s="6" t="s">
        <v>3778</v>
      </c>
      <c r="F610" s="6" t="s">
        <v>3779</v>
      </c>
      <c r="G610" s="6">
        <v>68354</v>
      </c>
      <c r="H610" s="6" t="s">
        <v>3780</v>
      </c>
      <c r="I610" s="6" t="s">
        <v>3781</v>
      </c>
      <c r="J610" s="6" t="s">
        <v>3782</v>
      </c>
      <c r="K610" s="6">
        <v>605454066.60871005</v>
      </c>
      <c r="L610" s="6" t="s">
        <v>3528</v>
      </c>
      <c r="M610" s="6" t="s">
        <v>3783</v>
      </c>
      <c r="N610" s="6" t="s">
        <v>63</v>
      </c>
      <c r="O610" s="6" t="s">
        <v>2282</v>
      </c>
      <c r="P610" s="6"/>
      <c r="Q610" s="6" t="str">
        <f>VLOOKUP(G610,seznampsc!A:B,2,FALSE)</f>
        <v>Vyškov</v>
      </c>
      <c r="R610" s="6" t="str">
        <f>VLOOKUP(G610,seznampsc!A:C,3,FALSE)</f>
        <v>Jihomoravský kraj</v>
      </c>
      <c r="S610" s="6" t="s">
        <v>3784</v>
      </c>
      <c r="T610" s="6" t="s">
        <v>3785</v>
      </c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  <c r="AU610" s="6"/>
    </row>
    <row r="611" spans="1:48" ht="24" customHeight="1" x14ac:dyDescent="0.3">
      <c r="A611" s="6"/>
      <c r="B611" s="6" t="s">
        <v>65</v>
      </c>
      <c r="C611" s="6" t="s">
        <v>3786</v>
      </c>
      <c r="D611" s="6">
        <v>18828647</v>
      </c>
      <c r="E611" s="6" t="s">
        <v>3787</v>
      </c>
      <c r="F611" s="6" t="s">
        <v>3788</v>
      </c>
      <c r="G611" s="6">
        <v>68201</v>
      </c>
      <c r="H611" s="6" t="s">
        <v>3198</v>
      </c>
      <c r="I611" s="6" t="s">
        <v>3789</v>
      </c>
      <c r="J611" s="6" t="s">
        <v>3790</v>
      </c>
      <c r="K611" s="6">
        <v>725761133</v>
      </c>
      <c r="L611" s="6" t="s">
        <v>3528</v>
      </c>
      <c r="M611" s="6" t="s">
        <v>3773</v>
      </c>
      <c r="N611" s="6" t="s">
        <v>63</v>
      </c>
      <c r="O611" s="6" t="s">
        <v>2282</v>
      </c>
      <c r="P611" s="6"/>
      <c r="Q611" s="6" t="str">
        <f>VLOOKUP(G611,seznampsc!A:B,2,FALSE)</f>
        <v>Vyškov</v>
      </c>
      <c r="R611" s="6" t="str">
        <f>VLOOKUP(G611,seznampsc!A:C,3,FALSE)</f>
        <v>Jihomoravský kraj</v>
      </c>
      <c r="S611" s="6" t="s">
        <v>3791</v>
      </c>
      <c r="T611" s="6" t="s">
        <v>3792</v>
      </c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  <c r="AU611" s="6" t="s">
        <v>3793</v>
      </c>
    </row>
    <row r="612" spans="1:48" ht="24" customHeight="1" x14ac:dyDescent="0.3">
      <c r="A612" s="6"/>
      <c r="B612" s="6" t="s">
        <v>65</v>
      </c>
      <c r="C612" s="6" t="s">
        <v>3794</v>
      </c>
      <c r="D612" s="6">
        <v>60711817</v>
      </c>
      <c r="E612" s="6" t="s">
        <v>3795</v>
      </c>
      <c r="F612" s="6" t="s">
        <v>3796</v>
      </c>
      <c r="G612" s="6">
        <v>61900</v>
      </c>
      <c r="H612" s="6" t="s">
        <v>272</v>
      </c>
      <c r="I612" s="6" t="s">
        <v>3797</v>
      </c>
      <c r="J612" s="6" t="s">
        <v>3798</v>
      </c>
      <c r="K612" s="6">
        <v>737207703</v>
      </c>
      <c r="L612" s="6" t="s">
        <v>1630</v>
      </c>
      <c r="M612" s="6" t="s">
        <v>3799</v>
      </c>
      <c r="N612" s="6" t="s">
        <v>63</v>
      </c>
      <c r="O612" s="6" t="s">
        <v>1976</v>
      </c>
      <c r="P612" s="6"/>
      <c r="Q612" s="6" t="str">
        <f>VLOOKUP(G612,seznampsc!A:B,2,FALSE)</f>
        <v>Brno-město</v>
      </c>
      <c r="R612" s="6" t="str">
        <f>VLOOKUP(G612,seznampsc!A:C,3,FALSE)</f>
        <v>Jihomoravský kraj</v>
      </c>
      <c r="S612" s="6" t="s">
        <v>3800</v>
      </c>
      <c r="T612" s="6" t="s">
        <v>3801</v>
      </c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  <c r="AU612" s="6"/>
      <c r="AV612" s="8">
        <v>100000</v>
      </c>
    </row>
    <row r="613" spans="1:48" ht="24" customHeight="1" x14ac:dyDescent="0.3">
      <c r="A613" s="6"/>
      <c r="B613" s="6" t="s">
        <v>65</v>
      </c>
      <c r="C613" s="6" t="s">
        <v>3685</v>
      </c>
      <c r="D613" s="6" t="s">
        <v>922</v>
      </c>
      <c r="E613" s="6" t="s">
        <v>923</v>
      </c>
      <c r="F613" s="6" t="s">
        <v>3802</v>
      </c>
      <c r="G613" s="6">
        <v>78311</v>
      </c>
      <c r="H613" s="6" t="s">
        <v>265</v>
      </c>
      <c r="I613" s="6"/>
      <c r="J613" s="6" t="s">
        <v>3803</v>
      </c>
      <c r="K613" s="6">
        <v>602549071</v>
      </c>
      <c r="L613" s="6" t="s">
        <v>1630</v>
      </c>
      <c r="M613" s="6" t="s">
        <v>3688</v>
      </c>
      <c r="N613" s="6" t="s">
        <v>63</v>
      </c>
      <c r="O613" s="6" t="s">
        <v>3702</v>
      </c>
      <c r="P613" s="6"/>
      <c r="Q613" s="6" t="str">
        <f>VLOOKUP(G613,seznampsc!A:B,2,FALSE)</f>
        <v>Olomouc</v>
      </c>
      <c r="R613" s="6" t="str">
        <f>VLOOKUP(G613,seznampsc!A:C,3,FALSE)</f>
        <v>Olomoucký kraj</v>
      </c>
      <c r="S613" s="6">
        <v>49.613660000000003</v>
      </c>
      <c r="T613" s="6">
        <v>17.325369999999999</v>
      </c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  <c r="AV613" s="10">
        <v>200000</v>
      </c>
    </row>
    <row r="614" spans="1:48" ht="24" customHeight="1" x14ac:dyDescent="0.3">
      <c r="A614" s="6"/>
      <c r="B614" s="6" t="s">
        <v>65</v>
      </c>
      <c r="C614" s="6" t="s">
        <v>3804</v>
      </c>
      <c r="D614" s="6">
        <v>46346040</v>
      </c>
      <c r="E614" s="6" t="s">
        <v>3664</v>
      </c>
      <c r="F614" s="6" t="s">
        <v>3805</v>
      </c>
      <c r="G614" s="6">
        <v>39601</v>
      </c>
      <c r="H614" s="6" t="s">
        <v>1697</v>
      </c>
      <c r="I614" s="6"/>
      <c r="J614" s="7" t="s">
        <v>3806</v>
      </c>
      <c r="K614" s="6" t="s">
        <v>3807</v>
      </c>
      <c r="L614" s="6" t="s">
        <v>1630</v>
      </c>
      <c r="M614" s="6" t="s">
        <v>3667</v>
      </c>
      <c r="N614" s="6" t="s">
        <v>63</v>
      </c>
      <c r="O614" s="6" t="s">
        <v>1976</v>
      </c>
      <c r="P614" s="6"/>
      <c r="Q614" s="6" t="str">
        <f>VLOOKUP(G614,seznampsc!A:B,2,FALSE)</f>
        <v>Pelhřimov</v>
      </c>
      <c r="R614" s="6" t="str">
        <f>VLOOKUP(G614,seznampsc!A:C,3,FALSE)</f>
        <v>Kraj Vysočina</v>
      </c>
      <c r="S614" s="6" t="s">
        <v>3808</v>
      </c>
      <c r="T614" s="6" t="s">
        <v>3809</v>
      </c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  <c r="AU614" s="6"/>
      <c r="AV614" s="8">
        <v>200000</v>
      </c>
    </row>
    <row r="615" spans="1:48" ht="24" customHeight="1" x14ac:dyDescent="0.3">
      <c r="A615" s="6"/>
      <c r="B615" s="6" t="s">
        <v>65</v>
      </c>
      <c r="C615" s="6" t="s">
        <v>3810</v>
      </c>
      <c r="D615" s="6">
        <v>27462889</v>
      </c>
      <c r="E615" s="6" t="s">
        <v>3811</v>
      </c>
      <c r="F615" s="6" t="s">
        <v>3812</v>
      </c>
      <c r="G615" s="6">
        <v>50401</v>
      </c>
      <c r="H615" s="6" t="s">
        <v>3813</v>
      </c>
      <c r="I615" s="6" t="s">
        <v>3814</v>
      </c>
      <c r="J615" s="6" t="s">
        <v>3815</v>
      </c>
      <c r="K615" s="6">
        <v>774308290</v>
      </c>
      <c r="L615" s="6" t="s">
        <v>3528</v>
      </c>
      <c r="M615" s="6" t="s">
        <v>3773</v>
      </c>
      <c r="N615" s="6" t="s">
        <v>63</v>
      </c>
      <c r="O615" s="6" t="s">
        <v>198</v>
      </c>
      <c r="P615" s="6"/>
      <c r="Q615" s="6" t="str">
        <f>VLOOKUP(G615,seznampsc!A:B,2,FALSE)</f>
        <v>Hradec Králové</v>
      </c>
      <c r="R615" s="6" t="str">
        <f>VLOOKUP(G615,seznampsc!A:C,3,FALSE)</f>
        <v>Královéhradecký kraj</v>
      </c>
      <c r="S615" s="6" t="s">
        <v>3816</v>
      </c>
      <c r="T615" s="6" t="s">
        <v>3817</v>
      </c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  <c r="AU615" s="6"/>
      <c r="AV615" s="6" t="s">
        <v>2804</v>
      </c>
    </row>
    <row r="616" spans="1:48" ht="24" customHeight="1" x14ac:dyDescent="0.3">
      <c r="A616" s="6"/>
      <c r="B616" s="6" t="s">
        <v>65</v>
      </c>
      <c r="C616" s="6" t="s">
        <v>3818</v>
      </c>
      <c r="D616" s="6">
        <v>49812947</v>
      </c>
      <c r="E616" s="6" t="s">
        <v>3819</v>
      </c>
      <c r="F616" s="6" t="s">
        <v>3820</v>
      </c>
      <c r="G616" s="6">
        <v>54301</v>
      </c>
      <c r="H616" s="6" t="s">
        <v>167</v>
      </c>
      <c r="I616" s="6" t="s">
        <v>3821</v>
      </c>
      <c r="J616" s="6" t="s">
        <v>3822</v>
      </c>
      <c r="K616" s="6">
        <v>737235970</v>
      </c>
      <c r="L616" s="6" t="s">
        <v>3528</v>
      </c>
      <c r="M616" s="6" t="s">
        <v>3823</v>
      </c>
      <c r="N616" s="6" t="s">
        <v>63</v>
      </c>
      <c r="O616" s="6" t="s">
        <v>198</v>
      </c>
      <c r="P616" s="6"/>
      <c r="Q616" s="6" t="str">
        <f>VLOOKUP(G616,seznampsc!A:B,2,FALSE)</f>
        <v>Trutnov</v>
      </c>
      <c r="R616" s="6" t="str">
        <f>VLOOKUP(G616,seznampsc!A:C,3,FALSE)</f>
        <v>Královéhradecký kraj</v>
      </c>
      <c r="S616" s="6" t="s">
        <v>3824</v>
      </c>
      <c r="T616" s="6" t="s">
        <v>3825</v>
      </c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  <c r="AU616" s="6"/>
      <c r="AV616" s="6" t="s">
        <v>2804</v>
      </c>
    </row>
    <row r="617" spans="1:48" ht="24" customHeight="1" x14ac:dyDescent="0.3">
      <c r="A617" s="6"/>
      <c r="B617" s="6" t="s">
        <v>65</v>
      </c>
      <c r="C617" s="6" t="s">
        <v>3826</v>
      </c>
      <c r="D617" s="6">
        <v>61251186</v>
      </c>
      <c r="E617" s="6" t="s">
        <v>3827</v>
      </c>
      <c r="F617" s="6" t="s">
        <v>3828</v>
      </c>
      <c r="G617" s="6">
        <v>25219</v>
      </c>
      <c r="H617" s="6" t="s">
        <v>3829</v>
      </c>
      <c r="I617" s="6" t="s">
        <v>3830</v>
      </c>
      <c r="J617" s="6" t="s">
        <v>3831</v>
      </c>
      <c r="K617" s="6">
        <v>739543631.73954296</v>
      </c>
      <c r="L617" s="6" t="s">
        <v>1630</v>
      </c>
      <c r="M617" s="6" t="s">
        <v>3832</v>
      </c>
      <c r="N617" s="6" t="s">
        <v>63</v>
      </c>
      <c r="O617" s="6" t="s">
        <v>3833</v>
      </c>
      <c r="P617" s="6"/>
      <c r="Q617" s="6" t="str">
        <f>VLOOKUP(G617,seznampsc!A:B,2,FALSE)</f>
        <v>Praha-západ</v>
      </c>
      <c r="R617" s="6" t="str">
        <f>VLOOKUP(G617,seznampsc!A:C,3,FALSE)</f>
        <v>Středočeský kraj</v>
      </c>
      <c r="S617" s="6" t="s">
        <v>3834</v>
      </c>
      <c r="T617" s="6" t="s">
        <v>3835</v>
      </c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  <c r="AU617" s="6"/>
      <c r="AV617" s="8">
        <v>200000</v>
      </c>
    </row>
    <row r="618" spans="1:48" ht="24" customHeight="1" x14ac:dyDescent="0.3">
      <c r="A618" s="6"/>
      <c r="B618" s="6" t="s">
        <v>65</v>
      </c>
      <c r="C618" s="6" t="s">
        <v>3826</v>
      </c>
      <c r="D618" s="6">
        <v>61251186</v>
      </c>
      <c r="E618" s="6" t="s">
        <v>3827</v>
      </c>
      <c r="F618" s="6" t="s">
        <v>3836</v>
      </c>
      <c r="G618" s="6">
        <v>25101</v>
      </c>
      <c r="H618" s="6" t="s">
        <v>848</v>
      </c>
      <c r="I618" s="6" t="s">
        <v>3837</v>
      </c>
      <c r="J618" s="6" t="s">
        <v>3838</v>
      </c>
      <c r="K618" s="6">
        <v>739543511.73900294</v>
      </c>
      <c r="L618" s="6" t="s">
        <v>1630</v>
      </c>
      <c r="M618" s="6" t="s">
        <v>3832</v>
      </c>
      <c r="N618" s="6" t="s">
        <v>63</v>
      </c>
      <c r="O618" s="6" t="s">
        <v>3833</v>
      </c>
      <c r="P618" s="6"/>
      <c r="Q618" s="6" t="str">
        <f>VLOOKUP(G618,seznampsc!A:B,2,FALSE)</f>
        <v>Praha-východ</v>
      </c>
      <c r="R618" s="6" t="str">
        <f>VLOOKUP(G618,seznampsc!A:C,3,FALSE)</f>
        <v>Středočeský kraj</v>
      </c>
      <c r="S618" s="6" t="s">
        <v>3839</v>
      </c>
      <c r="T618" s="6" t="s">
        <v>3840</v>
      </c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  <c r="AU618" s="6"/>
      <c r="AV618" s="8">
        <v>200000</v>
      </c>
    </row>
    <row r="619" spans="1:48" ht="24" customHeight="1" x14ac:dyDescent="0.3">
      <c r="A619" s="6"/>
      <c r="B619" s="6" t="s">
        <v>65</v>
      </c>
      <c r="C619" s="6" t="s">
        <v>3826</v>
      </c>
      <c r="D619" s="6">
        <v>61251186</v>
      </c>
      <c r="E619" s="6" t="s">
        <v>3827</v>
      </c>
      <c r="F619" s="6" t="s">
        <v>3841</v>
      </c>
      <c r="G619" s="6">
        <v>40001</v>
      </c>
      <c r="H619" s="6" t="s">
        <v>430</v>
      </c>
      <c r="I619" s="6" t="s">
        <v>3842</v>
      </c>
      <c r="J619" s="6" t="s">
        <v>3843</v>
      </c>
      <c r="K619" s="6">
        <v>739543553.73954296</v>
      </c>
      <c r="L619" s="6" t="s">
        <v>1630</v>
      </c>
      <c r="M619" s="6" t="s">
        <v>3832</v>
      </c>
      <c r="N619" s="6" t="s">
        <v>63</v>
      </c>
      <c r="O619" s="6" t="s">
        <v>3833</v>
      </c>
      <c r="P619" s="6"/>
      <c r="Q619" s="6" t="str">
        <f>VLOOKUP(G619,seznampsc!A:B,2,FALSE)</f>
        <v>Ústí nad Labem</v>
      </c>
      <c r="R619" s="6" t="str">
        <f>VLOOKUP(G619,seznampsc!A:C,3,FALSE)</f>
        <v>Ústecký kraj</v>
      </c>
      <c r="S619" s="6" t="s">
        <v>3844</v>
      </c>
      <c r="T619" s="6" t="s">
        <v>3845</v>
      </c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  <c r="AT619" s="6"/>
      <c r="AU619" s="6"/>
      <c r="AV619" s="8">
        <v>200000</v>
      </c>
    </row>
    <row r="620" spans="1:48" ht="24" customHeight="1" x14ac:dyDescent="0.3">
      <c r="A620" s="6"/>
      <c r="B620" s="6" t="s">
        <v>65</v>
      </c>
      <c r="C620" s="6" t="s">
        <v>3826</v>
      </c>
      <c r="D620" s="6">
        <v>61251186</v>
      </c>
      <c r="E620" s="6" t="s">
        <v>3827</v>
      </c>
      <c r="F620" s="6" t="s">
        <v>3846</v>
      </c>
      <c r="G620" s="6">
        <v>29306</v>
      </c>
      <c r="H620" s="6" t="s">
        <v>2732</v>
      </c>
      <c r="I620" s="6" t="s">
        <v>3847</v>
      </c>
      <c r="J620" s="6" t="s">
        <v>3848</v>
      </c>
      <c r="K620" s="6">
        <v>739543606.73954797</v>
      </c>
      <c r="L620" s="6" t="s">
        <v>1630</v>
      </c>
      <c r="M620" s="6" t="s">
        <v>3832</v>
      </c>
      <c r="N620" s="6" t="s">
        <v>63</v>
      </c>
      <c r="O620" s="6" t="s">
        <v>3833</v>
      </c>
      <c r="P620" s="6"/>
      <c r="Q620" s="6" t="str">
        <f>VLOOKUP(G620,seznampsc!A:B,2,FALSE)</f>
        <v>Mladá Boleslav</v>
      </c>
      <c r="R620" s="6" t="str">
        <f>VLOOKUP(G620,seznampsc!A:C,3,FALSE)</f>
        <v>Středočeský kraj</v>
      </c>
      <c r="S620" s="6" t="s">
        <v>3849</v>
      </c>
      <c r="T620" s="6" t="s">
        <v>3850</v>
      </c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  <c r="AU620" s="6"/>
      <c r="AV620" s="8">
        <v>200000</v>
      </c>
    </row>
    <row r="621" spans="1:48" ht="24" customHeight="1" x14ac:dyDescent="0.3">
      <c r="A621" s="6"/>
      <c r="B621" s="6" t="s">
        <v>65</v>
      </c>
      <c r="C621" s="6" t="s">
        <v>3826</v>
      </c>
      <c r="D621" s="6">
        <v>61251186</v>
      </c>
      <c r="E621" s="6" t="s">
        <v>3827</v>
      </c>
      <c r="F621" s="6" t="s">
        <v>3851</v>
      </c>
      <c r="G621" s="6">
        <v>37001</v>
      </c>
      <c r="H621" s="6" t="s">
        <v>460</v>
      </c>
      <c r="I621" s="6" t="s">
        <v>3852</v>
      </c>
      <c r="J621" s="6" t="s">
        <v>3853</v>
      </c>
      <c r="K621" s="6" t="s">
        <v>3854</v>
      </c>
      <c r="L621" s="6" t="s">
        <v>1630</v>
      </c>
      <c r="M621" s="6" t="s">
        <v>3832</v>
      </c>
      <c r="N621" s="6" t="s">
        <v>63</v>
      </c>
      <c r="O621" s="6" t="s">
        <v>3833</v>
      </c>
      <c r="P621" s="6"/>
      <c r="Q621" s="6" t="str">
        <f>VLOOKUP(G621,seznampsc!A:B,2,FALSE)</f>
        <v>České Budějovice</v>
      </c>
      <c r="R621" s="6" t="str">
        <f>VLOOKUP(G621,seznampsc!A:C,3,FALSE)</f>
        <v>Jihočeský kraj</v>
      </c>
      <c r="S621" s="6" t="s">
        <v>3855</v>
      </c>
      <c r="T621" s="6" t="s">
        <v>3856</v>
      </c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  <c r="AT621" s="6"/>
      <c r="AU621" s="6"/>
      <c r="AV621" s="8">
        <v>200000</v>
      </c>
    </row>
    <row r="622" spans="1:48" ht="24" customHeight="1" x14ac:dyDescent="0.3">
      <c r="A622" s="6"/>
      <c r="B622" s="6" t="s">
        <v>65</v>
      </c>
      <c r="C622" s="6" t="s">
        <v>3826</v>
      </c>
      <c r="D622" s="6">
        <v>61251186</v>
      </c>
      <c r="E622" s="6" t="s">
        <v>3827</v>
      </c>
      <c r="F622" s="6" t="s">
        <v>3857</v>
      </c>
      <c r="G622" s="6">
        <v>38601</v>
      </c>
      <c r="H622" s="6" t="s">
        <v>2159</v>
      </c>
      <c r="I622" s="6" t="s">
        <v>3858</v>
      </c>
      <c r="J622" s="6" t="s">
        <v>3859</v>
      </c>
      <c r="K622" s="6">
        <v>725700949.60244298</v>
      </c>
      <c r="L622" s="6" t="s">
        <v>1630</v>
      </c>
      <c r="M622" s="6" t="s">
        <v>3832</v>
      </c>
      <c r="N622" s="6" t="s">
        <v>63</v>
      </c>
      <c r="O622" s="6" t="s">
        <v>3833</v>
      </c>
      <c r="P622" s="6"/>
      <c r="Q622" s="6" t="str">
        <f>VLOOKUP(G622,seznampsc!A:B,2,FALSE)</f>
        <v>Strakonice</v>
      </c>
      <c r="R622" s="6" t="str">
        <f>VLOOKUP(G622,seznampsc!A:C,3,FALSE)</f>
        <v>Jihočeský kraj</v>
      </c>
      <c r="S622" s="6" t="s">
        <v>3860</v>
      </c>
      <c r="T622" s="6" t="s">
        <v>3861</v>
      </c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6"/>
      <c r="AU622" s="6"/>
      <c r="AV622" s="8">
        <v>200000</v>
      </c>
    </row>
    <row r="623" spans="1:48" ht="24" customHeight="1" x14ac:dyDescent="0.3">
      <c r="A623" s="6"/>
      <c r="B623" s="6" t="s">
        <v>65</v>
      </c>
      <c r="C623" s="6" t="s">
        <v>3826</v>
      </c>
      <c r="D623" s="6">
        <v>61251186</v>
      </c>
      <c r="E623" s="6" t="s">
        <v>3827</v>
      </c>
      <c r="F623" s="6" t="s">
        <v>3862</v>
      </c>
      <c r="G623" s="6">
        <v>61800</v>
      </c>
      <c r="H623" s="6" t="s">
        <v>272</v>
      </c>
      <c r="I623" s="6" t="s">
        <v>3863</v>
      </c>
      <c r="J623" s="6" t="s">
        <v>3864</v>
      </c>
      <c r="K623" s="6">
        <v>739543504.73954296</v>
      </c>
      <c r="L623" s="6" t="s">
        <v>1630</v>
      </c>
      <c r="M623" s="6" t="s">
        <v>3832</v>
      </c>
      <c r="N623" s="6" t="s">
        <v>63</v>
      </c>
      <c r="O623" s="6" t="s">
        <v>3833</v>
      </c>
      <c r="P623" s="6"/>
      <c r="Q623" s="6" t="str">
        <f>VLOOKUP(G623,seznampsc!A:B,2,FALSE)</f>
        <v>Brno-město</v>
      </c>
      <c r="R623" s="6" t="str">
        <f>VLOOKUP(G623,seznampsc!A:C,3,FALSE)</f>
        <v>Jihomoravský kraj</v>
      </c>
      <c r="S623" s="6" t="s">
        <v>3865</v>
      </c>
      <c r="T623" s="6" t="s">
        <v>3866</v>
      </c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/>
      <c r="AT623" s="6"/>
      <c r="AU623" s="6"/>
      <c r="AV623" s="8">
        <v>200000</v>
      </c>
    </row>
    <row r="624" spans="1:48" ht="24" customHeight="1" x14ac:dyDescent="0.3">
      <c r="A624" s="6"/>
      <c r="B624" s="6" t="s">
        <v>65</v>
      </c>
      <c r="C624" s="6" t="s">
        <v>3826</v>
      </c>
      <c r="D624" s="6">
        <v>61251186</v>
      </c>
      <c r="E624" s="6" t="s">
        <v>3827</v>
      </c>
      <c r="F624" s="6" t="s">
        <v>3867</v>
      </c>
      <c r="G624" s="6">
        <v>58601</v>
      </c>
      <c r="H624" s="6" t="s">
        <v>3868</v>
      </c>
      <c r="I624" s="6" t="s">
        <v>3869</v>
      </c>
      <c r="J624" s="6" t="s">
        <v>3870</v>
      </c>
      <c r="K624" s="6">
        <v>739543519</v>
      </c>
      <c r="L624" s="6" t="s">
        <v>1630</v>
      </c>
      <c r="M624" s="6" t="s">
        <v>3832</v>
      </c>
      <c r="N624" s="6" t="s">
        <v>63</v>
      </c>
      <c r="O624" s="6" t="s">
        <v>3833</v>
      </c>
      <c r="P624" s="6"/>
      <c r="Q624" s="6" t="str">
        <f>VLOOKUP(G624,seznampsc!A:B,2,FALSE)</f>
        <v>Jihlava</v>
      </c>
      <c r="R624" s="6" t="str">
        <f>VLOOKUP(G624,seznampsc!A:C,3,FALSE)</f>
        <v>Kraj Vysočina</v>
      </c>
      <c r="S624" s="6" t="s">
        <v>3871</v>
      </c>
      <c r="T624" s="6" t="s">
        <v>3872</v>
      </c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  <c r="AT624" s="6"/>
      <c r="AU624" s="6"/>
      <c r="AV624" s="8">
        <v>200000</v>
      </c>
    </row>
    <row r="625" spans="1:48" ht="24" customHeight="1" x14ac:dyDescent="0.3">
      <c r="A625" s="6"/>
      <c r="B625" s="6" t="s">
        <v>65</v>
      </c>
      <c r="C625" s="6" t="s">
        <v>3826</v>
      </c>
      <c r="D625" s="6">
        <v>61251186</v>
      </c>
      <c r="E625" s="6" t="s">
        <v>3827</v>
      </c>
      <c r="F625" s="6" t="s">
        <v>3873</v>
      </c>
      <c r="G625" s="6">
        <v>77200</v>
      </c>
      <c r="H625" s="6" t="s">
        <v>265</v>
      </c>
      <c r="I625" s="6" t="s">
        <v>3874</v>
      </c>
      <c r="J625" s="6" t="s">
        <v>3875</v>
      </c>
      <c r="K625" s="6">
        <v>739543689.73362601</v>
      </c>
      <c r="L625" s="6" t="s">
        <v>1630</v>
      </c>
      <c r="M625" s="6" t="s">
        <v>3832</v>
      </c>
      <c r="N625" s="6" t="s">
        <v>63</v>
      </c>
      <c r="O625" s="6" t="s">
        <v>3833</v>
      </c>
      <c r="P625" s="6"/>
      <c r="Q625" s="6" t="str">
        <f>VLOOKUP(G625,seznampsc!A:B,2,FALSE)</f>
        <v>Olomouc</v>
      </c>
      <c r="R625" s="6" t="str">
        <f>VLOOKUP(G625,seznampsc!A:C,3,FALSE)</f>
        <v>Olomoucký kraj</v>
      </c>
      <c r="S625" s="6" t="s">
        <v>3876</v>
      </c>
      <c r="T625" s="6" t="s">
        <v>3877</v>
      </c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  <c r="AT625" s="6"/>
      <c r="AU625" s="6"/>
      <c r="AV625" s="8">
        <v>200000</v>
      </c>
    </row>
    <row r="626" spans="1:48" ht="24" customHeight="1" x14ac:dyDescent="0.3">
      <c r="A626" s="6"/>
      <c r="B626" s="6" t="s">
        <v>65</v>
      </c>
      <c r="C626" s="6" t="s">
        <v>3826</v>
      </c>
      <c r="D626" s="6">
        <v>61251186</v>
      </c>
      <c r="E626" s="6" t="s">
        <v>3827</v>
      </c>
      <c r="F626" s="6" t="s">
        <v>3878</v>
      </c>
      <c r="G626" s="6">
        <v>76312</v>
      </c>
      <c r="H626" s="6" t="s">
        <v>3879</v>
      </c>
      <c r="I626" s="6" t="s">
        <v>3880</v>
      </c>
      <c r="J626" s="6" t="s">
        <v>3881</v>
      </c>
      <c r="K626" s="6">
        <v>739543539</v>
      </c>
      <c r="L626" s="6" t="s">
        <v>1630</v>
      </c>
      <c r="M626" s="6" t="s">
        <v>3832</v>
      </c>
      <c r="N626" s="6" t="s">
        <v>63</v>
      </c>
      <c r="O626" s="6" t="s">
        <v>3833</v>
      </c>
      <c r="P626" s="6"/>
      <c r="Q626" s="6" t="str">
        <f>VLOOKUP(G626,seznampsc!A:B,2,FALSE)</f>
        <v>Zlín</v>
      </c>
      <c r="R626" s="6" t="str">
        <f>VLOOKUP(G626,seznampsc!A:C,3,FALSE)</f>
        <v>Zlínský kraj</v>
      </c>
      <c r="S626" s="6" t="s">
        <v>3882</v>
      </c>
      <c r="T626" s="6" t="s">
        <v>3883</v>
      </c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  <c r="AR626" s="6"/>
      <c r="AS626" s="6"/>
      <c r="AT626" s="6"/>
      <c r="AU626" s="6"/>
      <c r="AV626" s="8">
        <v>200000</v>
      </c>
    </row>
    <row r="627" spans="1:48" ht="24" customHeight="1" x14ac:dyDescent="0.3">
      <c r="A627" s="6"/>
      <c r="B627" s="6" t="s">
        <v>65</v>
      </c>
      <c r="C627" s="6" t="s">
        <v>3826</v>
      </c>
      <c r="D627" s="6">
        <v>61251186</v>
      </c>
      <c r="E627" s="6" t="s">
        <v>3827</v>
      </c>
      <c r="F627" s="6" t="s">
        <v>3884</v>
      </c>
      <c r="G627" s="6">
        <v>73921</v>
      </c>
      <c r="H627" s="6" t="s">
        <v>3885</v>
      </c>
      <c r="I627" s="6" t="s">
        <v>3886</v>
      </c>
      <c r="J627" s="6" t="s">
        <v>3887</v>
      </c>
      <c r="K627" s="6">
        <v>739543201.73954296</v>
      </c>
      <c r="L627" s="6" t="s">
        <v>1630</v>
      </c>
      <c r="M627" s="6" t="s">
        <v>3832</v>
      </c>
      <c r="N627" s="6" t="s">
        <v>63</v>
      </c>
      <c r="O627" s="6" t="s">
        <v>3833</v>
      </c>
      <c r="P627" s="6"/>
      <c r="Q627" s="6" t="str">
        <f>VLOOKUP(G627,seznampsc!A:B,2,FALSE)</f>
        <v>Frýdek-Místek</v>
      </c>
      <c r="R627" s="6" t="str">
        <f>VLOOKUP(G627,seznampsc!A:C,3,FALSE)</f>
        <v>Moravskoslezský kraj</v>
      </c>
      <c r="S627" s="6" t="s">
        <v>3888</v>
      </c>
      <c r="T627" s="6" t="s">
        <v>3889</v>
      </c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  <c r="AR627" s="6"/>
      <c r="AS627" s="6"/>
      <c r="AT627" s="6"/>
      <c r="AU627" s="6"/>
      <c r="AV627" s="8">
        <v>200000</v>
      </c>
    </row>
    <row r="628" spans="1:48" ht="24" customHeight="1" x14ac:dyDescent="0.3">
      <c r="A628" s="6"/>
      <c r="B628" s="6" t="s">
        <v>65</v>
      </c>
      <c r="C628" s="6" t="s">
        <v>3826</v>
      </c>
      <c r="D628" s="6">
        <v>61251186</v>
      </c>
      <c r="E628" s="6" t="s">
        <v>3827</v>
      </c>
      <c r="F628" s="6" t="s">
        <v>3890</v>
      </c>
      <c r="G628" s="6">
        <v>73953</v>
      </c>
      <c r="H628" s="6" t="s">
        <v>3891</v>
      </c>
      <c r="I628" s="6" t="s">
        <v>3892</v>
      </c>
      <c r="J628" s="6" t="s">
        <v>3893</v>
      </c>
      <c r="K628" s="6">
        <v>739543201.73954296</v>
      </c>
      <c r="L628" s="6" t="s">
        <v>1630</v>
      </c>
      <c r="M628" s="6" t="s">
        <v>3832</v>
      </c>
      <c r="N628" s="6" t="s">
        <v>63</v>
      </c>
      <c r="O628" s="6" t="s">
        <v>3833</v>
      </c>
      <c r="P628" s="6"/>
      <c r="Q628" s="6" t="str">
        <f>VLOOKUP(G628,seznampsc!A:B,2,FALSE)</f>
        <v>Frýdek-Místek</v>
      </c>
      <c r="R628" s="6" t="str">
        <f>VLOOKUP(G628,seznampsc!A:C,3,FALSE)</f>
        <v>Moravskoslezský kraj</v>
      </c>
      <c r="S628" s="6" t="s">
        <v>3894</v>
      </c>
      <c r="T628" s="6" t="s">
        <v>3895</v>
      </c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  <c r="AR628" s="6"/>
      <c r="AS628" s="6"/>
      <c r="AT628" s="6"/>
      <c r="AU628" s="6"/>
      <c r="AV628" s="8">
        <v>200000</v>
      </c>
    </row>
    <row r="629" spans="1:48" ht="24" customHeight="1" x14ac:dyDescent="0.3">
      <c r="A629" s="3" t="s">
        <v>53</v>
      </c>
      <c r="B629" s="6" t="s">
        <v>65</v>
      </c>
      <c r="C629" s="6" t="s">
        <v>3896</v>
      </c>
      <c r="D629" s="6">
        <v>27496601</v>
      </c>
      <c r="E629" s="6" t="s">
        <v>3175</v>
      </c>
      <c r="F629" s="6" t="s">
        <v>3176</v>
      </c>
      <c r="G629" s="6">
        <v>51741</v>
      </c>
      <c r="H629" s="6" t="s">
        <v>3177</v>
      </c>
      <c r="I629" s="6" t="s">
        <v>3178</v>
      </c>
      <c r="J629" s="6" t="s">
        <v>3179</v>
      </c>
      <c r="K629" s="6" t="s">
        <v>3180</v>
      </c>
      <c r="L629" s="6" t="s">
        <v>586</v>
      </c>
      <c r="M629" s="6" t="s">
        <v>3897</v>
      </c>
      <c r="N629" s="6" t="s">
        <v>63</v>
      </c>
      <c r="O629" s="6" t="s">
        <v>198</v>
      </c>
      <c r="P629" s="6"/>
      <c r="Q629" s="6" t="str">
        <f>VLOOKUP(G629,seznampsc!A:B,2,FALSE)</f>
        <v>Rychnov nad Kněžnou</v>
      </c>
      <c r="R629" s="6" t="str">
        <f>VLOOKUP(G629,seznampsc!A:C,3,FALSE)</f>
        <v>Královéhradecký kraj</v>
      </c>
      <c r="S629" s="6" t="s">
        <v>3181</v>
      </c>
      <c r="T629" s="6" t="s">
        <v>3182</v>
      </c>
      <c r="U629" s="6"/>
      <c r="V629" s="6"/>
      <c r="W629" s="6"/>
      <c r="X629" s="6"/>
      <c r="Y629" s="6"/>
      <c r="Z629" s="6"/>
      <c r="AA629" s="6"/>
      <c r="AB629" s="6"/>
      <c r="AC629" s="6"/>
      <c r="AD629" s="6">
        <v>455</v>
      </c>
      <c r="AE629" s="6">
        <v>455</v>
      </c>
      <c r="AF629" s="6">
        <v>455</v>
      </c>
      <c r="AG629" s="6"/>
      <c r="AH629" s="6"/>
      <c r="AI629" s="6"/>
      <c r="AJ629" s="6">
        <v>107</v>
      </c>
      <c r="AK629" s="6"/>
      <c r="AL629" s="6"/>
      <c r="AM629" s="6"/>
      <c r="AN629" s="6"/>
      <c r="AO629" s="6"/>
      <c r="AP629" s="6">
        <v>5</v>
      </c>
      <c r="AQ629" s="6">
        <v>10</v>
      </c>
      <c r="AR629" s="6"/>
      <c r="AS629" s="6"/>
      <c r="AT629" s="6"/>
      <c r="AU629" s="6" t="s">
        <v>2804</v>
      </c>
      <c r="AV629" s="8">
        <v>100000</v>
      </c>
    </row>
    <row r="630" spans="1:48" ht="24" customHeight="1" x14ac:dyDescent="0.3">
      <c r="A630" s="6" t="s">
        <v>53</v>
      </c>
      <c r="B630" s="6" t="s">
        <v>65</v>
      </c>
      <c r="C630" s="6" t="s">
        <v>3896</v>
      </c>
      <c r="D630" s="6">
        <v>27496601</v>
      </c>
      <c r="E630" s="6" t="s">
        <v>3175</v>
      </c>
      <c r="F630" s="6" t="s">
        <v>3176</v>
      </c>
      <c r="G630" s="6">
        <v>51741</v>
      </c>
      <c r="H630" s="6" t="s">
        <v>3177</v>
      </c>
      <c r="I630" s="6" t="s">
        <v>3178</v>
      </c>
      <c r="J630" s="6" t="s">
        <v>3179</v>
      </c>
      <c r="K630" s="6" t="s">
        <v>3180</v>
      </c>
      <c r="L630" s="6" t="s">
        <v>3528</v>
      </c>
      <c r="M630" s="6" t="s">
        <v>62</v>
      </c>
      <c r="N630" s="6" t="s">
        <v>63</v>
      </c>
      <c r="O630" s="6" t="s">
        <v>198</v>
      </c>
      <c r="P630" s="6"/>
      <c r="Q630" s="6" t="str">
        <f>VLOOKUP(G630,seznampsc!A:B,2,FALSE)</f>
        <v>Rychnov nad Kněžnou</v>
      </c>
      <c r="R630" s="6" t="str">
        <f>VLOOKUP(G630,seznampsc!A:C,3,FALSE)</f>
        <v>Královéhradecký kraj</v>
      </c>
      <c r="S630" s="6" t="s">
        <v>3181</v>
      </c>
      <c r="T630" s="6" t="s">
        <v>3182</v>
      </c>
      <c r="U630" s="6"/>
      <c r="V630" s="6"/>
      <c r="W630" s="6"/>
      <c r="X630" s="6"/>
      <c r="Y630" s="6"/>
      <c r="Z630" s="6"/>
      <c r="AA630" s="6"/>
      <c r="AB630" s="6"/>
      <c r="AC630" s="6"/>
      <c r="AD630" s="6">
        <v>455</v>
      </c>
      <c r="AE630" s="6">
        <v>455</v>
      </c>
      <c r="AF630" s="6">
        <v>455</v>
      </c>
      <c r="AG630" s="6"/>
      <c r="AH630" s="6"/>
      <c r="AI630" s="6"/>
      <c r="AJ630" s="6">
        <v>107</v>
      </c>
      <c r="AK630" s="6"/>
      <c r="AL630" s="6"/>
      <c r="AM630" s="6"/>
      <c r="AN630" s="6"/>
      <c r="AO630" s="6"/>
      <c r="AP630" s="6">
        <v>5</v>
      </c>
      <c r="AQ630" s="6">
        <v>10</v>
      </c>
      <c r="AR630" s="6"/>
      <c r="AS630" s="6"/>
      <c r="AT630" s="6"/>
      <c r="AU630" s="6" t="s">
        <v>2804</v>
      </c>
      <c r="AV630" s="8">
        <v>100000</v>
      </c>
    </row>
    <row r="631" spans="1:48" ht="24" customHeight="1" x14ac:dyDescent="0.3">
      <c r="A631" s="6" t="s">
        <v>53</v>
      </c>
      <c r="B631" s="6" t="s">
        <v>65</v>
      </c>
      <c r="C631" s="6" t="s">
        <v>3898</v>
      </c>
      <c r="D631" s="16">
        <v>60293713</v>
      </c>
      <c r="E631" s="6" t="s">
        <v>202</v>
      </c>
      <c r="F631" s="6" t="s">
        <v>203</v>
      </c>
      <c r="G631" s="6">
        <v>73943</v>
      </c>
      <c r="H631" s="6" t="s">
        <v>204</v>
      </c>
      <c r="I631" s="6" t="s">
        <v>205</v>
      </c>
      <c r="J631" s="6" t="s">
        <v>206</v>
      </c>
      <c r="K631" s="6">
        <v>604230992</v>
      </c>
      <c r="L631" s="6" t="s">
        <v>1676</v>
      </c>
      <c r="M631" s="6" t="s">
        <v>3899</v>
      </c>
      <c r="N631" s="6" t="s">
        <v>63</v>
      </c>
      <c r="O631" s="6" t="s">
        <v>208</v>
      </c>
      <c r="P631" s="6"/>
      <c r="Q631" s="6" t="str">
        <f>VLOOKUP(G631,seznampsc!A:B,2,FALSE)</f>
        <v>Frýdek-Místek</v>
      </c>
      <c r="R631" s="6" t="str">
        <f>VLOOKUP(G631,seznampsc!A:C,3,FALSE)</f>
        <v>Moravskoslezský kraj</v>
      </c>
      <c r="U631" s="29">
        <v>0.05</v>
      </c>
      <c r="AV631" s="3">
        <v>30000</v>
      </c>
    </row>
    <row r="632" spans="1:48" ht="24" customHeight="1" x14ac:dyDescent="0.3">
      <c r="A632" s="6" t="s">
        <v>53</v>
      </c>
      <c r="B632" s="6" t="s">
        <v>65</v>
      </c>
      <c r="C632" s="6" t="s">
        <v>3900</v>
      </c>
      <c r="D632" s="16">
        <v>86630351</v>
      </c>
      <c r="E632" s="6" t="s">
        <v>3901</v>
      </c>
      <c r="F632" s="6" t="s">
        <v>3902</v>
      </c>
      <c r="G632" s="6">
        <v>14200</v>
      </c>
      <c r="H632" s="6" t="s">
        <v>80</v>
      </c>
      <c r="I632" s="6" t="s">
        <v>3903</v>
      </c>
      <c r="J632" s="6" t="s">
        <v>3904</v>
      </c>
      <c r="K632" s="6">
        <v>776784784</v>
      </c>
      <c r="L632" s="6" t="s">
        <v>1676</v>
      </c>
      <c r="M632" s="6" t="s">
        <v>3899</v>
      </c>
      <c r="N632" s="6" t="s">
        <v>63</v>
      </c>
      <c r="O632" s="6" t="s">
        <v>710</v>
      </c>
      <c r="P632" s="6"/>
      <c r="Q632" s="6" t="str">
        <f>VLOOKUP(G632,seznampsc!A:B,2,FALSE)</f>
        <v>Hlavní město Praha</v>
      </c>
      <c r="R632" s="6" t="str">
        <f>VLOOKUP(G632,seznampsc!A:C,3,FALSE)</f>
        <v>Hlavní město Praha</v>
      </c>
      <c r="U632" s="29">
        <v>0.05</v>
      </c>
      <c r="AB632" s="3">
        <v>500</v>
      </c>
      <c r="AV632" s="3">
        <v>30000</v>
      </c>
    </row>
    <row r="633" spans="1:48" ht="24" customHeight="1" x14ac:dyDescent="0.3">
      <c r="A633" s="1" t="s">
        <v>381</v>
      </c>
      <c r="B633" s="1" t="s">
        <v>65</v>
      </c>
      <c r="C633" s="1" t="s">
        <v>3905</v>
      </c>
      <c r="D633" s="18" t="s">
        <v>3906</v>
      </c>
      <c r="E633" s="1" t="s">
        <v>3907</v>
      </c>
      <c r="F633" s="1" t="s">
        <v>3908</v>
      </c>
      <c r="G633" s="1">
        <v>47001</v>
      </c>
      <c r="H633" s="1" t="s">
        <v>3909</v>
      </c>
      <c r="I633" s="1" t="s">
        <v>3910</v>
      </c>
      <c r="J633" s="1" t="s">
        <v>223</v>
      </c>
      <c r="K633" s="1">
        <v>777727073</v>
      </c>
      <c r="L633" s="1" t="s">
        <v>3911</v>
      </c>
      <c r="M633" s="1" t="s">
        <v>3912</v>
      </c>
      <c r="N633" s="1" t="s">
        <v>63</v>
      </c>
      <c r="O633" s="1" t="s">
        <v>224</v>
      </c>
      <c r="P633" s="1"/>
      <c r="Q633" s="1"/>
      <c r="R633" s="1"/>
      <c r="AU633" s="1"/>
    </row>
    <row r="634" spans="1:48" ht="24" customHeight="1" x14ac:dyDescent="0.3">
      <c r="A634" s="6" t="s">
        <v>53</v>
      </c>
      <c r="B634" s="6" t="s">
        <v>65</v>
      </c>
      <c r="C634" s="6" t="s">
        <v>3913</v>
      </c>
      <c r="D634" s="16">
        <v>61681857</v>
      </c>
      <c r="E634" s="6" t="s">
        <v>235</v>
      </c>
      <c r="F634" s="6" t="s">
        <v>236</v>
      </c>
      <c r="G634" s="6">
        <v>27601</v>
      </c>
      <c r="H634" s="6" t="s">
        <v>237</v>
      </c>
      <c r="I634" s="6" t="s">
        <v>238</v>
      </c>
      <c r="J634" s="6" t="s">
        <v>239</v>
      </c>
      <c r="K634" s="6">
        <v>603578123</v>
      </c>
      <c r="L634" s="6" t="s">
        <v>1676</v>
      </c>
      <c r="M634" s="6" t="s">
        <v>3899</v>
      </c>
      <c r="N634" s="6" t="s">
        <v>63</v>
      </c>
      <c r="O634" s="6" t="s">
        <v>241</v>
      </c>
      <c r="P634" s="6"/>
      <c r="Q634" s="6" t="str">
        <f>VLOOKUP(G634,seznampsc!A:B,2,FALSE)</f>
        <v>Mělník</v>
      </c>
      <c r="R634" s="6" t="str">
        <f>VLOOKUP(G634,seznampsc!A:C,3,FALSE)</f>
        <v>Středočeský kraj</v>
      </c>
      <c r="U634" s="29">
        <v>0.05</v>
      </c>
      <c r="AA634" s="3">
        <v>5</v>
      </c>
      <c r="AB634" s="6">
        <v>500</v>
      </c>
      <c r="AC634" s="6">
        <v>500</v>
      </c>
      <c r="AD634" s="6">
        <v>600</v>
      </c>
      <c r="AE634" s="6">
        <v>600</v>
      </c>
      <c r="AF634" s="6">
        <v>650</v>
      </c>
      <c r="AG634" s="6">
        <v>800</v>
      </c>
      <c r="AH634" s="6">
        <v>800</v>
      </c>
      <c r="AI634" s="6">
        <v>800</v>
      </c>
      <c r="AJ634" s="6">
        <v>107</v>
      </c>
      <c r="AK634" s="6">
        <v>116</v>
      </c>
      <c r="AL634" s="6"/>
      <c r="AM634" s="6"/>
      <c r="AN634" s="6">
        <v>5</v>
      </c>
      <c r="AO634" s="6">
        <v>3</v>
      </c>
      <c r="AP634" s="6"/>
      <c r="AQ634" s="6"/>
      <c r="AR634" s="6"/>
      <c r="AS634" s="6"/>
      <c r="AT634" s="6"/>
      <c r="AV634" s="3">
        <v>50000</v>
      </c>
    </row>
    <row r="635" spans="1:48" ht="24" customHeight="1" x14ac:dyDescent="0.3">
      <c r="A635" s="6" t="s">
        <v>53</v>
      </c>
      <c r="B635" s="6" t="s">
        <v>65</v>
      </c>
      <c r="C635" s="6" t="s">
        <v>3914</v>
      </c>
      <c r="D635" s="16">
        <v>67668381</v>
      </c>
      <c r="E635" s="6" t="s">
        <v>3915</v>
      </c>
      <c r="F635" s="6" t="s">
        <v>3916</v>
      </c>
      <c r="G635" s="6">
        <v>16300</v>
      </c>
      <c r="H635" s="6" t="s">
        <v>80</v>
      </c>
      <c r="I635" s="6" t="s">
        <v>3917</v>
      </c>
      <c r="J635" s="6" t="s">
        <v>3918</v>
      </c>
      <c r="K635" s="6">
        <v>774000092</v>
      </c>
      <c r="L635" s="6" t="s">
        <v>1676</v>
      </c>
      <c r="M635" s="6" t="s">
        <v>3899</v>
      </c>
      <c r="N635" s="6" t="s">
        <v>63</v>
      </c>
      <c r="O635" s="6" t="s">
        <v>3919</v>
      </c>
      <c r="P635" s="6"/>
      <c r="Q635" s="6" t="str">
        <f>VLOOKUP(G635,seznampsc!A:B,2,FALSE)</f>
        <v>Hlavní město Praha</v>
      </c>
      <c r="R635" s="6" t="str">
        <f>VLOOKUP(G635,seznampsc!A:C,3,FALSE)</f>
        <v>Hlavní město Praha</v>
      </c>
      <c r="U635" s="29">
        <v>0.05</v>
      </c>
      <c r="AV635" s="3">
        <v>30000</v>
      </c>
    </row>
    <row r="636" spans="1:48" ht="24" customHeight="1" x14ac:dyDescent="0.3">
      <c r="A636" s="6" t="s">
        <v>53</v>
      </c>
      <c r="B636" s="6" t="s">
        <v>65</v>
      </c>
      <c r="C636" s="6" t="s">
        <v>3920</v>
      </c>
      <c r="D636" s="16">
        <v>5121361</v>
      </c>
      <c r="E636" s="6" t="s">
        <v>322</v>
      </c>
      <c r="F636" s="6" t="s">
        <v>323</v>
      </c>
      <c r="G636" s="6">
        <v>59301</v>
      </c>
      <c r="H636" s="6" t="s">
        <v>174</v>
      </c>
      <c r="I636" s="6" t="s">
        <v>324</v>
      </c>
      <c r="J636" s="6" t="s">
        <v>325</v>
      </c>
      <c r="K636" s="6">
        <v>731174681</v>
      </c>
      <c r="L636" s="6" t="s">
        <v>1676</v>
      </c>
      <c r="M636" s="6" t="s">
        <v>3899</v>
      </c>
      <c r="N636" s="6" t="s">
        <v>63</v>
      </c>
      <c r="O636" s="6" t="s">
        <v>216</v>
      </c>
      <c r="P636" s="6"/>
      <c r="Q636" s="6" t="str">
        <f>VLOOKUP(G636,seznampsc!A:B,2,FALSE)</f>
        <v>Blansko</v>
      </c>
      <c r="R636" s="6" t="str">
        <f>VLOOKUP(G636,seznampsc!A:C,3,FALSE)</f>
        <v>Jihomoravský kraj</v>
      </c>
      <c r="U636" s="3">
        <v>0</v>
      </c>
      <c r="W636" s="3">
        <v>0</v>
      </c>
      <c r="AA636" s="3">
        <v>5</v>
      </c>
      <c r="AV636" s="3">
        <v>30000</v>
      </c>
    </row>
    <row r="637" spans="1:48" ht="24" customHeight="1" x14ac:dyDescent="0.3">
      <c r="A637" s="6"/>
      <c r="B637" s="6" t="s">
        <v>65</v>
      </c>
      <c r="C637" s="6" t="s">
        <v>3921</v>
      </c>
      <c r="D637" s="6">
        <v>63474930</v>
      </c>
      <c r="E637" s="6" t="s">
        <v>3922</v>
      </c>
      <c r="F637" s="6" t="s">
        <v>3923</v>
      </c>
      <c r="G637" s="6">
        <v>76323</v>
      </c>
      <c r="H637" s="6" t="s">
        <v>230</v>
      </c>
      <c r="I637" s="6"/>
      <c r="J637" s="6" t="s">
        <v>3924</v>
      </c>
      <c r="K637" s="6">
        <v>577587332</v>
      </c>
      <c r="L637" s="6" t="s">
        <v>1630</v>
      </c>
      <c r="M637" s="6" t="s">
        <v>3925</v>
      </c>
      <c r="N637" s="6" t="s">
        <v>63</v>
      </c>
      <c r="O637" s="6" t="s">
        <v>3926</v>
      </c>
      <c r="P637" s="6"/>
      <c r="Q637" s="6" t="str">
        <f>VLOOKUP(G637,seznampsc!A:B,2,FALSE)</f>
        <v>Zlín</v>
      </c>
      <c r="R637" s="6" t="str">
        <f>VLOOKUP(G637,seznampsc!A:C,3,FALSE)</f>
        <v>Zlínský kraj</v>
      </c>
      <c r="S637" s="6" t="s">
        <v>3927</v>
      </c>
      <c r="T637" s="6" t="s">
        <v>3928</v>
      </c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  <c r="AR637" s="6"/>
      <c r="AS637" s="6"/>
      <c r="AT637" s="6"/>
      <c r="AV637" s="10">
        <v>200000</v>
      </c>
    </row>
    <row r="638" spans="1:48" ht="24" customHeight="1" x14ac:dyDescent="0.3">
      <c r="A638" s="6" t="s">
        <v>53</v>
      </c>
      <c r="B638" s="6" t="s">
        <v>65</v>
      </c>
      <c r="C638" s="6" t="s">
        <v>3929</v>
      </c>
      <c r="D638" s="16">
        <v>5741572</v>
      </c>
      <c r="E638" s="6" t="s">
        <v>3930</v>
      </c>
      <c r="F638" s="6" t="s">
        <v>3931</v>
      </c>
      <c r="G638" s="6">
        <v>37701</v>
      </c>
      <c r="H638" s="6" t="s">
        <v>2125</v>
      </c>
      <c r="I638" s="6" t="s">
        <v>3932</v>
      </c>
      <c r="J638" s="7" t="s">
        <v>3933</v>
      </c>
      <c r="K638" s="6">
        <v>608190919</v>
      </c>
      <c r="L638" s="6" t="s">
        <v>3934</v>
      </c>
      <c r="M638" s="6" t="s">
        <v>3899</v>
      </c>
      <c r="N638" s="6" t="s">
        <v>63</v>
      </c>
      <c r="O638" s="6" t="s">
        <v>275</v>
      </c>
      <c r="P638" s="6"/>
      <c r="Q638" s="6" t="str">
        <f>VLOOKUP(G638,seznampsc!A:B,2,FALSE)</f>
        <v>Jindřichův Hradec</v>
      </c>
      <c r="R638" s="6" t="str">
        <f>VLOOKUP(G638,seznampsc!A:C,3,FALSE)</f>
        <v>Jihočeský kraj</v>
      </c>
      <c r="U638" s="3">
        <v>0</v>
      </c>
      <c r="AA638" s="3">
        <v>5</v>
      </c>
      <c r="AB638" s="3" t="s">
        <v>3935</v>
      </c>
      <c r="AC638" s="3" t="s">
        <v>3936</v>
      </c>
      <c r="AU638" s="3" t="s">
        <v>3937</v>
      </c>
      <c r="AV638" s="3">
        <v>30000</v>
      </c>
    </row>
    <row r="639" spans="1:48" ht="24" customHeight="1" x14ac:dyDescent="0.3">
      <c r="A639" s="6" t="s">
        <v>53</v>
      </c>
      <c r="B639" s="6" t="s">
        <v>65</v>
      </c>
      <c r="C639" s="6" t="s">
        <v>3929</v>
      </c>
      <c r="D639" s="16">
        <v>5741572</v>
      </c>
      <c r="E639" s="6" t="s">
        <v>3930</v>
      </c>
      <c r="F639" s="6" t="s">
        <v>3938</v>
      </c>
      <c r="G639" s="6">
        <v>37901</v>
      </c>
      <c r="H639" s="6" t="s">
        <v>1180</v>
      </c>
      <c r="I639" s="6" t="s">
        <v>3932</v>
      </c>
      <c r="J639" s="7" t="s">
        <v>3933</v>
      </c>
      <c r="K639" s="6">
        <v>608190919</v>
      </c>
      <c r="L639" s="6" t="s">
        <v>3934</v>
      </c>
      <c r="M639" s="6" t="s">
        <v>3899</v>
      </c>
      <c r="N639" s="6" t="s">
        <v>63</v>
      </c>
      <c r="O639" s="6" t="s">
        <v>275</v>
      </c>
      <c r="P639" s="6"/>
      <c r="Q639" s="6" t="str">
        <f>VLOOKUP(G639,seznampsc!A:B,2,FALSE)</f>
        <v>Jindřichův Hradec</v>
      </c>
      <c r="R639" s="6" t="str">
        <f>VLOOKUP(G639,seznampsc!A:C,3,FALSE)</f>
        <v>Jihočeský kraj</v>
      </c>
      <c r="U639" s="3">
        <v>0</v>
      </c>
      <c r="AA639" s="3">
        <v>5</v>
      </c>
      <c r="AB639" s="3" t="s">
        <v>3935</v>
      </c>
      <c r="AC639" s="3" t="s">
        <v>3936</v>
      </c>
      <c r="AU639" s="3" t="s">
        <v>3937</v>
      </c>
      <c r="AV639" s="3">
        <v>30000</v>
      </c>
    </row>
    <row r="640" spans="1:48" ht="24" customHeight="1" x14ac:dyDescent="0.3">
      <c r="A640" s="6" t="s">
        <v>53</v>
      </c>
      <c r="B640" s="6" t="s">
        <v>65</v>
      </c>
      <c r="C640" s="6" t="s">
        <v>3929</v>
      </c>
      <c r="D640" s="16">
        <v>5741572</v>
      </c>
      <c r="E640" s="6" t="s">
        <v>3930</v>
      </c>
      <c r="F640" s="6" t="s">
        <v>3939</v>
      </c>
      <c r="G640" s="6">
        <v>38301</v>
      </c>
      <c r="H640" s="6" t="s">
        <v>2167</v>
      </c>
      <c r="I640" s="6" t="s">
        <v>3932</v>
      </c>
      <c r="J640" s="7" t="s">
        <v>3933</v>
      </c>
      <c r="K640" s="6">
        <v>608190919</v>
      </c>
      <c r="L640" s="6" t="s">
        <v>3934</v>
      </c>
      <c r="M640" s="6" t="s">
        <v>3899</v>
      </c>
      <c r="N640" s="6" t="s">
        <v>63</v>
      </c>
      <c r="O640" s="6" t="s">
        <v>275</v>
      </c>
      <c r="P640" s="6"/>
      <c r="Q640" s="6" t="str">
        <f>VLOOKUP(G640,seznampsc!A:B,2,FALSE)</f>
        <v>Prachatice</v>
      </c>
      <c r="R640" s="6" t="str">
        <f>VLOOKUP(G640,seznampsc!A:C,3,FALSE)</f>
        <v>Jihočeský kraj</v>
      </c>
      <c r="U640" s="3">
        <v>0</v>
      </c>
      <c r="AA640" s="3">
        <v>5</v>
      </c>
      <c r="AB640" s="3" t="s">
        <v>3935</v>
      </c>
      <c r="AC640" s="3" t="s">
        <v>3936</v>
      </c>
      <c r="AU640" s="3" t="s">
        <v>3937</v>
      </c>
      <c r="AV640" s="3">
        <v>30000</v>
      </c>
    </row>
    <row r="641" spans="1:48" ht="24" customHeight="1" x14ac:dyDescent="0.3">
      <c r="A641" s="6"/>
      <c r="B641" s="6" t="s">
        <v>65</v>
      </c>
      <c r="C641" s="6" t="s">
        <v>3804</v>
      </c>
      <c r="D641" s="6">
        <v>46346040</v>
      </c>
      <c r="E641" s="6" t="s">
        <v>3664</v>
      </c>
      <c r="F641" s="6" t="s">
        <v>3665</v>
      </c>
      <c r="G641" s="6">
        <v>58601</v>
      </c>
      <c r="H641" s="6" t="s">
        <v>286</v>
      </c>
      <c r="I641" s="6"/>
      <c r="J641" s="6" t="s">
        <v>3666</v>
      </c>
      <c r="K641" s="6">
        <v>567121268</v>
      </c>
      <c r="L641" s="6" t="s">
        <v>1630</v>
      </c>
      <c r="M641" s="6" t="s">
        <v>3667</v>
      </c>
      <c r="N641" s="6" t="s">
        <v>63</v>
      </c>
      <c r="O641" s="6" t="s">
        <v>1976</v>
      </c>
      <c r="P641" s="6"/>
      <c r="Q641" s="6" t="str">
        <f>VLOOKUP(G641,seznampsc!A:B,2,FALSE)</f>
        <v>Jihlava</v>
      </c>
      <c r="R641" s="6" t="str">
        <f>VLOOKUP(G641,seznampsc!A:C,3,FALSE)</f>
        <v>Kraj Vysočina</v>
      </c>
      <c r="S641" s="6" t="s">
        <v>3668</v>
      </c>
      <c r="T641" s="6" t="s">
        <v>3669</v>
      </c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  <c r="AR641" s="6"/>
      <c r="AS641" s="6"/>
      <c r="AT641" s="6"/>
      <c r="AU641" s="6"/>
      <c r="AV641" s="8">
        <v>200000</v>
      </c>
    </row>
    <row r="642" spans="1:48" ht="24" customHeight="1" x14ac:dyDescent="0.3">
      <c r="A642" s="6" t="s">
        <v>53</v>
      </c>
      <c r="B642" s="6" t="s">
        <v>65</v>
      </c>
      <c r="C642" s="6" t="s">
        <v>3929</v>
      </c>
      <c r="D642" s="16">
        <v>5741572</v>
      </c>
      <c r="E642" s="6" t="s">
        <v>3930</v>
      </c>
      <c r="F642" s="6" t="s">
        <v>3940</v>
      </c>
      <c r="G642" s="6">
        <v>39001</v>
      </c>
      <c r="H642" s="6" t="s">
        <v>106</v>
      </c>
      <c r="I642" s="6" t="s">
        <v>3932</v>
      </c>
      <c r="J642" s="7" t="s">
        <v>3933</v>
      </c>
      <c r="K642" s="6">
        <v>608190919</v>
      </c>
      <c r="L642" s="6" t="s">
        <v>3934</v>
      </c>
      <c r="M642" s="6" t="s">
        <v>3899</v>
      </c>
      <c r="N642" s="6" t="s">
        <v>63</v>
      </c>
      <c r="O642" s="6" t="s">
        <v>275</v>
      </c>
      <c r="P642" s="6"/>
      <c r="Q642" s="6" t="str">
        <f>VLOOKUP(G642,seznampsc!A:B,2,FALSE)</f>
        <v>Tábor</v>
      </c>
      <c r="R642" s="6" t="str">
        <f>VLOOKUP(G642,seznampsc!A:C,3,FALSE)</f>
        <v>Jihočeský kraj</v>
      </c>
      <c r="U642" s="3">
        <v>0</v>
      </c>
      <c r="AA642" s="3">
        <v>5</v>
      </c>
      <c r="AB642" s="3" t="s">
        <v>3935</v>
      </c>
      <c r="AC642" s="3" t="s">
        <v>3936</v>
      </c>
      <c r="AU642" s="3" t="s">
        <v>3937</v>
      </c>
      <c r="AV642" s="3">
        <v>30000</v>
      </c>
    </row>
    <row r="643" spans="1:48" ht="24" customHeight="1" x14ac:dyDescent="0.3">
      <c r="A643" s="6" t="s">
        <v>53</v>
      </c>
      <c r="B643" s="6" t="s">
        <v>65</v>
      </c>
      <c r="C643" s="6" t="s">
        <v>3929</v>
      </c>
      <c r="D643" s="16">
        <v>5741572</v>
      </c>
      <c r="E643" s="6" t="s">
        <v>3930</v>
      </c>
      <c r="F643" s="6" t="s">
        <v>3941</v>
      </c>
      <c r="G643" s="6">
        <v>33901</v>
      </c>
      <c r="H643" s="6" t="s">
        <v>527</v>
      </c>
      <c r="I643" s="6" t="s">
        <v>3932</v>
      </c>
      <c r="J643" s="7" t="s">
        <v>3933</v>
      </c>
      <c r="K643" s="6">
        <v>608190919</v>
      </c>
      <c r="L643" s="6" t="s">
        <v>3934</v>
      </c>
      <c r="M643" s="6" t="s">
        <v>3899</v>
      </c>
      <c r="N643" s="6" t="s">
        <v>63</v>
      </c>
      <c r="O643" s="6" t="s">
        <v>275</v>
      </c>
      <c r="P643" s="6"/>
      <c r="Q643" s="6" t="str">
        <f>VLOOKUP(G643,seznampsc!A:B,2,FALSE)</f>
        <v>Klatovy</v>
      </c>
      <c r="R643" s="6" t="str">
        <f>VLOOKUP(G643,seznampsc!A:C,3,FALSE)</f>
        <v>Plzeňský kraj</v>
      </c>
      <c r="U643" s="3">
        <v>0</v>
      </c>
      <c r="AA643" s="3">
        <v>5</v>
      </c>
      <c r="AB643" s="3" t="s">
        <v>3935</v>
      </c>
      <c r="AC643" s="3" t="s">
        <v>3936</v>
      </c>
      <c r="AU643" s="3" t="s">
        <v>3937</v>
      </c>
      <c r="AV643" s="3">
        <v>30000</v>
      </c>
    </row>
    <row r="644" spans="1:48" ht="24" customHeight="1" x14ac:dyDescent="0.3">
      <c r="A644" s="6" t="s">
        <v>53</v>
      </c>
      <c r="B644" s="6" t="s">
        <v>65</v>
      </c>
      <c r="C644" s="6" t="s">
        <v>3929</v>
      </c>
      <c r="D644" s="16">
        <v>5741572</v>
      </c>
      <c r="E644" s="6" t="s">
        <v>3930</v>
      </c>
      <c r="F644" s="6" t="s">
        <v>3942</v>
      </c>
      <c r="G644" s="6">
        <v>33701</v>
      </c>
      <c r="H644" s="6" t="s">
        <v>583</v>
      </c>
      <c r="I644" s="6" t="s">
        <v>3932</v>
      </c>
      <c r="J644" s="7" t="s">
        <v>3933</v>
      </c>
      <c r="K644" s="6">
        <v>608190919</v>
      </c>
      <c r="L644" s="6" t="s">
        <v>3934</v>
      </c>
      <c r="M644" s="6" t="s">
        <v>3899</v>
      </c>
      <c r="N644" s="6" t="s">
        <v>63</v>
      </c>
      <c r="O644" s="6" t="s">
        <v>275</v>
      </c>
      <c r="P644" s="6"/>
      <c r="Q644" s="6" t="str">
        <f>VLOOKUP(G644,seznampsc!A:B,2,FALSE)</f>
        <v>Rokycany</v>
      </c>
      <c r="R644" s="6" t="str">
        <f>VLOOKUP(G644,seznampsc!A:C,3,FALSE)</f>
        <v>Plzeňský kraj</v>
      </c>
      <c r="U644" s="3">
        <v>0</v>
      </c>
      <c r="AA644" s="3">
        <v>5</v>
      </c>
      <c r="AB644" s="3" t="s">
        <v>3935</v>
      </c>
      <c r="AC644" s="3" t="s">
        <v>3936</v>
      </c>
      <c r="AU644" s="3" t="s">
        <v>3937</v>
      </c>
      <c r="AV644" s="3">
        <v>30000</v>
      </c>
    </row>
    <row r="645" spans="1:48" ht="24" customHeight="1" x14ac:dyDescent="0.3">
      <c r="A645" s="6" t="s">
        <v>53</v>
      </c>
      <c r="B645" s="6" t="s">
        <v>65</v>
      </c>
      <c r="C645" s="6" t="s">
        <v>3929</v>
      </c>
      <c r="D645" s="16">
        <v>5741572</v>
      </c>
      <c r="E645" s="6" t="s">
        <v>3930</v>
      </c>
      <c r="F645" s="6" t="s">
        <v>3943</v>
      </c>
      <c r="G645" s="6">
        <v>34701</v>
      </c>
      <c r="H645" s="6" t="s">
        <v>2047</v>
      </c>
      <c r="I645" s="6" t="s">
        <v>3932</v>
      </c>
      <c r="J645" s="7" t="s">
        <v>3933</v>
      </c>
      <c r="K645" s="6">
        <v>608190919</v>
      </c>
      <c r="L645" s="6" t="s">
        <v>3934</v>
      </c>
      <c r="M645" s="6" t="s">
        <v>3899</v>
      </c>
      <c r="N645" s="6" t="s">
        <v>63</v>
      </c>
      <c r="O645" s="6" t="s">
        <v>275</v>
      </c>
      <c r="P645" s="6"/>
      <c r="Q645" s="6" t="str">
        <f>VLOOKUP(G645,seznampsc!A:B,2,FALSE)</f>
        <v>Tachov</v>
      </c>
      <c r="R645" s="6" t="str">
        <f>VLOOKUP(G645,seznampsc!A:C,3,FALSE)</f>
        <v>Plzeňský kraj</v>
      </c>
      <c r="U645" s="3">
        <v>0</v>
      </c>
      <c r="AA645" s="3">
        <v>5</v>
      </c>
      <c r="AB645" s="3" t="s">
        <v>3935</v>
      </c>
      <c r="AC645" s="3" t="s">
        <v>3936</v>
      </c>
      <c r="AU645" s="3" t="s">
        <v>3937</v>
      </c>
      <c r="AV645" s="3">
        <v>30000</v>
      </c>
    </row>
    <row r="646" spans="1:48" ht="24" customHeight="1" x14ac:dyDescent="0.3">
      <c r="A646" s="6" t="s">
        <v>53</v>
      </c>
      <c r="B646" s="6" t="s">
        <v>65</v>
      </c>
      <c r="C646" s="6" t="s">
        <v>3929</v>
      </c>
      <c r="D646" s="16">
        <v>5741572</v>
      </c>
      <c r="E646" s="6" t="s">
        <v>3930</v>
      </c>
      <c r="F646" s="6" t="s">
        <v>3944</v>
      </c>
      <c r="G646" s="6">
        <v>37001</v>
      </c>
      <c r="H646" s="6" t="s">
        <v>460</v>
      </c>
      <c r="I646" s="6" t="s">
        <v>3932</v>
      </c>
      <c r="J646" s="7" t="s">
        <v>3933</v>
      </c>
      <c r="K646" s="6">
        <v>608190919</v>
      </c>
      <c r="L646" s="6" t="s">
        <v>3934</v>
      </c>
      <c r="M646" s="6" t="s">
        <v>3899</v>
      </c>
      <c r="N646" s="6" t="s">
        <v>63</v>
      </c>
      <c r="O646" s="6" t="s">
        <v>275</v>
      </c>
      <c r="P646" s="6"/>
      <c r="Q646" s="6" t="str">
        <f>VLOOKUP(G646,seznampsc!A:B,2,FALSE)</f>
        <v>České Budějovice</v>
      </c>
      <c r="R646" s="6" t="str">
        <f>VLOOKUP(G646,seznampsc!A:C,3,FALSE)</f>
        <v>Jihočeský kraj</v>
      </c>
      <c r="U646" s="3">
        <v>0</v>
      </c>
      <c r="AA646" s="3">
        <v>5</v>
      </c>
      <c r="AB646" s="3" t="s">
        <v>3935</v>
      </c>
      <c r="AC646" s="3" t="s">
        <v>3936</v>
      </c>
      <c r="AU646" s="3" t="s">
        <v>3937</v>
      </c>
      <c r="AV646" s="3">
        <v>30000</v>
      </c>
    </row>
    <row r="647" spans="1:48" ht="24" customHeight="1" x14ac:dyDescent="0.3">
      <c r="A647" s="6" t="s">
        <v>53</v>
      </c>
      <c r="B647" s="6" t="s">
        <v>65</v>
      </c>
      <c r="C647" s="6" t="s">
        <v>3929</v>
      </c>
      <c r="D647" s="16">
        <v>5741572</v>
      </c>
      <c r="E647" s="6" t="s">
        <v>3930</v>
      </c>
      <c r="F647" s="6" t="s">
        <v>3945</v>
      </c>
      <c r="G647" s="6">
        <v>35601</v>
      </c>
      <c r="H647" s="6" t="s">
        <v>878</v>
      </c>
      <c r="I647" s="6" t="s">
        <v>3932</v>
      </c>
      <c r="J647" s="7" t="s">
        <v>3933</v>
      </c>
      <c r="K647" s="6">
        <v>608190919</v>
      </c>
      <c r="L647" s="6" t="s">
        <v>3934</v>
      </c>
      <c r="M647" s="6" t="s">
        <v>3899</v>
      </c>
      <c r="N647" s="6" t="s">
        <v>63</v>
      </c>
      <c r="O647" s="6" t="s">
        <v>275</v>
      </c>
      <c r="P647" s="6"/>
      <c r="Q647" s="6" t="str">
        <f>VLOOKUP(G647,seznampsc!A:B,2,FALSE)</f>
        <v>Sokolov</v>
      </c>
      <c r="R647" s="6" t="str">
        <f>VLOOKUP(G647,seznampsc!A:C,3,FALSE)</f>
        <v>Karlovarský kraj</v>
      </c>
      <c r="U647" s="3">
        <v>0</v>
      </c>
      <c r="AA647" s="3">
        <v>5</v>
      </c>
      <c r="AB647" s="3" t="s">
        <v>3935</v>
      </c>
      <c r="AC647" s="3" t="s">
        <v>3936</v>
      </c>
      <c r="AU647" s="3" t="s">
        <v>3937</v>
      </c>
      <c r="AV647" s="3">
        <v>30000</v>
      </c>
    </row>
    <row r="648" spans="1:48" ht="24" customHeight="1" x14ac:dyDescent="0.3">
      <c r="A648" s="6" t="s">
        <v>53</v>
      </c>
      <c r="B648" s="6" t="s">
        <v>65</v>
      </c>
      <c r="C648" s="6" t="s">
        <v>3929</v>
      </c>
      <c r="D648" s="16">
        <v>5741572</v>
      </c>
      <c r="E648" s="6" t="s">
        <v>3930</v>
      </c>
      <c r="F648" s="6" t="s">
        <v>3946</v>
      </c>
      <c r="G648" s="6">
        <v>38601</v>
      </c>
      <c r="H648" s="6" t="s">
        <v>2159</v>
      </c>
      <c r="I648" s="6" t="s">
        <v>3932</v>
      </c>
      <c r="J648" s="7" t="s">
        <v>3933</v>
      </c>
      <c r="K648" s="6">
        <v>608190919</v>
      </c>
      <c r="L648" s="6" t="s">
        <v>3934</v>
      </c>
      <c r="M648" s="6" t="s">
        <v>3899</v>
      </c>
      <c r="N648" s="6" t="s">
        <v>63</v>
      </c>
      <c r="O648" s="6" t="s">
        <v>275</v>
      </c>
      <c r="P648" s="6"/>
      <c r="Q648" s="6" t="str">
        <f>VLOOKUP(G648,seznampsc!A:B,2,FALSE)</f>
        <v>Strakonice</v>
      </c>
      <c r="R648" s="6" t="str">
        <f>VLOOKUP(G648,seznampsc!A:C,3,FALSE)</f>
        <v>Jihočeský kraj</v>
      </c>
      <c r="U648" s="3">
        <v>0</v>
      </c>
      <c r="AA648" s="3">
        <v>5</v>
      </c>
      <c r="AB648" s="3" t="s">
        <v>3935</v>
      </c>
      <c r="AC648" s="3" t="s">
        <v>3936</v>
      </c>
      <c r="AU648" s="3" t="s">
        <v>3937</v>
      </c>
      <c r="AV648" s="3">
        <v>30000</v>
      </c>
    </row>
    <row r="649" spans="1:48" ht="24" customHeight="1" x14ac:dyDescent="0.3">
      <c r="A649" s="6" t="s">
        <v>53</v>
      </c>
      <c r="B649" s="6" t="s">
        <v>65</v>
      </c>
      <c r="C649" s="6" t="s">
        <v>3929</v>
      </c>
      <c r="D649" s="16">
        <v>5741572</v>
      </c>
      <c r="E649" s="6" t="s">
        <v>3930</v>
      </c>
      <c r="F649" s="6" t="s">
        <v>3947</v>
      </c>
      <c r="G649" s="6">
        <v>26101</v>
      </c>
      <c r="H649" s="6" t="s">
        <v>760</v>
      </c>
      <c r="I649" s="6" t="s">
        <v>3932</v>
      </c>
      <c r="J649" s="7" t="s">
        <v>3933</v>
      </c>
      <c r="K649" s="6">
        <v>608190919</v>
      </c>
      <c r="L649" s="6" t="s">
        <v>3934</v>
      </c>
      <c r="M649" s="6" t="s">
        <v>3899</v>
      </c>
      <c r="N649" s="6" t="s">
        <v>63</v>
      </c>
      <c r="O649" s="6" t="s">
        <v>275</v>
      </c>
      <c r="P649" s="6"/>
      <c r="Q649" s="6" t="str">
        <f>VLOOKUP(G649,seznampsc!A:B,2,FALSE)</f>
        <v>Příbram</v>
      </c>
      <c r="R649" s="6" t="str">
        <f>VLOOKUP(G649,seznampsc!A:C,3,FALSE)</f>
        <v>Středočeský kraj</v>
      </c>
      <c r="U649" s="3">
        <v>0</v>
      </c>
      <c r="AA649" s="3">
        <v>5</v>
      </c>
      <c r="AB649" s="3" t="s">
        <v>3935</v>
      </c>
      <c r="AC649" s="3" t="s">
        <v>3936</v>
      </c>
      <c r="AU649" s="3" t="s">
        <v>3937</v>
      </c>
      <c r="AV649" s="3">
        <v>30000</v>
      </c>
    </row>
    <row r="650" spans="1:48" ht="24" customHeight="1" x14ac:dyDescent="0.3">
      <c r="A650" s="6" t="s">
        <v>53</v>
      </c>
      <c r="B650" s="6" t="s">
        <v>65</v>
      </c>
      <c r="C650" s="6" t="s">
        <v>3929</v>
      </c>
      <c r="D650" s="16">
        <v>5741572</v>
      </c>
      <c r="E650" s="6" t="s">
        <v>3930</v>
      </c>
      <c r="F650" s="6" t="s">
        <v>3948</v>
      </c>
      <c r="G650" s="6">
        <v>35002</v>
      </c>
      <c r="H650" s="6" t="s">
        <v>3426</v>
      </c>
      <c r="I650" s="6" t="s">
        <v>3932</v>
      </c>
      <c r="J650" s="7" t="s">
        <v>3933</v>
      </c>
      <c r="K650" s="6">
        <v>608190919</v>
      </c>
      <c r="L650" s="6" t="s">
        <v>3934</v>
      </c>
      <c r="M650" s="6" t="s">
        <v>3899</v>
      </c>
      <c r="N650" s="6" t="s">
        <v>63</v>
      </c>
      <c r="O650" s="6" t="s">
        <v>275</v>
      </c>
      <c r="P650" s="6"/>
      <c r="Q650" s="6" t="str">
        <f>VLOOKUP(G650,seznampsc!A:B,2,FALSE)</f>
        <v>Cheb</v>
      </c>
      <c r="R650" s="6" t="str">
        <f>VLOOKUP(G650,seznampsc!A:C,3,FALSE)</f>
        <v>Karlovarský kraj</v>
      </c>
      <c r="U650" s="3">
        <v>0</v>
      </c>
      <c r="AA650" s="3">
        <v>5</v>
      </c>
      <c r="AB650" s="3" t="s">
        <v>3935</v>
      </c>
      <c r="AC650" s="3" t="s">
        <v>3936</v>
      </c>
      <c r="AU650" s="3" t="s">
        <v>3937</v>
      </c>
      <c r="AV650" s="3">
        <v>30000</v>
      </c>
    </row>
    <row r="651" spans="1:48" ht="24" customHeight="1" x14ac:dyDescent="0.3">
      <c r="A651" s="6" t="s">
        <v>53</v>
      </c>
      <c r="B651" s="6" t="s">
        <v>65</v>
      </c>
      <c r="C651" s="6" t="s">
        <v>3929</v>
      </c>
      <c r="D651" s="16">
        <v>5741572</v>
      </c>
      <c r="E651" s="6" t="s">
        <v>3930</v>
      </c>
      <c r="F651" s="6" t="s">
        <v>3949</v>
      </c>
      <c r="G651" s="6">
        <v>32300</v>
      </c>
      <c r="H651" s="6" t="s">
        <v>385</v>
      </c>
      <c r="I651" s="6" t="s">
        <v>3932</v>
      </c>
      <c r="J651" s="7" t="s">
        <v>3933</v>
      </c>
      <c r="K651" s="6">
        <v>608190919</v>
      </c>
      <c r="L651" s="6" t="s">
        <v>3934</v>
      </c>
      <c r="M651" s="6" t="s">
        <v>3899</v>
      </c>
      <c r="N651" s="6" t="s">
        <v>63</v>
      </c>
      <c r="O651" s="6" t="s">
        <v>275</v>
      </c>
      <c r="P651" s="6"/>
      <c r="Q651" s="6" t="str">
        <f>VLOOKUP(G651,seznampsc!A:B,2,FALSE)</f>
        <v>Plzeň-město</v>
      </c>
      <c r="R651" s="6" t="str">
        <f>VLOOKUP(G651,seznampsc!A:C,3,FALSE)</f>
        <v>Plzeňský kraj</v>
      </c>
      <c r="U651" s="3">
        <v>0</v>
      </c>
      <c r="AA651" s="3">
        <v>5</v>
      </c>
      <c r="AB651" s="3" t="s">
        <v>3935</v>
      </c>
      <c r="AC651" s="3" t="s">
        <v>3936</v>
      </c>
      <c r="AU651" s="3" t="s">
        <v>3950</v>
      </c>
      <c r="AV651" s="3">
        <v>30000</v>
      </c>
    </row>
    <row r="652" spans="1:48" ht="24" customHeight="1" x14ac:dyDescent="0.3">
      <c r="A652" s="6" t="s">
        <v>53</v>
      </c>
      <c r="B652" s="6" t="s">
        <v>65</v>
      </c>
      <c r="C652" s="6" t="s">
        <v>3929</v>
      </c>
      <c r="D652" s="16">
        <v>5741572</v>
      </c>
      <c r="E652" s="6" t="s">
        <v>3930</v>
      </c>
      <c r="F652" s="6" t="s">
        <v>3951</v>
      </c>
      <c r="G652" s="6">
        <v>33026</v>
      </c>
      <c r="H652" s="6" t="s">
        <v>3952</v>
      </c>
      <c r="I652" s="6" t="s">
        <v>3932</v>
      </c>
      <c r="J652" s="7" t="s">
        <v>3933</v>
      </c>
      <c r="K652" s="6">
        <v>608190919</v>
      </c>
      <c r="L652" s="6" t="s">
        <v>3934</v>
      </c>
      <c r="M652" s="6" t="s">
        <v>3899</v>
      </c>
      <c r="N652" s="6" t="s">
        <v>63</v>
      </c>
      <c r="O652" s="6" t="s">
        <v>275</v>
      </c>
      <c r="P652" s="6"/>
      <c r="Q652" s="6" t="str">
        <f>VLOOKUP(G652,seznampsc!A:B,2,FALSE)</f>
        <v>Plzeň-sever</v>
      </c>
      <c r="R652" s="6" t="str">
        <f>VLOOKUP(G652,seznampsc!A:C,3,FALSE)</f>
        <v>Plzeňský kraj</v>
      </c>
      <c r="U652" s="3">
        <v>0</v>
      </c>
      <c r="AA652" s="3">
        <v>5</v>
      </c>
      <c r="AB652" s="3" t="s">
        <v>3935</v>
      </c>
      <c r="AC652" s="3" t="s">
        <v>3936</v>
      </c>
      <c r="AU652" s="3" t="s">
        <v>3950</v>
      </c>
      <c r="AV652" s="3">
        <v>30000</v>
      </c>
    </row>
    <row r="653" spans="1:48" ht="24" customHeight="1" x14ac:dyDescent="0.3">
      <c r="A653" s="6" t="s">
        <v>53</v>
      </c>
      <c r="B653" s="6" t="s">
        <v>65</v>
      </c>
      <c r="C653" s="6" t="s">
        <v>3929</v>
      </c>
      <c r="D653" s="16">
        <v>5741572</v>
      </c>
      <c r="E653" s="6" t="s">
        <v>3930</v>
      </c>
      <c r="F653" s="6" t="s">
        <v>3953</v>
      </c>
      <c r="G653" s="6">
        <v>34901</v>
      </c>
      <c r="H653" s="6" t="s">
        <v>3954</v>
      </c>
      <c r="I653" s="6" t="s">
        <v>3932</v>
      </c>
      <c r="J653" s="7" t="s">
        <v>3933</v>
      </c>
      <c r="K653" s="6">
        <v>608190919</v>
      </c>
      <c r="L653" s="6" t="s">
        <v>3934</v>
      </c>
      <c r="M653" s="6" t="s">
        <v>3899</v>
      </c>
      <c r="N653" s="6" t="s">
        <v>63</v>
      </c>
      <c r="O653" s="6" t="s">
        <v>275</v>
      </c>
      <c r="P653" s="6"/>
      <c r="Q653" s="6" t="str">
        <f>VLOOKUP(G653,seznampsc!A:B,2,FALSE)</f>
        <v>Tachov</v>
      </c>
      <c r="R653" s="6" t="str">
        <f>VLOOKUP(G653,seznampsc!A:C,3,FALSE)</f>
        <v>Plzeňský kraj</v>
      </c>
      <c r="U653" s="3">
        <v>0</v>
      </c>
      <c r="AA653" s="3">
        <v>5</v>
      </c>
      <c r="AB653" s="3" t="s">
        <v>3935</v>
      </c>
      <c r="AC653" s="3" t="s">
        <v>3936</v>
      </c>
      <c r="AU653" s="3" t="s">
        <v>3950</v>
      </c>
      <c r="AV653" s="3">
        <v>30000</v>
      </c>
    </row>
    <row r="654" spans="1:48" ht="24" customHeight="1" x14ac:dyDescent="0.3">
      <c r="A654" s="6" t="s">
        <v>53</v>
      </c>
      <c r="B654" s="6" t="s">
        <v>65</v>
      </c>
      <c r="C654" s="6" t="s">
        <v>3955</v>
      </c>
      <c r="D654" s="16">
        <v>63469588</v>
      </c>
      <c r="E654" s="6" t="s">
        <v>3956</v>
      </c>
      <c r="F654" s="6" t="s">
        <v>3957</v>
      </c>
      <c r="G654" s="6">
        <v>61900</v>
      </c>
      <c r="H654" s="6" t="s">
        <v>272</v>
      </c>
      <c r="I654" s="6"/>
      <c r="J654" s="6" t="s">
        <v>3958</v>
      </c>
      <c r="K654" s="6">
        <v>543257540.72550702</v>
      </c>
      <c r="L654" s="6" t="s">
        <v>1676</v>
      </c>
      <c r="M654" s="6" t="s">
        <v>3899</v>
      </c>
      <c r="N654" s="6" t="s">
        <v>63</v>
      </c>
      <c r="O654" s="6" t="s">
        <v>455</v>
      </c>
      <c r="P654" s="6"/>
      <c r="Q654" s="6" t="str">
        <f>VLOOKUP(G654,seznampsc!A:B,2,FALSE)</f>
        <v>Brno-město</v>
      </c>
      <c r="R654" s="6" t="str">
        <f>VLOOKUP(G654,seznampsc!A:C,3,FALSE)</f>
        <v>Jihomoravský kraj</v>
      </c>
      <c r="U654" s="3">
        <v>0</v>
      </c>
      <c r="AA654" s="3">
        <v>5</v>
      </c>
      <c r="AB654" s="3" t="s">
        <v>3935</v>
      </c>
      <c r="AC654" s="3" t="s">
        <v>3935</v>
      </c>
      <c r="AV654" s="3">
        <v>30000</v>
      </c>
    </row>
    <row r="655" spans="1:48" ht="24" customHeight="1" x14ac:dyDescent="0.3">
      <c r="A655" s="6" t="s">
        <v>53</v>
      </c>
      <c r="B655" s="6" t="s">
        <v>65</v>
      </c>
      <c r="C655" s="6" t="s">
        <v>3955</v>
      </c>
      <c r="D655" s="16">
        <v>63469588</v>
      </c>
      <c r="E655" s="6" t="s">
        <v>3956</v>
      </c>
      <c r="F655" s="6" t="s">
        <v>3959</v>
      </c>
      <c r="G655" s="6">
        <v>50002</v>
      </c>
      <c r="H655" s="6" t="s">
        <v>330</v>
      </c>
      <c r="I655" s="6"/>
      <c r="J655" s="6" t="s">
        <v>3960</v>
      </c>
      <c r="K655" s="6">
        <v>495218189.72481602</v>
      </c>
      <c r="L655" s="6" t="s">
        <v>1676</v>
      </c>
      <c r="M655" s="6" t="s">
        <v>3899</v>
      </c>
      <c r="N655" s="6" t="s">
        <v>63</v>
      </c>
      <c r="O655" s="6" t="s">
        <v>241</v>
      </c>
      <c r="P655" s="6"/>
      <c r="Q655" s="6" t="str">
        <f>VLOOKUP(G655,seznampsc!A:B,2,FALSE)</f>
        <v>Hradec Králové</v>
      </c>
      <c r="R655" s="6" t="str">
        <f>VLOOKUP(G655,seznampsc!A:C,3,FALSE)</f>
        <v>Královéhradecký kraj</v>
      </c>
      <c r="U655" s="3">
        <v>0</v>
      </c>
      <c r="AA655" s="3">
        <v>5</v>
      </c>
      <c r="AB655" s="3" t="s">
        <v>3935</v>
      </c>
      <c r="AC655" s="3" t="s">
        <v>3935</v>
      </c>
      <c r="AV655" s="3">
        <v>30000</v>
      </c>
    </row>
    <row r="656" spans="1:48" ht="24" customHeight="1" x14ac:dyDescent="0.3">
      <c r="A656" s="6" t="s">
        <v>53</v>
      </c>
      <c r="B656" s="6" t="s">
        <v>65</v>
      </c>
      <c r="C656" s="6" t="s">
        <v>3955</v>
      </c>
      <c r="D656" s="16">
        <v>63469588</v>
      </c>
      <c r="E656" s="6" t="s">
        <v>3956</v>
      </c>
      <c r="F656" s="6" t="s">
        <v>3961</v>
      </c>
      <c r="G656" s="6">
        <v>77200</v>
      </c>
      <c r="H656" s="6" t="s">
        <v>265</v>
      </c>
      <c r="I656" s="6"/>
      <c r="J656" s="6" t="s">
        <v>3962</v>
      </c>
      <c r="K656" s="6">
        <v>585313040.60253096</v>
      </c>
      <c r="L656" s="6" t="s">
        <v>1676</v>
      </c>
      <c r="M656" s="6" t="s">
        <v>3899</v>
      </c>
      <c r="N656" s="6" t="s">
        <v>63</v>
      </c>
      <c r="O656" s="6" t="s">
        <v>241</v>
      </c>
      <c r="P656" s="6"/>
      <c r="Q656" s="6" t="str">
        <f>VLOOKUP(G656,seznampsc!A:B,2,FALSE)</f>
        <v>Olomouc</v>
      </c>
      <c r="R656" s="6" t="str">
        <f>VLOOKUP(G656,seznampsc!A:C,3,FALSE)</f>
        <v>Olomoucký kraj</v>
      </c>
      <c r="U656" s="3">
        <v>0</v>
      </c>
      <c r="AA656" s="3">
        <v>5</v>
      </c>
      <c r="AB656" s="3" t="s">
        <v>3935</v>
      </c>
      <c r="AC656" s="3" t="s">
        <v>3935</v>
      </c>
      <c r="AV656" s="3">
        <v>30000</v>
      </c>
    </row>
    <row r="657" spans="1:48" ht="24" customHeight="1" x14ac:dyDescent="0.3">
      <c r="A657" s="6" t="s">
        <v>53</v>
      </c>
      <c r="B657" s="6" t="s">
        <v>65</v>
      </c>
      <c r="C657" s="6" t="s">
        <v>3955</v>
      </c>
      <c r="D657" s="16">
        <v>63469588</v>
      </c>
      <c r="E657" s="6" t="s">
        <v>3956</v>
      </c>
      <c r="F657" s="6" t="s">
        <v>3963</v>
      </c>
      <c r="G657" s="6">
        <v>53009</v>
      </c>
      <c r="H657" s="6" t="s">
        <v>2071</v>
      </c>
      <c r="I657" s="6"/>
      <c r="J657" s="6" t="s">
        <v>3964</v>
      </c>
      <c r="K657" s="6">
        <v>466513227.60631102</v>
      </c>
      <c r="L657" s="6" t="s">
        <v>1676</v>
      </c>
      <c r="M657" s="6" t="s">
        <v>3899</v>
      </c>
      <c r="N657" s="6" t="s">
        <v>63</v>
      </c>
      <c r="O657" s="6" t="s">
        <v>241</v>
      </c>
      <c r="P657" s="6"/>
      <c r="Q657" s="6" t="str">
        <f>VLOOKUP(G657,seznampsc!A:B,2,FALSE)</f>
        <v>Pardubice</v>
      </c>
      <c r="R657" s="6" t="str">
        <f>VLOOKUP(G657,seznampsc!A:C,3,FALSE)</f>
        <v>Pardubický kraj</v>
      </c>
      <c r="U657" s="3">
        <v>0</v>
      </c>
      <c r="AA657" s="3">
        <v>5</v>
      </c>
      <c r="AB657" s="3" t="s">
        <v>3935</v>
      </c>
      <c r="AC657" s="3" t="s">
        <v>3935</v>
      </c>
      <c r="AV657" s="3">
        <v>30000</v>
      </c>
    </row>
    <row r="658" spans="1:48" ht="24" customHeight="1" x14ac:dyDescent="0.3">
      <c r="A658" s="6" t="s">
        <v>53</v>
      </c>
      <c r="B658" s="6" t="s">
        <v>65</v>
      </c>
      <c r="C658" s="6" t="s">
        <v>3955</v>
      </c>
      <c r="D658" s="16">
        <v>63469588</v>
      </c>
      <c r="E658" s="6" t="s">
        <v>3956</v>
      </c>
      <c r="F658" s="6" t="s">
        <v>3965</v>
      </c>
      <c r="G658" s="6">
        <v>78701</v>
      </c>
      <c r="H658" s="6" t="s">
        <v>261</v>
      </c>
      <c r="I658" s="6"/>
      <c r="J658" s="6" t="s">
        <v>3966</v>
      </c>
      <c r="K658" s="6">
        <v>583219055.72421896</v>
      </c>
      <c r="L658" s="6" t="s">
        <v>1676</v>
      </c>
      <c r="M658" s="6" t="s">
        <v>3899</v>
      </c>
      <c r="N658" s="6" t="s">
        <v>63</v>
      </c>
      <c r="O658" s="6" t="s">
        <v>241</v>
      </c>
      <c r="P658" s="6"/>
      <c r="Q658" s="6" t="str">
        <f>VLOOKUP(G658,seznampsc!A:B,2,FALSE)</f>
        <v>Šumperk</v>
      </c>
      <c r="R658" s="6" t="str">
        <f>VLOOKUP(G658,seznampsc!A:C,3,FALSE)</f>
        <v>Olomoucký kraj</v>
      </c>
      <c r="U658" s="3">
        <v>0</v>
      </c>
      <c r="AA658" s="3">
        <v>5</v>
      </c>
      <c r="AB658" s="3" t="s">
        <v>3935</v>
      </c>
      <c r="AC658" s="3" t="s">
        <v>3935</v>
      </c>
      <c r="AV658" s="3">
        <v>30000</v>
      </c>
    </row>
    <row r="659" spans="1:48" ht="24" customHeight="1" x14ac:dyDescent="0.3">
      <c r="A659" s="6" t="s">
        <v>53</v>
      </c>
      <c r="B659" s="6" t="s">
        <v>65</v>
      </c>
      <c r="C659" s="6" t="s">
        <v>3955</v>
      </c>
      <c r="D659" s="16">
        <v>63469588</v>
      </c>
      <c r="E659" s="6" t="s">
        <v>3956</v>
      </c>
      <c r="F659" s="6" t="s">
        <v>3967</v>
      </c>
      <c r="G659" s="6">
        <v>76302</v>
      </c>
      <c r="H659" s="6" t="s">
        <v>230</v>
      </c>
      <c r="I659" s="6"/>
      <c r="J659" s="6" t="s">
        <v>3968</v>
      </c>
      <c r="K659" s="6">
        <v>577102696.60249996</v>
      </c>
      <c r="L659" s="6" t="s">
        <v>1676</v>
      </c>
      <c r="M659" s="6" t="s">
        <v>3899</v>
      </c>
      <c r="N659" s="6" t="s">
        <v>63</v>
      </c>
      <c r="O659" s="6" t="s">
        <v>241</v>
      </c>
      <c r="P659" s="6"/>
      <c r="Q659" s="6" t="str">
        <f>VLOOKUP(G659,seznampsc!A:B,2,FALSE)</f>
        <v>Zlín</v>
      </c>
      <c r="R659" s="6" t="str">
        <f>VLOOKUP(G659,seznampsc!A:C,3,FALSE)</f>
        <v>Zlínský kraj</v>
      </c>
      <c r="U659" s="3">
        <v>0</v>
      </c>
      <c r="AA659" s="3">
        <v>5</v>
      </c>
      <c r="AB659" s="3" t="s">
        <v>3935</v>
      </c>
      <c r="AC659" s="3" t="s">
        <v>3935</v>
      </c>
      <c r="AV659" s="3">
        <v>30000</v>
      </c>
    </row>
    <row r="660" spans="1:48" ht="24" customHeight="1" x14ac:dyDescent="0.3">
      <c r="A660" s="6" t="s">
        <v>53</v>
      </c>
      <c r="B660" s="6" t="s">
        <v>65</v>
      </c>
      <c r="C660" s="6" t="s">
        <v>3955</v>
      </c>
      <c r="D660" s="16">
        <v>63469588</v>
      </c>
      <c r="E660" s="6" t="s">
        <v>3956</v>
      </c>
      <c r="F660" s="6" t="s">
        <v>3969</v>
      </c>
      <c r="G660" s="6">
        <v>66902</v>
      </c>
      <c r="H660" s="6" t="s">
        <v>291</v>
      </c>
      <c r="I660" s="6"/>
      <c r="J660" s="6" t="s">
        <v>3970</v>
      </c>
      <c r="K660" s="6">
        <v>515224448.60315299</v>
      </c>
      <c r="L660" s="6" t="s">
        <v>1676</v>
      </c>
      <c r="M660" s="6" t="s">
        <v>3899</v>
      </c>
      <c r="N660" s="6" t="s">
        <v>63</v>
      </c>
      <c r="O660" s="6" t="s">
        <v>241</v>
      </c>
      <c r="P660" s="6"/>
      <c r="Q660" s="6" t="str">
        <f>VLOOKUP(G660,seznampsc!A:B,2,FALSE)</f>
        <v>Znojmo</v>
      </c>
      <c r="R660" s="6" t="str">
        <f>VLOOKUP(G660,seznampsc!A:C,3,FALSE)</f>
        <v>Jihomoravský kraj</v>
      </c>
      <c r="U660" s="3">
        <v>0</v>
      </c>
      <c r="AA660" s="3">
        <v>5</v>
      </c>
      <c r="AB660" s="3" t="s">
        <v>3935</v>
      </c>
      <c r="AC660" s="3" t="s">
        <v>3935</v>
      </c>
      <c r="AV660" s="3">
        <v>30000</v>
      </c>
    </row>
    <row r="661" spans="1:48" ht="24" customHeight="1" x14ac:dyDescent="0.3">
      <c r="A661" s="6" t="s">
        <v>53</v>
      </c>
      <c r="B661" s="6" t="s">
        <v>65</v>
      </c>
      <c r="C661" s="6" t="s">
        <v>3971</v>
      </c>
      <c r="D661" s="16">
        <v>28713397</v>
      </c>
      <c r="E661" s="6" t="s">
        <v>3972</v>
      </c>
      <c r="F661" s="6" t="s">
        <v>3973</v>
      </c>
      <c r="G661" s="6">
        <v>46001</v>
      </c>
      <c r="H661" s="6" t="s">
        <v>1220</v>
      </c>
      <c r="I661" s="6" t="s">
        <v>3974</v>
      </c>
      <c r="J661" s="6" t="s">
        <v>3975</v>
      </c>
      <c r="K661" s="6">
        <v>606151151.482319</v>
      </c>
      <c r="L661" s="6" t="s">
        <v>1676</v>
      </c>
      <c r="M661" s="6" t="s">
        <v>3899</v>
      </c>
      <c r="N661" s="6" t="s">
        <v>63</v>
      </c>
      <c r="O661" s="6" t="s">
        <v>109</v>
      </c>
      <c r="P661" s="6"/>
      <c r="Q661" s="6" t="str">
        <f>VLOOKUP(G661,seznampsc!A:B,2,FALSE)</f>
        <v>Liberec</v>
      </c>
      <c r="R661" s="6" t="str">
        <f>VLOOKUP(G661,seznampsc!A:C,3,FALSE)</f>
        <v>Liberecký kraj</v>
      </c>
      <c r="U661" s="3">
        <v>0</v>
      </c>
      <c r="V661" s="3">
        <v>0</v>
      </c>
      <c r="Z661" s="3">
        <v>1150</v>
      </c>
      <c r="AB661" s="3" t="s">
        <v>3935</v>
      </c>
      <c r="AC661" s="3" t="s">
        <v>3935</v>
      </c>
      <c r="AV661" s="3">
        <v>50000</v>
      </c>
    </row>
    <row r="662" spans="1:48" ht="24" customHeight="1" x14ac:dyDescent="0.3">
      <c r="A662" s="6" t="s">
        <v>53</v>
      </c>
      <c r="B662" s="6" t="s">
        <v>65</v>
      </c>
      <c r="C662" s="6" t="s">
        <v>3971</v>
      </c>
      <c r="D662" s="16">
        <v>28713397</v>
      </c>
      <c r="E662" s="6" t="s">
        <v>3972</v>
      </c>
      <c r="F662" s="6" t="s">
        <v>3976</v>
      </c>
      <c r="G662" s="6">
        <v>40007</v>
      </c>
      <c r="H662" s="6" t="s">
        <v>430</v>
      </c>
      <c r="I662" s="6" t="s">
        <v>3977</v>
      </c>
      <c r="J662" s="6" t="s">
        <v>3978</v>
      </c>
      <c r="K662" s="6">
        <v>721151151.47520804</v>
      </c>
      <c r="L662" s="6" t="s">
        <v>1676</v>
      </c>
      <c r="M662" s="6" t="s">
        <v>3899</v>
      </c>
      <c r="N662" s="6" t="s">
        <v>63</v>
      </c>
      <c r="O662" s="6" t="s">
        <v>248</v>
      </c>
      <c r="P662" s="6"/>
      <c r="Q662" s="6" t="str">
        <f>VLOOKUP(G662,seznampsc!A:B,2,FALSE)</f>
        <v>Ústí nad Labem</v>
      </c>
      <c r="R662" s="6" t="str">
        <f>VLOOKUP(G662,seznampsc!A:C,3,FALSE)</f>
        <v>Ústecký kraj</v>
      </c>
      <c r="U662" s="3">
        <v>0</v>
      </c>
      <c r="V662" s="3">
        <v>0</v>
      </c>
      <c r="Z662" s="3">
        <v>1150</v>
      </c>
      <c r="AB662" s="3" t="s">
        <v>3935</v>
      </c>
      <c r="AC662" s="3" t="s">
        <v>3935</v>
      </c>
      <c r="AV662" s="3">
        <v>50000</v>
      </c>
    </row>
    <row r="663" spans="1:48" ht="24" customHeight="1" x14ac:dyDescent="0.3">
      <c r="A663" s="6" t="s">
        <v>53</v>
      </c>
      <c r="B663" s="6" t="s">
        <v>65</v>
      </c>
      <c r="C663" s="6" t="s">
        <v>3971</v>
      </c>
      <c r="D663" s="16">
        <v>28713397</v>
      </c>
      <c r="E663" s="6" t="s">
        <v>3972</v>
      </c>
      <c r="F663" s="6" t="s">
        <v>3979</v>
      </c>
      <c r="G663" s="6">
        <v>29306</v>
      </c>
      <c r="H663" s="6" t="s">
        <v>2732</v>
      </c>
      <c r="I663" s="6" t="s">
        <v>3980</v>
      </c>
      <c r="J663" s="6" t="s">
        <v>3981</v>
      </c>
      <c r="K663" s="6">
        <v>725151155.32630301</v>
      </c>
      <c r="L663" s="6" t="s">
        <v>1676</v>
      </c>
      <c r="M663" s="6" t="s">
        <v>3899</v>
      </c>
      <c r="N663" s="6" t="s">
        <v>63</v>
      </c>
      <c r="O663" s="6" t="s">
        <v>248</v>
      </c>
      <c r="P663" s="6"/>
      <c r="Q663" s="6" t="str">
        <f>VLOOKUP(G663,seznampsc!A:B,2,FALSE)</f>
        <v>Mladá Boleslav</v>
      </c>
      <c r="R663" s="6" t="str">
        <f>VLOOKUP(G663,seznampsc!A:C,3,FALSE)</f>
        <v>Středočeský kraj</v>
      </c>
      <c r="U663" s="3">
        <v>0</v>
      </c>
      <c r="V663" s="3">
        <v>0</v>
      </c>
      <c r="Z663" s="3">
        <v>1150</v>
      </c>
      <c r="AB663" s="3" t="s">
        <v>3935</v>
      </c>
      <c r="AC663" s="3" t="s">
        <v>3935</v>
      </c>
      <c r="AV663" s="3">
        <v>50000</v>
      </c>
    </row>
    <row r="664" spans="1:48" ht="24" customHeight="1" x14ac:dyDescent="0.3">
      <c r="A664" s="6" t="s">
        <v>53</v>
      </c>
      <c r="B664" s="6" t="s">
        <v>65</v>
      </c>
      <c r="C664" s="6" t="s">
        <v>3971</v>
      </c>
      <c r="D664" s="16">
        <v>28713397</v>
      </c>
      <c r="E664" s="6" t="s">
        <v>3972</v>
      </c>
      <c r="F664" s="6" t="s">
        <v>3982</v>
      </c>
      <c r="G664" s="6">
        <v>41201</v>
      </c>
      <c r="H664" s="6" t="s">
        <v>3983</v>
      </c>
      <c r="I664" s="6" t="s">
        <v>3984</v>
      </c>
      <c r="J664" s="6" t="s">
        <v>3985</v>
      </c>
      <c r="K664" s="6">
        <v>722151151.41653395</v>
      </c>
      <c r="L664" s="6" t="s">
        <v>1676</v>
      </c>
      <c r="M664" s="6" t="s">
        <v>3899</v>
      </c>
      <c r="N664" s="6" t="s">
        <v>63</v>
      </c>
      <c r="O664" s="6" t="s">
        <v>109</v>
      </c>
      <c r="P664" s="6"/>
      <c r="Q664" s="6" t="str">
        <f>VLOOKUP(G664,seznampsc!A:B,2,FALSE)</f>
        <v>Litoměřice</v>
      </c>
      <c r="R664" s="6" t="str">
        <f>VLOOKUP(G664,seznampsc!A:C,3,FALSE)</f>
        <v>Ústecký kraj</v>
      </c>
      <c r="U664" s="3">
        <v>0</v>
      </c>
      <c r="V664" s="3">
        <v>0</v>
      </c>
      <c r="Z664" s="3">
        <v>1150</v>
      </c>
      <c r="AB664" s="3" t="s">
        <v>3935</v>
      </c>
      <c r="AC664" s="3" t="s">
        <v>3935</v>
      </c>
      <c r="AV664" s="3">
        <v>50000</v>
      </c>
    </row>
    <row r="665" spans="1:48" ht="24" customHeight="1" x14ac:dyDescent="0.3">
      <c r="A665" s="6" t="s">
        <v>53</v>
      </c>
      <c r="B665" s="6" t="s">
        <v>65</v>
      </c>
      <c r="C665" s="6" t="s">
        <v>3971</v>
      </c>
      <c r="D665" s="16">
        <v>28713397</v>
      </c>
      <c r="E665" s="6" t="s">
        <v>3972</v>
      </c>
      <c r="F665" s="6" t="s">
        <v>3986</v>
      </c>
      <c r="G665" s="6">
        <v>15500</v>
      </c>
      <c r="H665" s="6" t="s">
        <v>80</v>
      </c>
      <c r="I665" s="6" t="s">
        <v>3987</v>
      </c>
      <c r="J665" s="6" t="s">
        <v>3988</v>
      </c>
      <c r="K665" s="6">
        <v>733151155.23552001</v>
      </c>
      <c r="L665" s="6" t="s">
        <v>1676</v>
      </c>
      <c r="M665" s="6" t="s">
        <v>3899</v>
      </c>
      <c r="N665" s="6" t="s">
        <v>63</v>
      </c>
      <c r="O665" s="6" t="s">
        <v>248</v>
      </c>
      <c r="P665" s="6"/>
      <c r="Q665" s="6" t="str">
        <f>VLOOKUP(G665,seznampsc!A:B,2,FALSE)</f>
        <v>Hlavní město Praha</v>
      </c>
      <c r="R665" s="6" t="str">
        <f>VLOOKUP(G665,seznampsc!A:C,3,FALSE)</f>
        <v>Hlavní město Praha</v>
      </c>
      <c r="U665" s="3">
        <v>0</v>
      </c>
      <c r="V665" s="3">
        <v>0</v>
      </c>
      <c r="Z665" s="3">
        <v>1150</v>
      </c>
      <c r="AB665" s="3" t="s">
        <v>3935</v>
      </c>
      <c r="AC665" s="3" t="s">
        <v>3935</v>
      </c>
      <c r="AV665" s="3">
        <v>50000</v>
      </c>
    </row>
    <row r="666" spans="1:48" ht="24" customHeight="1" x14ac:dyDescent="0.3">
      <c r="A666" s="6" t="s">
        <v>53</v>
      </c>
      <c r="B666" s="6" t="s">
        <v>65</v>
      </c>
      <c r="C666" s="6" t="s">
        <v>3971</v>
      </c>
      <c r="D666" s="16">
        <v>28713397</v>
      </c>
      <c r="E666" s="6" t="s">
        <v>3972</v>
      </c>
      <c r="F666" s="6" t="s">
        <v>3989</v>
      </c>
      <c r="G666" s="6">
        <v>36004</v>
      </c>
      <c r="H666" s="6" t="s">
        <v>1408</v>
      </c>
      <c r="I666" s="6" t="s">
        <v>3987</v>
      </c>
      <c r="J666" s="6" t="s">
        <v>3990</v>
      </c>
      <c r="K666" s="6">
        <v>727850700.35321999</v>
      </c>
      <c r="L666" s="6" t="s">
        <v>1676</v>
      </c>
      <c r="M666" s="6" t="s">
        <v>3899</v>
      </c>
      <c r="N666" s="6" t="s">
        <v>63</v>
      </c>
      <c r="O666" s="6" t="s">
        <v>248</v>
      </c>
      <c r="P666" s="6"/>
      <c r="Q666" s="6" t="str">
        <f>VLOOKUP(G666,seznampsc!A:B,2,FALSE)</f>
        <v>Karlovy Vary</v>
      </c>
      <c r="R666" s="6" t="str">
        <f>VLOOKUP(G666,seznampsc!A:C,3,FALSE)</f>
        <v>Karlovarský kraj</v>
      </c>
      <c r="U666" s="3">
        <v>0</v>
      </c>
      <c r="V666" s="3">
        <v>0</v>
      </c>
      <c r="Z666" s="3">
        <v>1150</v>
      </c>
      <c r="AB666" s="3" t="s">
        <v>3935</v>
      </c>
      <c r="AC666" s="3" t="s">
        <v>3935</v>
      </c>
      <c r="AV666" s="3">
        <v>50000</v>
      </c>
    </row>
    <row r="667" spans="1:48" ht="24" customHeight="1" x14ac:dyDescent="0.3">
      <c r="A667" s="6" t="s">
        <v>53</v>
      </c>
      <c r="B667" s="6" t="s">
        <v>65</v>
      </c>
      <c r="C667" s="6" t="s">
        <v>3971</v>
      </c>
      <c r="D667" s="16">
        <v>28713397</v>
      </c>
      <c r="E667" s="6" t="s">
        <v>3972</v>
      </c>
      <c r="F667" s="6" t="s">
        <v>3991</v>
      </c>
      <c r="G667" s="6">
        <v>46601</v>
      </c>
      <c r="H667" s="6" t="s">
        <v>492</v>
      </c>
      <c r="I667" s="6" t="s">
        <v>3992</v>
      </c>
      <c r="J667" s="6" t="s">
        <v>3993</v>
      </c>
      <c r="K667" s="6">
        <v>773151151.48331499</v>
      </c>
      <c r="L667" s="6" t="s">
        <v>1676</v>
      </c>
      <c r="M667" s="6" t="s">
        <v>3899</v>
      </c>
      <c r="N667" s="6" t="s">
        <v>63</v>
      </c>
      <c r="O667" s="6" t="s">
        <v>248</v>
      </c>
      <c r="P667" s="6"/>
      <c r="Q667" s="6" t="str">
        <f>VLOOKUP(G667,seznampsc!A:B,2,FALSE)</f>
        <v>Jablonec nad Nisou</v>
      </c>
      <c r="R667" s="6" t="str">
        <f>VLOOKUP(G667,seznampsc!A:C,3,FALSE)</f>
        <v>Liberecký kraj</v>
      </c>
      <c r="U667" s="3">
        <v>0</v>
      </c>
      <c r="V667" s="3">
        <v>0</v>
      </c>
      <c r="Z667" s="3">
        <v>1150</v>
      </c>
      <c r="AB667" s="3" t="s">
        <v>3935</v>
      </c>
      <c r="AC667" s="3" t="s">
        <v>3935</v>
      </c>
      <c r="AV667" s="3">
        <v>50000</v>
      </c>
    </row>
    <row r="668" spans="1:48" ht="24" customHeight="1" x14ac:dyDescent="0.3">
      <c r="A668" s="1" t="s">
        <v>381</v>
      </c>
      <c r="B668" s="1" t="s">
        <v>65</v>
      </c>
      <c r="C668" s="1" t="s">
        <v>3994</v>
      </c>
      <c r="D668" s="18" t="s">
        <v>3995</v>
      </c>
      <c r="E668" s="1" t="s">
        <v>3996</v>
      </c>
      <c r="F668" s="1" t="s">
        <v>3997</v>
      </c>
      <c r="G668" s="1">
        <v>46604</v>
      </c>
      <c r="H668" s="1" t="s">
        <v>743</v>
      </c>
      <c r="I668" s="1" t="s">
        <v>3998</v>
      </c>
      <c r="J668" s="1" t="s">
        <v>494</v>
      </c>
      <c r="K668" s="1">
        <v>603241333</v>
      </c>
      <c r="L668" s="1" t="s">
        <v>3911</v>
      </c>
      <c r="M668" s="1" t="s">
        <v>3912</v>
      </c>
      <c r="N668" s="1" t="s">
        <v>63</v>
      </c>
      <c r="O668" s="1" t="s">
        <v>455</v>
      </c>
      <c r="P668" s="1"/>
      <c r="Q668" s="1"/>
      <c r="R668" s="1"/>
      <c r="AU668" s="3" t="s">
        <v>3999</v>
      </c>
    </row>
    <row r="669" spans="1:48" ht="24" customHeight="1" x14ac:dyDescent="0.3">
      <c r="A669" s="1" t="s">
        <v>381</v>
      </c>
      <c r="B669" s="1" t="s">
        <v>65</v>
      </c>
      <c r="C669" s="1" t="s">
        <v>3994</v>
      </c>
      <c r="D669" s="18" t="s">
        <v>3995</v>
      </c>
      <c r="E669" s="1" t="s">
        <v>3996</v>
      </c>
      <c r="F669" s="1" t="s">
        <v>4000</v>
      </c>
      <c r="G669" s="1">
        <v>47001</v>
      </c>
      <c r="H669" s="1" t="s">
        <v>3909</v>
      </c>
      <c r="I669" s="1" t="s">
        <v>4001</v>
      </c>
      <c r="J669" s="1" t="s">
        <v>498</v>
      </c>
      <c r="K669" s="1">
        <v>487829817</v>
      </c>
      <c r="L669" s="1" t="s">
        <v>3911</v>
      </c>
      <c r="M669" s="1" t="s">
        <v>3912</v>
      </c>
      <c r="N669" s="1" t="s">
        <v>63</v>
      </c>
      <c r="O669" s="1" t="s">
        <v>455</v>
      </c>
      <c r="P669" s="1"/>
      <c r="Q669" s="1"/>
      <c r="R669" s="1"/>
      <c r="AU669" s="3" t="s">
        <v>3999</v>
      </c>
    </row>
    <row r="670" spans="1:48" ht="24" customHeight="1" x14ac:dyDescent="0.3">
      <c r="A670" s="6" t="s">
        <v>53</v>
      </c>
      <c r="B670" s="6" t="s">
        <v>65</v>
      </c>
      <c r="C670" s="6" t="s">
        <v>4002</v>
      </c>
      <c r="D670" s="16">
        <v>25466666</v>
      </c>
      <c r="E670" s="6" t="s">
        <v>4003</v>
      </c>
      <c r="F670" s="6" t="s">
        <v>4004</v>
      </c>
      <c r="G670" s="6">
        <v>43401</v>
      </c>
      <c r="H670" s="6" t="s">
        <v>503</v>
      </c>
      <c r="I670" s="6" t="s">
        <v>4005</v>
      </c>
      <c r="J670" s="6" t="s">
        <v>4006</v>
      </c>
      <c r="K670" s="6">
        <v>476705362.72312599</v>
      </c>
      <c r="L670" s="6" t="s">
        <v>1676</v>
      </c>
      <c r="M670" s="6" t="s">
        <v>3899</v>
      </c>
      <c r="N670" s="6" t="s">
        <v>63</v>
      </c>
      <c r="O670" s="6" t="s">
        <v>241</v>
      </c>
      <c r="P670" s="6"/>
      <c r="Q670" s="6" t="str">
        <f>VLOOKUP(G670,seznampsc!A:B,2,FALSE)</f>
        <v>Most</v>
      </c>
      <c r="R670" s="6" t="str">
        <f>VLOOKUP(G670,seznampsc!A:C,3,FALSE)</f>
        <v>Ústecký kraj</v>
      </c>
      <c r="U670" s="3">
        <v>0</v>
      </c>
      <c r="AA670" s="3">
        <v>5</v>
      </c>
      <c r="AB670" s="3" t="s">
        <v>3935</v>
      </c>
      <c r="AC670" s="3" t="s">
        <v>3935</v>
      </c>
      <c r="AV670" s="3">
        <v>30000</v>
      </c>
    </row>
    <row r="671" spans="1:48" ht="24" customHeight="1" x14ac:dyDescent="0.3">
      <c r="A671" s="6" t="s">
        <v>53</v>
      </c>
      <c r="B671" s="6" t="s">
        <v>65</v>
      </c>
      <c r="C671" s="6" t="s">
        <v>4002</v>
      </c>
      <c r="D671" s="16">
        <v>25466666</v>
      </c>
      <c r="E671" s="6" t="s">
        <v>4003</v>
      </c>
      <c r="F671" s="6" t="s">
        <v>4007</v>
      </c>
      <c r="G671" s="6">
        <v>41501</v>
      </c>
      <c r="H671" s="6" t="s">
        <v>2648</v>
      </c>
      <c r="I671" s="6" t="s">
        <v>4005</v>
      </c>
      <c r="J671" s="6" t="s">
        <v>4008</v>
      </c>
      <c r="K671" s="6">
        <v>417538661.60897601</v>
      </c>
      <c r="L671" s="6" t="s">
        <v>1676</v>
      </c>
      <c r="M671" s="6" t="s">
        <v>3899</v>
      </c>
      <c r="N671" s="6" t="s">
        <v>63</v>
      </c>
      <c r="O671" s="6" t="s">
        <v>241</v>
      </c>
      <c r="P671" s="6"/>
      <c r="Q671" s="6" t="str">
        <f>VLOOKUP(G671,seznampsc!A:B,2,FALSE)</f>
        <v>Teplice</v>
      </c>
      <c r="R671" s="6" t="str">
        <f>VLOOKUP(G671,seznampsc!A:C,3,FALSE)</f>
        <v>Ústecký kraj</v>
      </c>
      <c r="U671" s="3">
        <v>0</v>
      </c>
      <c r="AA671" s="3">
        <v>5</v>
      </c>
      <c r="AB671" s="3" t="s">
        <v>3935</v>
      </c>
      <c r="AC671" s="3" t="s">
        <v>3935</v>
      </c>
      <c r="AV671" s="3">
        <v>30000</v>
      </c>
    </row>
    <row r="672" spans="1:48" ht="24" customHeight="1" x14ac:dyDescent="0.3">
      <c r="A672" s="1" t="s">
        <v>381</v>
      </c>
      <c r="B672" s="1" t="s">
        <v>65</v>
      </c>
      <c r="C672" s="1" t="s">
        <v>4009</v>
      </c>
      <c r="D672" s="18" t="s">
        <v>4010</v>
      </c>
      <c r="E672" s="1" t="s">
        <v>4011</v>
      </c>
      <c r="F672" s="1" t="s">
        <v>4012</v>
      </c>
      <c r="G672" s="1">
        <v>59401</v>
      </c>
      <c r="H672" s="1" t="s">
        <v>4013</v>
      </c>
      <c r="I672" s="1" t="s">
        <v>4014</v>
      </c>
      <c r="J672" s="1" t="s">
        <v>4015</v>
      </c>
      <c r="K672" s="1">
        <v>730820990</v>
      </c>
      <c r="L672" s="1" t="s">
        <v>3911</v>
      </c>
      <c r="M672" s="1" t="s">
        <v>3912</v>
      </c>
      <c r="N672" s="1" t="s">
        <v>63</v>
      </c>
      <c r="O672" s="1" t="s">
        <v>588</v>
      </c>
      <c r="P672" s="1"/>
      <c r="Q672" s="1"/>
      <c r="R672" s="1"/>
      <c r="U672" s="3" t="s">
        <v>4016</v>
      </c>
      <c r="AB672" s="3">
        <v>500</v>
      </c>
      <c r="AU672" s="1" t="s">
        <v>4017</v>
      </c>
      <c r="AV672" s="3">
        <v>50000</v>
      </c>
    </row>
    <row r="673" spans="1:48" ht="24" customHeight="1" x14ac:dyDescent="0.3">
      <c r="A673" s="6" t="s">
        <v>53</v>
      </c>
      <c r="B673" s="6" t="s">
        <v>65</v>
      </c>
      <c r="C673" s="6" t="s">
        <v>4009</v>
      </c>
      <c r="D673" s="16">
        <v>46683950</v>
      </c>
      <c r="E673" s="6" t="s">
        <v>4018</v>
      </c>
      <c r="F673" s="6" t="s">
        <v>4019</v>
      </c>
      <c r="G673" s="6">
        <v>37004</v>
      </c>
      <c r="H673" s="6" t="s">
        <v>460</v>
      </c>
      <c r="I673" s="6" t="s">
        <v>4020</v>
      </c>
      <c r="J673" s="6" t="s">
        <v>4021</v>
      </c>
      <c r="K673" s="6">
        <v>385310228.60357797</v>
      </c>
      <c r="L673" s="6" t="s">
        <v>1676</v>
      </c>
      <c r="M673" s="6" t="s">
        <v>3899</v>
      </c>
      <c r="N673" s="6" t="s">
        <v>63</v>
      </c>
      <c r="O673" s="6" t="s">
        <v>310</v>
      </c>
      <c r="P673" s="6"/>
      <c r="Q673" s="6" t="str">
        <f>VLOOKUP(G673,seznampsc!A:B,2,FALSE)</f>
        <v>České Budějovice</v>
      </c>
      <c r="R673" s="6" t="str">
        <f>VLOOKUP(G673,seznampsc!A:C,3,FALSE)</f>
        <v>Jihočeský kraj</v>
      </c>
      <c r="U673" s="3">
        <v>0</v>
      </c>
      <c r="AA673" s="3">
        <v>5</v>
      </c>
      <c r="AB673" s="3">
        <v>500</v>
      </c>
      <c r="AV673" s="3">
        <v>50000</v>
      </c>
    </row>
    <row r="674" spans="1:48" ht="24" customHeight="1" x14ac:dyDescent="0.3">
      <c r="A674" s="6" t="s">
        <v>53</v>
      </c>
      <c r="B674" s="6" t="s">
        <v>65</v>
      </c>
      <c r="C674" s="6" t="s">
        <v>4009</v>
      </c>
      <c r="D674" s="16">
        <v>46683950</v>
      </c>
      <c r="E674" s="6" t="s">
        <v>4018</v>
      </c>
      <c r="F674" s="6" t="s">
        <v>4022</v>
      </c>
      <c r="G674" s="6">
        <v>39002</v>
      </c>
      <c r="H674" s="6" t="s">
        <v>106</v>
      </c>
      <c r="I674" s="6" t="s">
        <v>4023</v>
      </c>
      <c r="J674" s="6" t="s">
        <v>4024</v>
      </c>
      <c r="K674" s="6">
        <v>381257130.60246903</v>
      </c>
      <c r="L674" s="6" t="s">
        <v>1676</v>
      </c>
      <c r="M674" s="6" t="s">
        <v>3899</v>
      </c>
      <c r="N674" s="6" t="s">
        <v>63</v>
      </c>
      <c r="O674" s="6" t="s">
        <v>588</v>
      </c>
      <c r="P674" s="6"/>
      <c r="Q674" s="6" t="str">
        <f>VLOOKUP(G674,seznampsc!A:B,2,FALSE)</f>
        <v>Tábor</v>
      </c>
      <c r="R674" s="6" t="str">
        <f>VLOOKUP(G674,seznampsc!A:C,3,FALSE)</f>
        <v>Jihočeský kraj</v>
      </c>
      <c r="U674" s="3">
        <v>0</v>
      </c>
      <c r="AA674" s="3">
        <v>5</v>
      </c>
      <c r="AB674" s="3">
        <v>500</v>
      </c>
      <c r="AV674" s="3">
        <v>50000</v>
      </c>
    </row>
    <row r="675" spans="1:48" ht="24" customHeight="1" x14ac:dyDescent="0.3">
      <c r="A675" s="6" t="s">
        <v>53</v>
      </c>
      <c r="B675" s="6" t="s">
        <v>65</v>
      </c>
      <c r="C675" s="6" t="s">
        <v>4009</v>
      </c>
      <c r="D675" s="16">
        <v>46683950</v>
      </c>
      <c r="E675" s="6" t="s">
        <v>4018</v>
      </c>
      <c r="F675" s="6" t="s">
        <v>4025</v>
      </c>
      <c r="G675" s="6">
        <v>39701</v>
      </c>
      <c r="H675" s="6" t="s">
        <v>1180</v>
      </c>
      <c r="I675" s="6" t="s">
        <v>4026</v>
      </c>
      <c r="J675" s="6" t="s">
        <v>4027</v>
      </c>
      <c r="K675" s="6">
        <v>382272904.73768502</v>
      </c>
      <c r="L675" s="6" t="s">
        <v>1676</v>
      </c>
      <c r="M675" s="6" t="s">
        <v>3899</v>
      </c>
      <c r="N675" s="6" t="s">
        <v>63</v>
      </c>
      <c r="O675" s="6" t="s">
        <v>588</v>
      </c>
      <c r="P675" s="6"/>
      <c r="Q675" s="6" t="str">
        <f>VLOOKUP(G675,seznampsc!A:B,2,FALSE)</f>
        <v>Písek</v>
      </c>
      <c r="R675" s="6" t="str">
        <f>VLOOKUP(G675,seznampsc!A:C,3,FALSE)</f>
        <v>Jihočeský kraj</v>
      </c>
      <c r="U675" s="3">
        <v>0</v>
      </c>
      <c r="AA675" s="3">
        <v>5</v>
      </c>
      <c r="AB675" s="3">
        <v>500</v>
      </c>
      <c r="AV675" s="3">
        <v>50000</v>
      </c>
    </row>
    <row r="676" spans="1:48" ht="24" customHeight="1" x14ac:dyDescent="0.3">
      <c r="A676" s="6" t="s">
        <v>53</v>
      </c>
      <c r="B676" s="6" t="s">
        <v>65</v>
      </c>
      <c r="C676" s="6" t="s">
        <v>4009</v>
      </c>
      <c r="D676" s="16">
        <v>46683950</v>
      </c>
      <c r="E676" s="6" t="s">
        <v>4018</v>
      </c>
      <c r="F676" s="6" t="s">
        <v>4028</v>
      </c>
      <c r="G676" s="6">
        <v>37701</v>
      </c>
      <c r="H676" s="6" t="s">
        <v>2125</v>
      </c>
      <c r="I676" s="6" t="s">
        <v>4029</v>
      </c>
      <c r="J676" s="6" t="s">
        <v>4030</v>
      </c>
      <c r="K676" s="6">
        <v>384389490.73930198</v>
      </c>
      <c r="L676" s="6" t="s">
        <v>1676</v>
      </c>
      <c r="M676" s="6" t="s">
        <v>3899</v>
      </c>
      <c r="N676" s="6" t="s">
        <v>63</v>
      </c>
      <c r="O676" s="6" t="s">
        <v>588</v>
      </c>
      <c r="P676" s="6"/>
      <c r="Q676" s="6" t="str">
        <f>VLOOKUP(G676,seznampsc!A:B,2,FALSE)</f>
        <v>Jindřichův Hradec</v>
      </c>
      <c r="R676" s="6" t="str">
        <f>VLOOKUP(G676,seznampsc!A:C,3,FALSE)</f>
        <v>Jihočeský kraj</v>
      </c>
      <c r="U676" s="3">
        <v>0</v>
      </c>
      <c r="AA676" s="3">
        <v>5</v>
      </c>
      <c r="AB676" s="3">
        <v>500</v>
      </c>
      <c r="AV676" s="3">
        <v>50000</v>
      </c>
    </row>
    <row r="677" spans="1:48" ht="24" customHeight="1" x14ac:dyDescent="0.3">
      <c r="A677" s="6" t="s">
        <v>53</v>
      </c>
      <c r="B677" s="6" t="s">
        <v>65</v>
      </c>
      <c r="C677" s="6" t="s">
        <v>4009</v>
      </c>
      <c r="D677" s="16">
        <v>46683950</v>
      </c>
      <c r="E677" s="6" t="s">
        <v>4018</v>
      </c>
      <c r="F677" s="3" t="s">
        <v>4031</v>
      </c>
      <c r="G677" s="6">
        <v>53351</v>
      </c>
      <c r="H677" s="6" t="s">
        <v>2071</v>
      </c>
      <c r="I677" s="6" t="s">
        <v>4032</v>
      </c>
      <c r="J677" s="6" t="s">
        <v>4033</v>
      </c>
      <c r="K677" s="6">
        <v>466301700.733733</v>
      </c>
      <c r="L677" s="6" t="s">
        <v>1676</v>
      </c>
      <c r="M677" s="6" t="s">
        <v>3899</v>
      </c>
      <c r="N677" s="6" t="s">
        <v>63</v>
      </c>
      <c r="O677" s="6" t="s">
        <v>588</v>
      </c>
      <c r="P677" s="6"/>
      <c r="Q677" s="6" t="str">
        <f>VLOOKUP(G677,seznampsc!A:B,2,FALSE)</f>
        <v>Pardubice</v>
      </c>
      <c r="R677" s="6" t="str">
        <f>VLOOKUP(G677,seznampsc!A:C,3,FALSE)</f>
        <v>Pardubický kraj</v>
      </c>
      <c r="U677" s="3">
        <v>0</v>
      </c>
      <c r="AA677" s="3">
        <v>5</v>
      </c>
      <c r="AB677" s="3">
        <v>500</v>
      </c>
      <c r="AU677" s="3" t="s">
        <v>4034</v>
      </c>
      <c r="AV677" s="3">
        <v>50000</v>
      </c>
    </row>
    <row r="678" spans="1:48" ht="24" customHeight="1" x14ac:dyDescent="0.3">
      <c r="A678" s="6" t="s">
        <v>53</v>
      </c>
      <c r="B678" s="6" t="s">
        <v>65</v>
      </c>
      <c r="C678" s="6" t="s">
        <v>4009</v>
      </c>
      <c r="D678" s="16">
        <v>46683950</v>
      </c>
      <c r="E678" s="6" t="s">
        <v>4018</v>
      </c>
      <c r="F678" s="6" t="s">
        <v>4035</v>
      </c>
      <c r="G678" s="6">
        <v>67401</v>
      </c>
      <c r="H678" s="6" t="s">
        <v>4036</v>
      </c>
      <c r="I678" s="6" t="s">
        <v>4037</v>
      </c>
      <c r="J678" s="6" t="s">
        <v>4038</v>
      </c>
      <c r="K678" s="6">
        <v>568821703.73470497</v>
      </c>
      <c r="L678" s="6" t="s">
        <v>1676</v>
      </c>
      <c r="M678" s="6" t="s">
        <v>3899</v>
      </c>
      <c r="N678" s="6" t="s">
        <v>63</v>
      </c>
      <c r="O678" s="6" t="s">
        <v>588</v>
      </c>
      <c r="P678" s="6"/>
      <c r="Q678" s="6" t="str">
        <f>VLOOKUP(G678,seznampsc!A:B,2,FALSE)</f>
        <v>Třebíč</v>
      </c>
      <c r="R678" s="6" t="str">
        <f>VLOOKUP(G678,seznampsc!A:C,3,FALSE)</f>
        <v>Kraj Vysočina</v>
      </c>
      <c r="U678" s="3">
        <v>0</v>
      </c>
      <c r="AA678" s="3">
        <v>5</v>
      </c>
      <c r="AB678" s="3">
        <v>500</v>
      </c>
      <c r="AV678" s="3">
        <v>50000</v>
      </c>
    </row>
    <row r="679" spans="1:48" ht="24" customHeight="1" x14ac:dyDescent="0.3">
      <c r="A679" s="6" t="s">
        <v>53</v>
      </c>
      <c r="B679" s="6" t="s">
        <v>65</v>
      </c>
      <c r="C679" s="6" t="s">
        <v>4009</v>
      </c>
      <c r="D679" s="16">
        <v>46683950</v>
      </c>
      <c r="E679" s="6" t="s">
        <v>4018</v>
      </c>
      <c r="F679" s="6" t="s">
        <v>4039</v>
      </c>
      <c r="G679" s="6">
        <v>25601</v>
      </c>
      <c r="H679" s="6" t="s">
        <v>2372</v>
      </c>
      <c r="I679" s="6" t="s">
        <v>4040</v>
      </c>
      <c r="J679" s="6" t="s">
        <v>4041</v>
      </c>
      <c r="K679" s="6">
        <v>603293584</v>
      </c>
      <c r="L679" s="6" t="s">
        <v>1676</v>
      </c>
      <c r="M679" s="6" t="s">
        <v>3899</v>
      </c>
      <c r="N679" s="6" t="s">
        <v>63</v>
      </c>
      <c r="O679" s="6" t="s">
        <v>588</v>
      </c>
      <c r="P679" s="6"/>
      <c r="Q679" s="6" t="str">
        <f>VLOOKUP(G679,seznampsc!A:B,2,FALSE)</f>
        <v>Benešov</v>
      </c>
      <c r="R679" s="6" t="str">
        <f>VLOOKUP(G679,seznampsc!A:C,3,FALSE)</f>
        <v>Středočeský kraj</v>
      </c>
      <c r="U679" s="3">
        <v>0</v>
      </c>
      <c r="AA679" s="3">
        <v>5</v>
      </c>
      <c r="AB679" s="3">
        <v>500</v>
      </c>
      <c r="AU679" s="6" t="s">
        <v>4042</v>
      </c>
      <c r="AV679" s="3">
        <v>50000</v>
      </c>
    </row>
    <row r="680" spans="1:48" ht="24" customHeight="1" x14ac:dyDescent="0.3">
      <c r="A680" s="6" t="s">
        <v>53</v>
      </c>
      <c r="B680" s="6" t="s">
        <v>65</v>
      </c>
      <c r="C680" s="6" t="s">
        <v>4009</v>
      </c>
      <c r="D680" s="16">
        <v>46683950</v>
      </c>
      <c r="E680" s="6" t="s">
        <v>4018</v>
      </c>
      <c r="F680" s="6" t="s">
        <v>4043</v>
      </c>
      <c r="G680" s="6">
        <v>38101</v>
      </c>
      <c r="H680" s="6" t="s">
        <v>1252</v>
      </c>
      <c r="I680" s="6" t="s">
        <v>4044</v>
      </c>
      <c r="J680" s="6" t="s">
        <v>4045</v>
      </c>
      <c r="K680" s="6">
        <v>739099924</v>
      </c>
      <c r="L680" s="6" t="s">
        <v>1676</v>
      </c>
      <c r="M680" s="6" t="s">
        <v>3899</v>
      </c>
      <c r="N680" s="6" t="s">
        <v>63</v>
      </c>
      <c r="O680" s="6" t="s">
        <v>588</v>
      </c>
      <c r="P680" s="6"/>
      <c r="Q680" s="6" t="str">
        <f>VLOOKUP(G680,seznampsc!A:B,2,FALSE)</f>
        <v>Český Krumlov</v>
      </c>
      <c r="R680" s="6" t="str">
        <f>VLOOKUP(G680,seznampsc!A:C,3,FALSE)</f>
        <v>Jihočeský kraj</v>
      </c>
      <c r="U680" s="3">
        <v>0</v>
      </c>
      <c r="AA680" s="3">
        <v>5</v>
      </c>
      <c r="AB680" s="3">
        <v>500</v>
      </c>
      <c r="AV680" s="3">
        <v>50000</v>
      </c>
    </row>
    <row r="681" spans="1:48" ht="24" customHeight="1" x14ac:dyDescent="0.3">
      <c r="A681" s="6" t="s">
        <v>53</v>
      </c>
      <c r="B681" s="6" t="s">
        <v>65</v>
      </c>
      <c r="C681" s="6" t="s">
        <v>4009</v>
      </c>
      <c r="D681" s="16">
        <v>46683950</v>
      </c>
      <c r="E681" s="6" t="s">
        <v>4018</v>
      </c>
      <c r="F681" s="3" t="s">
        <v>2158</v>
      </c>
      <c r="G681" s="6">
        <v>38601</v>
      </c>
      <c r="H681" s="6" t="s">
        <v>2159</v>
      </c>
      <c r="I681" s="6" t="s">
        <v>4046</v>
      </c>
      <c r="J681" s="7" t="s">
        <v>4047</v>
      </c>
      <c r="K681" s="6">
        <v>739376082</v>
      </c>
      <c r="L681" s="6" t="s">
        <v>1676</v>
      </c>
      <c r="M681" s="6" t="s">
        <v>3899</v>
      </c>
      <c r="N681" s="6" t="s">
        <v>63</v>
      </c>
      <c r="O681" s="6" t="s">
        <v>588</v>
      </c>
      <c r="P681" s="6"/>
      <c r="Q681" s="6" t="str">
        <f>VLOOKUP(G681,seznampsc!A:B,2,FALSE)</f>
        <v>Strakonice</v>
      </c>
      <c r="R681" s="6" t="str">
        <f>VLOOKUP(G681,seznampsc!A:C,3,FALSE)</f>
        <v>Jihočeský kraj</v>
      </c>
      <c r="U681" s="3">
        <v>0</v>
      </c>
      <c r="AA681" s="3">
        <v>5</v>
      </c>
      <c r="AB681" s="3">
        <v>500</v>
      </c>
      <c r="AV681" s="3">
        <v>50000</v>
      </c>
    </row>
    <row r="682" spans="1:48" ht="24" customHeight="1" x14ac:dyDescent="0.3">
      <c r="A682" s="6" t="s">
        <v>53</v>
      </c>
      <c r="B682" s="6" t="s">
        <v>65</v>
      </c>
      <c r="C682" s="6" t="s">
        <v>4009</v>
      </c>
      <c r="D682" s="16">
        <v>46683950</v>
      </c>
      <c r="E682" s="6" t="s">
        <v>4018</v>
      </c>
      <c r="F682" s="6" t="s">
        <v>4048</v>
      </c>
      <c r="G682" s="6">
        <v>58001</v>
      </c>
      <c r="H682" s="6" t="s">
        <v>2818</v>
      </c>
      <c r="I682" s="6" t="s">
        <v>4049</v>
      </c>
      <c r="J682" s="6" t="s">
        <v>4050</v>
      </c>
      <c r="K682" s="6">
        <v>569425715.734442</v>
      </c>
      <c r="L682" s="6" t="s">
        <v>1676</v>
      </c>
      <c r="M682" s="6" t="s">
        <v>3899</v>
      </c>
      <c r="N682" s="6" t="s">
        <v>63</v>
      </c>
      <c r="O682" s="6" t="s">
        <v>588</v>
      </c>
      <c r="P682" s="6"/>
      <c r="Q682" s="6" t="str">
        <f>VLOOKUP(G682,seznampsc!A:B,2,FALSE)</f>
        <v>Havlíčkův Brod</v>
      </c>
      <c r="R682" s="6" t="str">
        <f>VLOOKUP(G682,seznampsc!A:C,3,FALSE)</f>
        <v>Kraj Vysočina</v>
      </c>
      <c r="U682" s="3">
        <v>0</v>
      </c>
      <c r="AA682" s="3">
        <v>5</v>
      </c>
      <c r="AB682" s="3">
        <v>500</v>
      </c>
      <c r="AU682" s="3" t="s">
        <v>4051</v>
      </c>
      <c r="AV682" s="3">
        <v>50000</v>
      </c>
    </row>
    <row r="683" spans="1:48" ht="24" customHeight="1" x14ac:dyDescent="0.3">
      <c r="A683" s="6" t="s">
        <v>53</v>
      </c>
      <c r="B683" s="6" t="s">
        <v>65</v>
      </c>
      <c r="C683" s="6" t="s">
        <v>4009</v>
      </c>
      <c r="D683" s="16">
        <v>46683950</v>
      </c>
      <c r="E683" s="6" t="s">
        <v>4018</v>
      </c>
      <c r="F683" s="6" t="s">
        <v>4052</v>
      </c>
      <c r="G683" s="6">
        <v>58601</v>
      </c>
      <c r="H683" s="6" t="s">
        <v>286</v>
      </c>
      <c r="I683" s="6" t="s">
        <v>4053</v>
      </c>
      <c r="J683" s="6" t="s">
        <v>4054</v>
      </c>
      <c r="K683" s="6">
        <v>567303683.60622704</v>
      </c>
      <c r="L683" s="6" t="s">
        <v>1676</v>
      </c>
      <c r="M683" s="6" t="s">
        <v>3899</v>
      </c>
      <c r="N683" s="6" t="s">
        <v>63</v>
      </c>
      <c r="O683" s="6" t="s">
        <v>588</v>
      </c>
      <c r="P683" s="6"/>
      <c r="Q683" s="6" t="str">
        <f>VLOOKUP(G683,seznampsc!A:B,2,FALSE)</f>
        <v>Jihlava</v>
      </c>
      <c r="R683" s="6" t="str">
        <f>VLOOKUP(G683,seznampsc!A:C,3,FALSE)</f>
        <v>Kraj Vysočina</v>
      </c>
      <c r="U683" s="3">
        <v>0</v>
      </c>
      <c r="AA683" s="3">
        <v>5</v>
      </c>
      <c r="AB683" s="3">
        <v>500</v>
      </c>
      <c r="AU683" s="3" t="s">
        <v>4051</v>
      </c>
      <c r="AV683" s="3">
        <v>50000</v>
      </c>
    </row>
    <row r="684" spans="1:48" ht="24" customHeight="1" x14ac:dyDescent="0.3">
      <c r="A684" s="1" t="s">
        <v>381</v>
      </c>
      <c r="B684" s="1" t="s">
        <v>65</v>
      </c>
      <c r="C684" s="1" t="s">
        <v>4055</v>
      </c>
      <c r="D684" s="18" t="s">
        <v>4056</v>
      </c>
      <c r="E684" s="1" t="s">
        <v>4057</v>
      </c>
      <c r="F684" s="1" t="s">
        <v>4058</v>
      </c>
      <c r="G684" s="1">
        <v>33901</v>
      </c>
      <c r="H684" s="1" t="s">
        <v>527</v>
      </c>
      <c r="I684" s="1" t="s">
        <v>4059</v>
      </c>
      <c r="J684" s="1" t="s">
        <v>4060</v>
      </c>
      <c r="K684" s="1">
        <v>602893223</v>
      </c>
      <c r="L684" s="1" t="s">
        <v>3911</v>
      </c>
      <c r="M684" s="1" t="s">
        <v>3912</v>
      </c>
      <c r="N684" s="1" t="s">
        <v>63</v>
      </c>
      <c r="O684" s="1" t="s">
        <v>241</v>
      </c>
      <c r="P684" s="1"/>
      <c r="Q684" s="1"/>
      <c r="R684" s="1"/>
      <c r="AU684" s="3" t="s">
        <v>4061</v>
      </c>
    </row>
    <row r="685" spans="1:48" ht="24" customHeight="1" x14ac:dyDescent="0.3">
      <c r="A685" s="1" t="s">
        <v>381</v>
      </c>
      <c r="B685" s="1" t="s">
        <v>65</v>
      </c>
      <c r="C685" s="1" t="s">
        <v>4055</v>
      </c>
      <c r="D685" s="18" t="s">
        <v>4056</v>
      </c>
      <c r="E685" s="1" t="s">
        <v>4057</v>
      </c>
      <c r="F685" s="1" t="s">
        <v>4062</v>
      </c>
      <c r="G685" s="1">
        <v>32600</v>
      </c>
      <c r="H685" s="1" t="s">
        <v>385</v>
      </c>
      <c r="I685" s="1" t="s">
        <v>4059</v>
      </c>
      <c r="J685" s="1" t="s">
        <v>4060</v>
      </c>
      <c r="K685" s="1">
        <v>602893223</v>
      </c>
      <c r="L685" s="1" t="s">
        <v>3911</v>
      </c>
      <c r="M685" s="1" t="s">
        <v>3912</v>
      </c>
      <c r="N685" s="1" t="s">
        <v>63</v>
      </c>
      <c r="O685" s="1" t="s">
        <v>241</v>
      </c>
      <c r="P685" s="1"/>
      <c r="Q685" s="1"/>
      <c r="R685" s="1"/>
      <c r="AU685" s="3" t="s">
        <v>4061</v>
      </c>
    </row>
    <row r="686" spans="1:48" ht="24" customHeight="1" x14ac:dyDescent="0.3">
      <c r="A686" s="1" t="s">
        <v>381</v>
      </c>
      <c r="B686" s="1" t="s">
        <v>65</v>
      </c>
      <c r="C686" s="1" t="s">
        <v>4055</v>
      </c>
      <c r="D686" s="18" t="s">
        <v>4056</v>
      </c>
      <c r="E686" s="1" t="s">
        <v>4057</v>
      </c>
      <c r="F686" s="1" t="s">
        <v>4063</v>
      </c>
      <c r="G686" s="1">
        <v>34701</v>
      </c>
      <c r="H686" s="1" t="s">
        <v>2047</v>
      </c>
      <c r="I686" s="1" t="s">
        <v>4059</v>
      </c>
      <c r="J686" s="1" t="s">
        <v>4060</v>
      </c>
      <c r="K686" s="1">
        <v>602893223</v>
      </c>
      <c r="L686" s="1" t="s">
        <v>3911</v>
      </c>
      <c r="M686" s="1" t="s">
        <v>3912</v>
      </c>
      <c r="N686" s="1" t="s">
        <v>63</v>
      </c>
      <c r="O686" s="1" t="s">
        <v>241</v>
      </c>
      <c r="P686" s="1"/>
      <c r="Q686" s="1"/>
      <c r="R686" s="1"/>
      <c r="AU686" s="3" t="s">
        <v>4061</v>
      </c>
    </row>
    <row r="687" spans="1:48" ht="24" customHeight="1" x14ac:dyDescent="0.3">
      <c r="A687" s="1" t="s">
        <v>381</v>
      </c>
      <c r="B687" s="1" t="s">
        <v>65</v>
      </c>
      <c r="C687" s="1" t="s">
        <v>4055</v>
      </c>
      <c r="D687" s="18" t="s">
        <v>4056</v>
      </c>
      <c r="E687" s="1" t="s">
        <v>4057</v>
      </c>
      <c r="F687" s="1" t="s">
        <v>4064</v>
      </c>
      <c r="G687" s="1">
        <v>34401</v>
      </c>
      <c r="H687" s="1" t="s">
        <v>2232</v>
      </c>
      <c r="I687" s="1" t="s">
        <v>4059</v>
      </c>
      <c r="J687" s="1" t="s">
        <v>4060</v>
      </c>
      <c r="K687" s="1">
        <v>602893223</v>
      </c>
      <c r="L687" s="1" t="s">
        <v>3911</v>
      </c>
      <c r="M687" s="1" t="s">
        <v>3912</v>
      </c>
      <c r="N687" s="1" t="s">
        <v>63</v>
      </c>
      <c r="O687" s="1" t="s">
        <v>241</v>
      </c>
      <c r="P687" s="1"/>
      <c r="Q687" s="1"/>
      <c r="R687" s="1"/>
      <c r="AU687" s="3" t="s">
        <v>4061</v>
      </c>
    </row>
    <row r="688" spans="1:48" ht="24" customHeight="1" x14ac:dyDescent="0.3">
      <c r="A688" s="6" t="s">
        <v>53</v>
      </c>
      <c r="B688" s="6" t="s">
        <v>65</v>
      </c>
      <c r="C688" s="6" t="s">
        <v>4065</v>
      </c>
      <c r="D688" s="16">
        <v>61775037</v>
      </c>
      <c r="E688" s="6" t="s">
        <v>4066</v>
      </c>
      <c r="F688" s="6" t="s">
        <v>4067</v>
      </c>
      <c r="G688" s="6">
        <v>36263</v>
      </c>
      <c r="H688" s="6" t="s">
        <v>1408</v>
      </c>
      <c r="I688" s="6" t="s">
        <v>4068</v>
      </c>
      <c r="J688" s="6" t="s">
        <v>4069</v>
      </c>
      <c r="K688" s="6">
        <v>775530302</v>
      </c>
      <c r="L688" s="6" t="s">
        <v>1676</v>
      </c>
      <c r="M688" s="6" t="s">
        <v>3899</v>
      </c>
      <c r="N688" s="6" t="s">
        <v>63</v>
      </c>
      <c r="O688" s="6" t="s">
        <v>248</v>
      </c>
      <c r="P688" s="6"/>
      <c r="Q688" s="6" t="str">
        <f>VLOOKUP(G688,seznampsc!A:B,2,FALSE)</f>
        <v>Karlovy Vary</v>
      </c>
      <c r="R688" s="6" t="str">
        <f>VLOOKUP(G688,seznampsc!A:C,3,FALSE)</f>
        <v>Karlovarský kraj</v>
      </c>
      <c r="U688" s="29">
        <v>0.05</v>
      </c>
      <c r="AB688" s="3">
        <v>400</v>
      </c>
      <c r="AC688" s="3">
        <v>400</v>
      </c>
      <c r="AV688" s="3">
        <v>30000</v>
      </c>
    </row>
    <row r="689" spans="1:48" ht="24" customHeight="1" x14ac:dyDescent="0.3">
      <c r="A689" s="6" t="s">
        <v>53</v>
      </c>
      <c r="B689" s="6" t="s">
        <v>65</v>
      </c>
      <c r="C689" s="6" t="s">
        <v>4070</v>
      </c>
      <c r="D689" s="16">
        <v>63087715</v>
      </c>
      <c r="E689" s="6" t="s">
        <v>4071</v>
      </c>
      <c r="F689" s="3" t="s">
        <v>4072</v>
      </c>
      <c r="G689" s="6">
        <v>10000</v>
      </c>
      <c r="H689" s="6" t="s">
        <v>80</v>
      </c>
      <c r="I689" s="6" t="s">
        <v>4073</v>
      </c>
      <c r="J689" s="6" t="s">
        <v>4074</v>
      </c>
      <c r="K689" s="6">
        <v>602314111.602314</v>
      </c>
      <c r="L689" s="6" t="s">
        <v>1676</v>
      </c>
      <c r="M689" s="6" t="s">
        <v>3899</v>
      </c>
      <c r="N689" s="6" t="s">
        <v>63</v>
      </c>
      <c r="O689" s="6" t="s">
        <v>248</v>
      </c>
      <c r="P689" s="6"/>
      <c r="Q689" s="6" t="str">
        <f>VLOOKUP(G689,seznampsc!A:B,2,FALSE)</f>
        <v>Hlavní město Praha</v>
      </c>
      <c r="R689" s="6" t="str">
        <f>VLOOKUP(G689,seznampsc!A:C,3,FALSE)</f>
        <v>Hlavní město Praha</v>
      </c>
      <c r="U689" s="29">
        <v>0.05</v>
      </c>
      <c r="AB689" s="3" t="s">
        <v>3935</v>
      </c>
      <c r="AC689" s="3" t="s">
        <v>3935</v>
      </c>
      <c r="AU689" s="3" t="s">
        <v>4075</v>
      </c>
      <c r="AV689" s="3">
        <v>30000</v>
      </c>
    </row>
    <row r="690" spans="1:48" ht="24" customHeight="1" x14ac:dyDescent="0.3">
      <c r="A690" s="6" t="s">
        <v>53</v>
      </c>
      <c r="B690" s="6" t="s">
        <v>65</v>
      </c>
      <c r="C690" s="6" t="s">
        <v>4076</v>
      </c>
      <c r="D690" s="16">
        <v>71067710</v>
      </c>
      <c r="E690" s="6" t="s">
        <v>4077</v>
      </c>
      <c r="F690" s="6" t="s">
        <v>4078</v>
      </c>
      <c r="G690" s="6">
        <v>15000</v>
      </c>
      <c r="H690" s="6" t="s">
        <v>4079</v>
      </c>
      <c r="I690" s="6" t="s">
        <v>4080</v>
      </c>
      <c r="J690" s="6" t="s">
        <v>4081</v>
      </c>
      <c r="K690" s="6">
        <v>776530317</v>
      </c>
      <c r="L690" s="6" t="s">
        <v>1676</v>
      </c>
      <c r="M690" s="6" t="s">
        <v>3899</v>
      </c>
      <c r="N690" s="6" t="s">
        <v>63</v>
      </c>
      <c r="O690" s="6" t="s">
        <v>241</v>
      </c>
      <c r="P690" s="6"/>
      <c r="Q690" s="6" t="str">
        <f>VLOOKUP(G690,seznampsc!A:B,2,FALSE)</f>
        <v>Hlavní město Praha</v>
      </c>
      <c r="R690" s="6" t="str">
        <f>VLOOKUP(G690,seznampsc!A:C,3,FALSE)</f>
        <v>Hlavní město Praha</v>
      </c>
      <c r="U690" s="29">
        <v>0.05</v>
      </c>
      <c r="AB690" s="3">
        <v>500</v>
      </c>
      <c r="AC690" s="3">
        <v>500</v>
      </c>
      <c r="AV690" s="3">
        <v>30000</v>
      </c>
    </row>
    <row r="691" spans="1:48" ht="24" customHeight="1" x14ac:dyDescent="0.3">
      <c r="A691" s="6" t="s">
        <v>53</v>
      </c>
      <c r="B691" s="6" t="s">
        <v>65</v>
      </c>
      <c r="C691" s="6" t="s">
        <v>4076</v>
      </c>
      <c r="D691" s="16">
        <v>71067710</v>
      </c>
      <c r="E691" s="6" t="s">
        <v>4077</v>
      </c>
      <c r="F691" s="6" t="s">
        <v>4082</v>
      </c>
      <c r="G691" s="6">
        <v>15300</v>
      </c>
      <c r="H691" s="6" t="s">
        <v>4083</v>
      </c>
      <c r="I691" s="6" t="s">
        <v>4080</v>
      </c>
      <c r="J691" s="6" t="s">
        <v>4084</v>
      </c>
      <c r="K691" s="6">
        <v>773883317</v>
      </c>
      <c r="L691" s="6" t="s">
        <v>1676</v>
      </c>
      <c r="M691" s="6" t="s">
        <v>3899</v>
      </c>
      <c r="N691" s="6" t="s">
        <v>63</v>
      </c>
      <c r="O691" s="6" t="s">
        <v>241</v>
      </c>
      <c r="P691" s="6"/>
      <c r="Q691" s="6" t="str">
        <f>VLOOKUP(G691,seznampsc!A:B,2,FALSE)</f>
        <v>Hlavní město Praha</v>
      </c>
      <c r="R691" s="6" t="str">
        <f>VLOOKUP(G691,seznampsc!A:C,3,FALSE)</f>
        <v>Hlavní město Praha</v>
      </c>
      <c r="U691" s="29">
        <v>0.05</v>
      </c>
      <c r="AV691" s="3">
        <v>30000</v>
      </c>
    </row>
    <row r="692" spans="1:48" ht="24" customHeight="1" x14ac:dyDescent="0.3">
      <c r="A692" s="6" t="s">
        <v>53</v>
      </c>
      <c r="B692" s="6" t="s">
        <v>65</v>
      </c>
      <c r="C692" s="6" t="s">
        <v>4085</v>
      </c>
      <c r="D692" s="16">
        <v>87209918</v>
      </c>
      <c r="E692" s="6" t="s">
        <v>4086</v>
      </c>
      <c r="F692" s="6" t="s">
        <v>4087</v>
      </c>
      <c r="G692" s="6">
        <v>14000</v>
      </c>
      <c r="H692" s="6" t="s">
        <v>80</v>
      </c>
      <c r="I692" s="6" t="s">
        <v>4088</v>
      </c>
      <c r="J692" s="6" t="s">
        <v>4089</v>
      </c>
      <c r="K692" s="6">
        <v>777877680</v>
      </c>
      <c r="L692" s="6" t="s">
        <v>1676</v>
      </c>
      <c r="M692" s="6" t="s">
        <v>3899</v>
      </c>
      <c r="N692" s="6" t="s">
        <v>63</v>
      </c>
      <c r="O692" s="6" t="s">
        <v>4090</v>
      </c>
      <c r="P692" s="6"/>
      <c r="Q692" s="6" t="str">
        <f>VLOOKUP(G692,seznampsc!A:B,2,FALSE)</f>
        <v>Hlavní město Praha</v>
      </c>
      <c r="R692" s="6" t="str">
        <f>VLOOKUP(G692,seznampsc!A:C,3,FALSE)</f>
        <v>Hlavní město Praha</v>
      </c>
      <c r="U692" s="3">
        <v>0</v>
      </c>
      <c r="AA692" s="3">
        <v>5</v>
      </c>
      <c r="AV692" s="3">
        <v>30000</v>
      </c>
    </row>
    <row r="693" spans="1:48" ht="24" customHeight="1" x14ac:dyDescent="0.3">
      <c r="A693" s="1" t="s">
        <v>381</v>
      </c>
      <c r="B693" s="1" t="s">
        <v>65</v>
      </c>
      <c r="C693" s="1" t="s">
        <v>4091</v>
      </c>
      <c r="D693" s="18" t="s">
        <v>4092</v>
      </c>
      <c r="E693" s="1" t="s">
        <v>4093</v>
      </c>
      <c r="F693" s="1" t="s">
        <v>4094</v>
      </c>
      <c r="G693" s="1">
        <v>25229</v>
      </c>
      <c r="H693" s="1" t="s">
        <v>4095</v>
      </c>
      <c r="I693" s="1" t="s">
        <v>4096</v>
      </c>
      <c r="J693" s="1" t="s">
        <v>4097</v>
      </c>
      <c r="K693" s="1">
        <v>777663866</v>
      </c>
      <c r="L693" s="1" t="s">
        <v>3911</v>
      </c>
      <c r="M693" s="1" t="s">
        <v>3912</v>
      </c>
      <c r="N693" s="1" t="s">
        <v>63</v>
      </c>
      <c r="O693" s="1" t="s">
        <v>135</v>
      </c>
      <c r="P693" s="1"/>
      <c r="Q693" s="1"/>
      <c r="R693" s="1"/>
      <c r="AU693" s="1" t="s">
        <v>4098</v>
      </c>
    </row>
    <row r="694" spans="1:48" ht="24" customHeight="1" x14ac:dyDescent="0.3">
      <c r="A694" s="1" t="s">
        <v>381</v>
      </c>
      <c r="B694" s="1" t="s">
        <v>65</v>
      </c>
      <c r="C694" s="1" t="s">
        <v>4091</v>
      </c>
      <c r="D694" s="18" t="s">
        <v>4092</v>
      </c>
      <c r="E694" s="1" t="s">
        <v>4099</v>
      </c>
      <c r="F694" s="1" t="s">
        <v>4100</v>
      </c>
      <c r="G694" s="1">
        <v>14300</v>
      </c>
      <c r="H694" s="1" t="s">
        <v>80</v>
      </c>
      <c r="I694" s="1" t="s">
        <v>4096</v>
      </c>
      <c r="J694" s="1" t="s">
        <v>4101</v>
      </c>
      <c r="K694" s="1">
        <v>244402009</v>
      </c>
      <c r="L694" s="1" t="s">
        <v>3911</v>
      </c>
      <c r="M694" s="1" t="s">
        <v>3912</v>
      </c>
      <c r="N694" s="1" t="s">
        <v>63</v>
      </c>
      <c r="O694" s="1" t="s">
        <v>4102</v>
      </c>
      <c r="P694" s="1"/>
      <c r="Q694" s="1"/>
      <c r="R694" s="1"/>
      <c r="AU694" s="1" t="s">
        <v>4098</v>
      </c>
    </row>
    <row r="695" spans="1:48" ht="24" customHeight="1" x14ac:dyDescent="0.3">
      <c r="A695" s="6" t="s">
        <v>53</v>
      </c>
      <c r="B695" s="6" t="s">
        <v>65</v>
      </c>
      <c r="C695" s="6" t="s">
        <v>4103</v>
      </c>
      <c r="D695" s="16">
        <v>28247400</v>
      </c>
      <c r="E695" s="6" t="s">
        <v>4104</v>
      </c>
      <c r="F695" s="6" t="s">
        <v>4105</v>
      </c>
      <c r="G695" s="6">
        <v>14900</v>
      </c>
      <c r="H695" s="6" t="s">
        <v>80</v>
      </c>
      <c r="I695" s="6" t="s">
        <v>4106</v>
      </c>
      <c r="J695" s="6" t="s">
        <v>4107</v>
      </c>
      <c r="K695" s="6">
        <v>777936910.77793598</v>
      </c>
      <c r="L695" s="6" t="s">
        <v>1676</v>
      </c>
      <c r="M695" s="6" t="s">
        <v>3899</v>
      </c>
      <c r="N695" s="6" t="s">
        <v>63</v>
      </c>
      <c r="O695" s="6" t="s">
        <v>710</v>
      </c>
      <c r="P695" s="6"/>
      <c r="Q695" s="6" t="str">
        <f>VLOOKUP(G695,seznampsc!A:B,2,FALSE)</f>
        <v>Hlavní město Praha</v>
      </c>
      <c r="R695" s="6" t="str">
        <f>VLOOKUP(G695,seznampsc!A:C,3,FALSE)</f>
        <v>Hlavní město Praha</v>
      </c>
      <c r="U695" s="29">
        <v>0.05</v>
      </c>
      <c r="AB695" s="3">
        <v>500</v>
      </c>
      <c r="AC695" s="3">
        <v>500</v>
      </c>
      <c r="AV695" s="3">
        <v>50000</v>
      </c>
    </row>
    <row r="696" spans="1:48" ht="24" customHeight="1" x14ac:dyDescent="0.3">
      <c r="A696" s="6" t="s">
        <v>53</v>
      </c>
      <c r="B696" s="6" t="s">
        <v>65</v>
      </c>
      <c r="C696" s="6" t="s">
        <v>4103</v>
      </c>
      <c r="D696" s="16">
        <v>28247400</v>
      </c>
      <c r="E696" s="6" t="s">
        <v>4104</v>
      </c>
      <c r="F696" s="6" t="s">
        <v>4108</v>
      </c>
      <c r="G696" s="6">
        <v>10400</v>
      </c>
      <c r="H696" s="6" t="s">
        <v>80</v>
      </c>
      <c r="I696" s="6" t="s">
        <v>4106</v>
      </c>
      <c r="J696" s="6" t="s">
        <v>4107</v>
      </c>
      <c r="K696" s="6">
        <v>777936910.77793598</v>
      </c>
      <c r="L696" s="6" t="s">
        <v>1676</v>
      </c>
      <c r="M696" s="6" t="s">
        <v>3899</v>
      </c>
      <c r="N696" s="6" t="s">
        <v>63</v>
      </c>
      <c r="O696" s="6" t="s">
        <v>710</v>
      </c>
      <c r="P696" s="6"/>
      <c r="Q696" s="6" t="str">
        <f>VLOOKUP(G696,seznampsc!A:B,2,FALSE)</f>
        <v>Hlavní město Praha</v>
      </c>
      <c r="R696" s="6" t="str">
        <f>VLOOKUP(G696,seznampsc!A:C,3,FALSE)</f>
        <v>Hlavní město Praha</v>
      </c>
      <c r="U696" s="29">
        <v>0.05</v>
      </c>
      <c r="AB696" s="3">
        <v>500</v>
      </c>
      <c r="AC696" s="3">
        <v>500</v>
      </c>
      <c r="AV696" s="3">
        <v>50000</v>
      </c>
    </row>
    <row r="697" spans="1:48" ht="24" customHeight="1" x14ac:dyDescent="0.3">
      <c r="A697" s="6" t="s">
        <v>53</v>
      </c>
      <c r="B697" s="6" t="s">
        <v>65</v>
      </c>
      <c r="C697" s="6" t="s">
        <v>4103</v>
      </c>
      <c r="D697" s="16">
        <v>28247400</v>
      </c>
      <c r="E697" s="6" t="s">
        <v>4104</v>
      </c>
      <c r="F697" s="6" t="s">
        <v>4109</v>
      </c>
      <c r="G697" s="6">
        <v>76302</v>
      </c>
      <c r="H697" s="6" t="s">
        <v>230</v>
      </c>
      <c r="I697" s="6" t="s">
        <v>4106</v>
      </c>
      <c r="J697" s="6" t="s">
        <v>4107</v>
      </c>
      <c r="K697" s="6">
        <v>777936910.77793598</v>
      </c>
      <c r="L697" s="6" t="s">
        <v>1676</v>
      </c>
      <c r="M697" s="6" t="s">
        <v>3899</v>
      </c>
      <c r="N697" s="6" t="s">
        <v>63</v>
      </c>
      <c r="O697" s="6" t="s">
        <v>710</v>
      </c>
      <c r="P697" s="6"/>
      <c r="Q697" s="6" t="str">
        <f>VLOOKUP(G697,seznampsc!A:B,2,FALSE)</f>
        <v>Zlín</v>
      </c>
      <c r="R697" s="6" t="str">
        <f>VLOOKUP(G697,seznampsc!A:C,3,FALSE)</f>
        <v>Zlínský kraj</v>
      </c>
      <c r="U697" s="29">
        <v>0.05</v>
      </c>
      <c r="AB697" s="3">
        <v>500</v>
      </c>
      <c r="AC697" s="3">
        <v>500</v>
      </c>
      <c r="AV697" s="3">
        <v>50000</v>
      </c>
    </row>
    <row r="698" spans="1:48" ht="24" customHeight="1" x14ac:dyDescent="0.3">
      <c r="A698" s="6" t="s">
        <v>53</v>
      </c>
      <c r="B698" s="6" t="s">
        <v>65</v>
      </c>
      <c r="C698" s="6" t="s">
        <v>4110</v>
      </c>
      <c r="D698" s="16">
        <v>27781461</v>
      </c>
      <c r="E698" s="6" t="s">
        <v>4111</v>
      </c>
      <c r="F698" s="6" t="s">
        <v>4112</v>
      </c>
      <c r="G698" s="6">
        <v>77900</v>
      </c>
      <c r="H698" s="6" t="s">
        <v>265</v>
      </c>
      <c r="I698" s="6" t="s">
        <v>4113</v>
      </c>
      <c r="J698" s="6" t="s">
        <v>4114</v>
      </c>
      <c r="K698" s="6">
        <v>776844701</v>
      </c>
      <c r="L698" s="6" t="s">
        <v>1676</v>
      </c>
      <c r="M698" s="6" t="s">
        <v>3899</v>
      </c>
      <c r="N698" s="6" t="s">
        <v>63</v>
      </c>
      <c r="O698" s="6" t="s">
        <v>241</v>
      </c>
      <c r="P698" s="6"/>
      <c r="Q698" s="6" t="str">
        <f>VLOOKUP(G698,seznampsc!A:B,2,FALSE)</f>
        <v>Olomouc</v>
      </c>
      <c r="R698" s="6" t="str">
        <f>VLOOKUP(G698,seznampsc!A:C,3,FALSE)</f>
        <v>Olomoucký kraj</v>
      </c>
      <c r="U698" s="29">
        <v>0.05</v>
      </c>
      <c r="AB698" s="3" t="s">
        <v>3935</v>
      </c>
      <c r="AC698" s="3" t="s">
        <v>3935</v>
      </c>
      <c r="AV698" s="3">
        <v>30000</v>
      </c>
    </row>
    <row r="699" spans="1:48" ht="24" customHeight="1" x14ac:dyDescent="0.3">
      <c r="A699" s="6" t="s">
        <v>53</v>
      </c>
      <c r="B699" s="1" t="s">
        <v>65</v>
      </c>
      <c r="C699" s="1" t="s">
        <v>4115</v>
      </c>
      <c r="D699" s="18">
        <v>26165813</v>
      </c>
      <c r="E699" s="1" t="s">
        <v>4116</v>
      </c>
      <c r="F699" s="1" t="s">
        <v>4117</v>
      </c>
      <c r="G699" s="1">
        <v>12000</v>
      </c>
      <c r="H699" s="1" t="s">
        <v>80</v>
      </c>
      <c r="I699" s="1" t="s">
        <v>4118</v>
      </c>
      <c r="J699" s="1" t="s">
        <v>4119</v>
      </c>
      <c r="K699" s="1">
        <v>733108944</v>
      </c>
      <c r="L699" s="6" t="s">
        <v>1676</v>
      </c>
      <c r="M699" s="1" t="s">
        <v>3899</v>
      </c>
      <c r="N699" s="1" t="s">
        <v>63</v>
      </c>
      <c r="O699" s="1" t="s">
        <v>241</v>
      </c>
      <c r="P699" s="1"/>
      <c r="Q699" s="6" t="str">
        <f>VLOOKUP(G699,seznampsc!A:B,2,FALSE)</f>
        <v>Hlavní město Praha</v>
      </c>
      <c r="R699" s="6" t="str">
        <f>VLOOKUP(G699,seznampsc!A:C,3,FALSE)</f>
        <v>Hlavní město Praha</v>
      </c>
      <c r="U699" s="29">
        <v>0.05</v>
      </c>
      <c r="AB699" s="3" t="s">
        <v>3935</v>
      </c>
      <c r="AC699" s="3" t="s">
        <v>3935</v>
      </c>
      <c r="AU699" s="3" t="s">
        <v>4120</v>
      </c>
    </row>
    <row r="700" spans="1:48" ht="24" customHeight="1" x14ac:dyDescent="0.3">
      <c r="A700" s="6" t="s">
        <v>53</v>
      </c>
      <c r="B700" s="6" t="s">
        <v>65</v>
      </c>
      <c r="C700" s="6" t="s">
        <v>3929</v>
      </c>
      <c r="D700" s="16">
        <v>5741572</v>
      </c>
      <c r="E700" s="6" t="s">
        <v>3930</v>
      </c>
      <c r="F700" s="6" t="s">
        <v>4121</v>
      </c>
      <c r="G700" s="6">
        <v>36001</v>
      </c>
      <c r="H700" s="6" t="s">
        <v>1408</v>
      </c>
      <c r="I700" s="6" t="s">
        <v>3932</v>
      </c>
      <c r="J700" s="7" t="s">
        <v>3933</v>
      </c>
      <c r="K700" s="6">
        <v>608190919</v>
      </c>
      <c r="L700" s="6" t="s">
        <v>3934</v>
      </c>
      <c r="M700" s="6" t="s">
        <v>3899</v>
      </c>
      <c r="N700" s="6" t="s">
        <v>63</v>
      </c>
      <c r="O700" s="6" t="s">
        <v>275</v>
      </c>
      <c r="P700" s="6"/>
      <c r="Q700" s="6" t="str">
        <f>VLOOKUP(G700,seznampsc!A:B,2,FALSE)</f>
        <v>Karlovy Vary</v>
      </c>
      <c r="R700" s="6" t="str">
        <f>VLOOKUP(G700,seznampsc!A:C,3,FALSE)</f>
        <v>Karlovarský kraj</v>
      </c>
      <c r="U700" s="3">
        <v>0</v>
      </c>
      <c r="AA700" s="3">
        <v>5</v>
      </c>
      <c r="AB700" s="3" t="s">
        <v>3935</v>
      </c>
      <c r="AC700" s="3" t="s">
        <v>3936</v>
      </c>
      <c r="AU700" s="3" t="s">
        <v>3937</v>
      </c>
      <c r="AV700" s="3">
        <v>30000</v>
      </c>
    </row>
    <row r="701" spans="1:48" ht="24" customHeight="1" x14ac:dyDescent="0.3">
      <c r="A701" s="6" t="s">
        <v>53</v>
      </c>
      <c r="B701" s="6" t="s">
        <v>65</v>
      </c>
      <c r="C701" s="6" t="s">
        <v>4115</v>
      </c>
      <c r="D701" s="16">
        <v>26165813</v>
      </c>
      <c r="E701" s="6" t="s">
        <v>4116</v>
      </c>
      <c r="F701" s="6" t="s">
        <v>4122</v>
      </c>
      <c r="G701" s="6">
        <v>14300</v>
      </c>
      <c r="H701" s="6" t="s">
        <v>80</v>
      </c>
      <c r="I701" s="6"/>
      <c r="J701" s="7" t="s">
        <v>4123</v>
      </c>
      <c r="K701" s="6">
        <v>777663866</v>
      </c>
      <c r="L701" s="6" t="s">
        <v>1676</v>
      </c>
      <c r="M701" s="6" t="s">
        <v>3899</v>
      </c>
      <c r="N701" s="6" t="s">
        <v>63</v>
      </c>
      <c r="O701" s="6" t="s">
        <v>241</v>
      </c>
      <c r="P701" s="6"/>
      <c r="Q701" s="6" t="str">
        <f>VLOOKUP(G701,seznampsc!A:B,2,FALSE)</f>
        <v>Hlavní město Praha</v>
      </c>
      <c r="R701" s="6" t="str">
        <f>VLOOKUP(G701,seznampsc!A:C,3,FALSE)</f>
        <v>Hlavní město Praha</v>
      </c>
      <c r="U701" s="29">
        <v>0.05</v>
      </c>
      <c r="AB701" s="3" t="s">
        <v>3935</v>
      </c>
      <c r="AC701" s="3" t="s">
        <v>3935</v>
      </c>
      <c r="AT701" s="3">
        <v>250</v>
      </c>
    </row>
    <row r="702" spans="1:48" ht="24" customHeight="1" x14ac:dyDescent="0.3">
      <c r="A702" s="6" t="s">
        <v>53</v>
      </c>
      <c r="B702" s="6" t="s">
        <v>65</v>
      </c>
      <c r="C702" s="6" t="s">
        <v>4115</v>
      </c>
      <c r="D702" s="16">
        <v>26165813</v>
      </c>
      <c r="E702" s="6" t="s">
        <v>4116</v>
      </c>
      <c r="F702" s="6" t="s">
        <v>4124</v>
      </c>
      <c r="G702" s="6">
        <v>15300</v>
      </c>
      <c r="H702" s="6" t="s">
        <v>80</v>
      </c>
      <c r="I702" s="6" t="s">
        <v>4125</v>
      </c>
      <c r="J702" s="6" t="s">
        <v>4126</v>
      </c>
      <c r="K702" s="6">
        <v>606846974</v>
      </c>
      <c r="L702" s="6" t="s">
        <v>1676</v>
      </c>
      <c r="M702" s="6" t="s">
        <v>3899</v>
      </c>
      <c r="N702" s="6" t="s">
        <v>63</v>
      </c>
      <c r="O702" s="6" t="s">
        <v>241</v>
      </c>
      <c r="P702" s="6"/>
      <c r="Q702" s="6" t="str">
        <f>VLOOKUP(G702,seznampsc!A:B,2,FALSE)</f>
        <v>Hlavní město Praha</v>
      </c>
      <c r="R702" s="6" t="str">
        <f>VLOOKUP(G702,seznampsc!A:C,3,FALSE)</f>
        <v>Hlavní město Praha</v>
      </c>
      <c r="U702" s="29">
        <v>0.05</v>
      </c>
      <c r="AB702" s="3" t="s">
        <v>3935</v>
      </c>
      <c r="AC702" s="3" t="s">
        <v>3935</v>
      </c>
      <c r="AT702" s="3">
        <v>250</v>
      </c>
    </row>
    <row r="703" spans="1:48" ht="24" customHeight="1" x14ac:dyDescent="0.3">
      <c r="A703" s="6" t="s">
        <v>53</v>
      </c>
      <c r="B703" s="6" t="s">
        <v>65</v>
      </c>
      <c r="C703" s="6" t="s">
        <v>4115</v>
      </c>
      <c r="D703" s="16">
        <v>26165813</v>
      </c>
      <c r="E703" s="6" t="s">
        <v>4116</v>
      </c>
      <c r="F703" s="6" t="s">
        <v>4127</v>
      </c>
      <c r="G703" s="6">
        <v>16000</v>
      </c>
      <c r="H703" s="6" t="s">
        <v>80</v>
      </c>
      <c r="I703" s="6" t="s">
        <v>4128</v>
      </c>
      <c r="J703" s="6" t="s">
        <v>4129</v>
      </c>
      <c r="K703" s="6">
        <v>737168106</v>
      </c>
      <c r="L703" s="6" t="s">
        <v>1676</v>
      </c>
      <c r="M703" s="6" t="s">
        <v>3899</v>
      </c>
      <c r="N703" s="6" t="s">
        <v>63</v>
      </c>
      <c r="O703" s="6" t="s">
        <v>241</v>
      </c>
      <c r="P703" s="6"/>
      <c r="Q703" s="6" t="str">
        <f>VLOOKUP(G703,seznampsc!A:B,2,FALSE)</f>
        <v>Hlavní město Praha</v>
      </c>
      <c r="R703" s="6" t="str">
        <f>VLOOKUP(G703,seznampsc!A:C,3,FALSE)</f>
        <v>Hlavní město Praha</v>
      </c>
      <c r="U703" s="29">
        <v>0.05</v>
      </c>
      <c r="AB703" s="3" t="s">
        <v>3935</v>
      </c>
      <c r="AC703" s="3" t="s">
        <v>3935</v>
      </c>
      <c r="AT703" s="3">
        <v>250</v>
      </c>
    </row>
    <row r="704" spans="1:48" ht="24" customHeight="1" x14ac:dyDescent="0.3">
      <c r="A704" s="6" t="s">
        <v>53</v>
      </c>
      <c r="B704" s="6" t="s">
        <v>65</v>
      </c>
      <c r="C704" s="6" t="s">
        <v>4115</v>
      </c>
      <c r="D704" s="16">
        <v>26165813</v>
      </c>
      <c r="E704" s="6" t="s">
        <v>4116</v>
      </c>
      <c r="F704" s="6" t="s">
        <v>4130</v>
      </c>
      <c r="G704" s="6">
        <v>18000</v>
      </c>
      <c r="H704" s="6" t="s">
        <v>80</v>
      </c>
      <c r="I704" s="6" t="s">
        <v>4131</v>
      </c>
      <c r="J704" s="6" t="s">
        <v>4132</v>
      </c>
      <c r="K704" s="6">
        <v>724341950</v>
      </c>
      <c r="L704" s="6" t="s">
        <v>1676</v>
      </c>
      <c r="M704" s="6" t="s">
        <v>3899</v>
      </c>
      <c r="N704" s="6" t="s">
        <v>63</v>
      </c>
      <c r="O704" s="6" t="s">
        <v>241</v>
      </c>
      <c r="P704" s="6"/>
      <c r="Q704" s="6" t="str">
        <f>VLOOKUP(G704,seznampsc!A:B,2,FALSE)</f>
        <v>Hlavní město Praha</v>
      </c>
      <c r="R704" s="6" t="str">
        <f>VLOOKUP(G704,seznampsc!A:C,3,FALSE)</f>
        <v>Hlavní město Praha</v>
      </c>
      <c r="U704" s="29">
        <v>0.05</v>
      </c>
      <c r="AB704" s="3" t="s">
        <v>3935</v>
      </c>
      <c r="AC704" s="3" t="s">
        <v>3935</v>
      </c>
      <c r="AT704" s="3">
        <v>250</v>
      </c>
    </row>
    <row r="705" spans="1:48" ht="24" customHeight="1" x14ac:dyDescent="0.3">
      <c r="A705" s="6" t="s">
        <v>53</v>
      </c>
      <c r="B705" s="6" t="s">
        <v>65</v>
      </c>
      <c r="C705" s="6" t="s">
        <v>4115</v>
      </c>
      <c r="D705" s="16">
        <v>26165813</v>
      </c>
      <c r="E705" s="6" t="s">
        <v>4116</v>
      </c>
      <c r="F705" s="6" t="s">
        <v>4133</v>
      </c>
      <c r="G705" s="6">
        <v>19800</v>
      </c>
      <c r="H705" s="6" t="s">
        <v>80</v>
      </c>
      <c r="I705" s="6" t="s">
        <v>4134</v>
      </c>
      <c r="J705" s="6" t="s">
        <v>4135</v>
      </c>
      <c r="K705" s="6">
        <v>734316377</v>
      </c>
      <c r="L705" s="6" t="s">
        <v>1676</v>
      </c>
      <c r="M705" s="6" t="s">
        <v>3899</v>
      </c>
      <c r="N705" s="6" t="s">
        <v>63</v>
      </c>
      <c r="O705" s="6" t="s">
        <v>241</v>
      </c>
      <c r="P705" s="6"/>
      <c r="Q705" s="6" t="str">
        <f>VLOOKUP(G705,seznampsc!A:B,2,FALSE)</f>
        <v>Hlavní město Praha</v>
      </c>
      <c r="R705" s="6" t="str">
        <f>VLOOKUP(G705,seznampsc!A:C,3,FALSE)</f>
        <v>Hlavní město Praha</v>
      </c>
      <c r="U705" s="29">
        <v>0.05</v>
      </c>
      <c r="AB705" s="3" t="s">
        <v>3935</v>
      </c>
      <c r="AC705" s="3" t="s">
        <v>3935</v>
      </c>
      <c r="AT705" s="3">
        <v>250</v>
      </c>
    </row>
    <row r="706" spans="1:48" ht="24" customHeight="1" x14ac:dyDescent="0.3">
      <c r="A706" s="6" t="s">
        <v>53</v>
      </c>
      <c r="B706" s="6" t="s">
        <v>65</v>
      </c>
      <c r="C706" s="6" t="s">
        <v>4136</v>
      </c>
      <c r="D706" s="16">
        <v>87789442</v>
      </c>
      <c r="E706" s="6" t="s">
        <v>4137</v>
      </c>
      <c r="F706" s="6" t="s">
        <v>4138</v>
      </c>
      <c r="G706" s="6">
        <v>68603</v>
      </c>
      <c r="H706" s="6" t="s">
        <v>1691</v>
      </c>
      <c r="I706" s="6" t="s">
        <v>4137</v>
      </c>
      <c r="J706" s="6" t="s">
        <v>4139</v>
      </c>
      <c r="K706" s="6">
        <v>608231234</v>
      </c>
      <c r="L706" s="6" t="s">
        <v>1676</v>
      </c>
      <c r="M706" s="6" t="s">
        <v>3899</v>
      </c>
      <c r="N706" s="6" t="s">
        <v>63</v>
      </c>
      <c r="O706" s="6" t="s">
        <v>241</v>
      </c>
      <c r="P706" s="6"/>
      <c r="Q706" s="6" t="str">
        <f>VLOOKUP(G706,seznampsc!A:B,2,FALSE)</f>
        <v>Uherské Hradiště</v>
      </c>
      <c r="R706" s="6" t="str">
        <f>VLOOKUP(G706,seznampsc!A:C,3,FALSE)</f>
        <v>Zlínský kraj</v>
      </c>
      <c r="U706" s="29">
        <v>0.05</v>
      </c>
      <c r="AB706" s="3">
        <v>400</v>
      </c>
      <c r="AC706" s="3">
        <v>400</v>
      </c>
      <c r="AF706" s="3" t="s">
        <v>3935</v>
      </c>
      <c r="AV706" s="3">
        <v>30000</v>
      </c>
    </row>
    <row r="707" spans="1:48" ht="24" customHeight="1" x14ac:dyDescent="0.3">
      <c r="A707" s="6" t="s">
        <v>53</v>
      </c>
      <c r="B707" s="6" t="s">
        <v>65</v>
      </c>
      <c r="C707" s="6" t="s">
        <v>4140</v>
      </c>
      <c r="D707" s="16">
        <v>62805347</v>
      </c>
      <c r="E707" s="6" t="s">
        <v>4141</v>
      </c>
      <c r="F707" s="6" t="s">
        <v>4138</v>
      </c>
      <c r="G707" s="6">
        <v>68603</v>
      </c>
      <c r="H707" s="6" t="s">
        <v>1691</v>
      </c>
      <c r="I707" s="6" t="s">
        <v>4142</v>
      </c>
      <c r="J707" s="6" t="s">
        <v>4139</v>
      </c>
      <c r="K707" s="6">
        <v>608231234</v>
      </c>
      <c r="L707" s="6" t="s">
        <v>1676</v>
      </c>
      <c r="M707" s="6" t="s">
        <v>3899</v>
      </c>
      <c r="N707" s="6" t="s">
        <v>63</v>
      </c>
      <c r="O707" s="6" t="s">
        <v>241</v>
      </c>
      <c r="P707" s="6"/>
      <c r="Q707" s="6" t="str">
        <f>VLOOKUP(G707,seznampsc!A:B,2,FALSE)</f>
        <v>Uherské Hradiště</v>
      </c>
      <c r="R707" s="6" t="str">
        <f>VLOOKUP(G707,seznampsc!A:C,3,FALSE)</f>
        <v>Zlínský kraj</v>
      </c>
      <c r="U707" s="29">
        <v>0.05</v>
      </c>
      <c r="AB707" s="3">
        <v>400</v>
      </c>
      <c r="AC707" s="3">
        <v>400</v>
      </c>
      <c r="AF707" s="3" t="s">
        <v>3935</v>
      </c>
      <c r="AV707" s="3">
        <v>30000</v>
      </c>
    </row>
    <row r="708" spans="1:48" ht="24" customHeight="1" x14ac:dyDescent="0.3">
      <c r="A708" s="6" t="s">
        <v>53</v>
      </c>
      <c r="B708" s="6" t="s">
        <v>65</v>
      </c>
      <c r="C708" s="6" t="s">
        <v>4143</v>
      </c>
      <c r="D708" s="16">
        <v>28644093</v>
      </c>
      <c r="E708" s="6" t="s">
        <v>4144</v>
      </c>
      <c r="F708" s="6" t="s">
        <v>4145</v>
      </c>
      <c r="G708" s="6">
        <v>73961</v>
      </c>
      <c r="H708" s="6" t="s">
        <v>473</v>
      </c>
      <c r="I708" s="6" t="s">
        <v>4146</v>
      </c>
      <c r="J708" s="6" t="s">
        <v>4147</v>
      </c>
      <c r="K708" s="6">
        <v>558330005.60326099</v>
      </c>
      <c r="L708" s="6" t="s">
        <v>1676</v>
      </c>
      <c r="M708" s="6" t="s">
        <v>3899</v>
      </c>
      <c r="N708" s="6" t="s">
        <v>63</v>
      </c>
      <c r="O708" s="6" t="s">
        <v>4148</v>
      </c>
      <c r="P708" s="6"/>
      <c r="Q708" s="6" t="str">
        <f>VLOOKUP(G708,seznampsc!A:B,2,FALSE)</f>
        <v>Frýdek-Místek</v>
      </c>
      <c r="R708" s="6" t="str">
        <f>VLOOKUP(G708,seznampsc!A:C,3,FALSE)</f>
        <v>Moravskoslezský kraj</v>
      </c>
      <c r="U708" s="29">
        <v>0.05</v>
      </c>
      <c r="AB708" s="3">
        <v>450</v>
      </c>
      <c r="AC708" s="3">
        <v>450</v>
      </c>
      <c r="AV708" s="3">
        <v>30000</v>
      </c>
    </row>
    <row r="709" spans="1:48" ht="24" customHeight="1" x14ac:dyDescent="0.3">
      <c r="A709" s="1" t="s">
        <v>381</v>
      </c>
      <c r="B709" s="1" t="s">
        <v>65</v>
      </c>
      <c r="C709" s="1" t="s">
        <v>4149</v>
      </c>
      <c r="D709" s="18" t="s">
        <v>4150</v>
      </c>
      <c r="E709" s="1" t="s">
        <v>4151</v>
      </c>
      <c r="F709" s="1" t="s">
        <v>573</v>
      </c>
      <c r="G709" s="1">
        <v>72200</v>
      </c>
      <c r="H709" s="1" t="s">
        <v>574</v>
      </c>
      <c r="I709" s="1" t="s">
        <v>572</v>
      </c>
      <c r="J709" s="1" t="s">
        <v>575</v>
      </c>
      <c r="K709" s="1" t="s">
        <v>576</v>
      </c>
      <c r="L709" s="1" t="s">
        <v>3911</v>
      </c>
      <c r="M709" s="1" t="s">
        <v>3912</v>
      </c>
      <c r="N709" s="1" t="s">
        <v>63</v>
      </c>
      <c r="O709" s="1" t="s">
        <v>109</v>
      </c>
      <c r="P709" s="1"/>
      <c r="Q709" s="1"/>
      <c r="R709" s="1"/>
      <c r="AU709" s="3" t="s">
        <v>4152</v>
      </c>
    </row>
    <row r="710" spans="1:48" ht="24" customHeight="1" x14ac:dyDescent="0.3">
      <c r="A710" s="6" t="s">
        <v>53</v>
      </c>
      <c r="B710" s="6" t="s">
        <v>65</v>
      </c>
      <c r="C710" s="6" t="s">
        <v>4153</v>
      </c>
      <c r="D710" s="16">
        <v>27821129</v>
      </c>
      <c r="E710" s="6" t="s">
        <v>4154</v>
      </c>
      <c r="F710" s="6" t="s">
        <v>4155</v>
      </c>
      <c r="G710" s="6">
        <v>70800</v>
      </c>
      <c r="H710" s="6" t="s">
        <v>574</v>
      </c>
      <c r="I710" s="6" t="s">
        <v>4156</v>
      </c>
      <c r="J710" s="6" t="s">
        <v>4157</v>
      </c>
      <c r="K710" s="6">
        <v>604700610.72421205</v>
      </c>
      <c r="L710" s="6" t="s">
        <v>1676</v>
      </c>
      <c r="M710" s="6" t="s">
        <v>3899</v>
      </c>
      <c r="N710" s="6" t="s">
        <v>63</v>
      </c>
      <c r="O710" s="6" t="s">
        <v>4158</v>
      </c>
      <c r="P710" s="6"/>
      <c r="Q710" s="6" t="str">
        <f>VLOOKUP(G710,seznampsc!A:B,2,FALSE)</f>
        <v>Ostrava-město</v>
      </c>
      <c r="R710" s="6" t="str">
        <f>VLOOKUP(G710,seznampsc!A:C,3,FALSE)</f>
        <v>Moravskoslezský kraj</v>
      </c>
      <c r="U710" s="29">
        <v>0.02</v>
      </c>
      <c r="AB710" s="3" t="s">
        <v>3935</v>
      </c>
      <c r="AC710" s="3" t="s">
        <v>3935</v>
      </c>
      <c r="AV710" s="3">
        <v>30000</v>
      </c>
    </row>
    <row r="711" spans="1:48" ht="24" customHeight="1" x14ac:dyDescent="0.3">
      <c r="A711" s="6" t="s">
        <v>53</v>
      </c>
      <c r="B711" s="6" t="s">
        <v>65</v>
      </c>
      <c r="C711" s="6" t="s">
        <v>4153</v>
      </c>
      <c r="D711" s="16">
        <v>27821129</v>
      </c>
      <c r="E711" s="6" t="s">
        <v>4154</v>
      </c>
      <c r="F711" s="6" t="s">
        <v>4159</v>
      </c>
      <c r="G711" s="6">
        <v>73801</v>
      </c>
      <c r="H711" s="6" t="s">
        <v>477</v>
      </c>
      <c r="I711" s="6" t="s">
        <v>4156</v>
      </c>
      <c r="J711" s="6" t="s">
        <v>4157</v>
      </c>
      <c r="K711" s="6">
        <v>604700610.72421205</v>
      </c>
      <c r="L711" s="6" t="s">
        <v>1676</v>
      </c>
      <c r="M711" s="6" t="s">
        <v>3899</v>
      </c>
      <c r="N711" s="6" t="s">
        <v>63</v>
      </c>
      <c r="O711" s="6" t="s">
        <v>4160</v>
      </c>
      <c r="P711" s="6"/>
      <c r="Q711" s="6" t="str">
        <f>VLOOKUP(G711,seznampsc!A:B,2,FALSE)</f>
        <v>Frýdek-Místek</v>
      </c>
      <c r="R711" s="6" t="str">
        <f>VLOOKUP(G711,seznampsc!A:C,3,FALSE)</f>
        <v>Moravskoslezský kraj</v>
      </c>
      <c r="U711" s="29">
        <v>0.02</v>
      </c>
      <c r="AB711" s="3" t="s">
        <v>3935</v>
      </c>
      <c r="AC711" s="3" t="s">
        <v>3935</v>
      </c>
      <c r="AV711" s="3">
        <v>30000</v>
      </c>
    </row>
    <row r="712" spans="1:48" ht="24" customHeight="1" x14ac:dyDescent="0.3">
      <c r="A712" s="6" t="s">
        <v>53</v>
      </c>
      <c r="B712" s="6" t="s">
        <v>65</v>
      </c>
      <c r="C712" s="6" t="s">
        <v>4161</v>
      </c>
      <c r="D712" s="16">
        <v>26905965</v>
      </c>
      <c r="E712" s="6" t="s">
        <v>4162</v>
      </c>
      <c r="F712" s="6" t="s">
        <v>4163</v>
      </c>
      <c r="G712" s="6">
        <v>63900</v>
      </c>
      <c r="H712" s="6" t="s">
        <v>272</v>
      </c>
      <c r="I712" s="6" t="s">
        <v>4164</v>
      </c>
      <c r="J712" s="6" t="s">
        <v>4165</v>
      </c>
      <c r="K712" s="6">
        <v>608980644</v>
      </c>
      <c r="L712" s="6" t="s">
        <v>1676</v>
      </c>
      <c r="M712" s="6" t="s">
        <v>3899</v>
      </c>
      <c r="N712" s="6" t="s">
        <v>63</v>
      </c>
      <c r="O712" s="6" t="s">
        <v>241</v>
      </c>
      <c r="P712" s="6"/>
      <c r="Q712" s="6" t="str">
        <f>VLOOKUP(G712,seznampsc!A:B,2,FALSE)</f>
        <v>Brno-město</v>
      </c>
      <c r="R712" s="6" t="str">
        <f>VLOOKUP(G712,seznampsc!A:C,3,FALSE)</f>
        <v>Jihomoravský kraj</v>
      </c>
      <c r="U712" s="29">
        <v>0.05</v>
      </c>
      <c r="AB712" s="3">
        <v>400</v>
      </c>
      <c r="AC712" s="3">
        <v>400</v>
      </c>
      <c r="AV712" s="3">
        <v>50000</v>
      </c>
    </row>
    <row r="713" spans="1:48" ht="24" customHeight="1" x14ac:dyDescent="0.3">
      <c r="A713" s="6" t="s">
        <v>53</v>
      </c>
      <c r="B713" s="6" t="s">
        <v>65</v>
      </c>
      <c r="C713" s="6" t="s">
        <v>4166</v>
      </c>
      <c r="D713" s="16">
        <v>28261160</v>
      </c>
      <c r="E713" s="6" t="s">
        <v>4167</v>
      </c>
      <c r="F713" s="6" t="s">
        <v>4168</v>
      </c>
      <c r="G713" s="6">
        <v>60200</v>
      </c>
      <c r="H713" s="6" t="s">
        <v>272</v>
      </c>
      <c r="I713" s="6"/>
      <c r="J713" s="6" t="s">
        <v>4169</v>
      </c>
      <c r="K713" s="6">
        <v>545213400.60329294</v>
      </c>
      <c r="L713" s="6" t="s">
        <v>1676</v>
      </c>
      <c r="M713" s="6" t="s">
        <v>3899</v>
      </c>
      <c r="N713" s="6" t="s">
        <v>63</v>
      </c>
      <c r="O713" s="6" t="s">
        <v>4158</v>
      </c>
      <c r="P713" s="6"/>
      <c r="Q713" s="6" t="str">
        <f>VLOOKUP(G713,seznampsc!A:B,2,FALSE)</f>
        <v>Brno-město</v>
      </c>
      <c r="R713" s="6" t="str">
        <f>VLOOKUP(G713,seznampsc!A:C,3,FALSE)</f>
        <v>Jihomoravský kraj</v>
      </c>
      <c r="U713" s="29">
        <v>0.05</v>
      </c>
      <c r="AB713" s="3">
        <v>450</v>
      </c>
      <c r="AC713" s="3">
        <v>450</v>
      </c>
      <c r="AV713" s="3">
        <v>50000</v>
      </c>
    </row>
    <row r="714" spans="1:48" ht="24" customHeight="1" x14ac:dyDescent="0.3">
      <c r="A714" s="6" t="s">
        <v>53</v>
      </c>
      <c r="B714" s="6" t="s">
        <v>65</v>
      </c>
      <c r="C714" s="6" t="s">
        <v>4166</v>
      </c>
      <c r="D714" s="16">
        <v>28261160</v>
      </c>
      <c r="E714" s="6" t="s">
        <v>4167</v>
      </c>
      <c r="F714" s="6" t="s">
        <v>4170</v>
      </c>
      <c r="G714" s="6">
        <v>66902</v>
      </c>
      <c r="H714" s="6" t="s">
        <v>291</v>
      </c>
      <c r="I714" s="6"/>
      <c r="J714" s="6" t="s">
        <v>4171</v>
      </c>
      <c r="K714" s="6">
        <v>515224104.73358703</v>
      </c>
      <c r="L714" s="6" t="s">
        <v>1676</v>
      </c>
      <c r="M714" s="6" t="s">
        <v>3899</v>
      </c>
      <c r="N714" s="6" t="s">
        <v>63</v>
      </c>
      <c r="O714" s="6" t="s">
        <v>4158</v>
      </c>
      <c r="P714" s="6"/>
      <c r="Q714" s="6" t="str">
        <f>VLOOKUP(G714,seznampsc!A:B,2,FALSE)</f>
        <v>Znojmo</v>
      </c>
      <c r="R714" s="6" t="str">
        <f>VLOOKUP(G714,seznampsc!A:C,3,FALSE)</f>
        <v>Jihomoravský kraj</v>
      </c>
      <c r="U714" s="29">
        <v>0.05</v>
      </c>
      <c r="AB714" s="3">
        <v>450</v>
      </c>
      <c r="AC714" s="3">
        <v>450</v>
      </c>
      <c r="AV714" s="3">
        <v>50000</v>
      </c>
    </row>
    <row r="715" spans="1:48" ht="24" customHeight="1" x14ac:dyDescent="0.3">
      <c r="A715" s="6" t="s">
        <v>53</v>
      </c>
      <c r="B715" s="6" t="s">
        <v>65</v>
      </c>
      <c r="C715" s="6" t="s">
        <v>4172</v>
      </c>
      <c r="D715" s="16">
        <v>72437511</v>
      </c>
      <c r="E715" s="6" t="s">
        <v>647</v>
      </c>
      <c r="F715" s="6" t="s">
        <v>4173</v>
      </c>
      <c r="G715" s="6">
        <v>76601</v>
      </c>
      <c r="H715" s="6" t="s">
        <v>4174</v>
      </c>
      <c r="I715" s="6" t="s">
        <v>647</v>
      </c>
      <c r="J715" s="6" t="s">
        <v>648</v>
      </c>
      <c r="K715" s="6">
        <v>737259831</v>
      </c>
      <c r="L715" s="6" t="s">
        <v>1676</v>
      </c>
      <c r="M715" s="6" t="s">
        <v>3899</v>
      </c>
      <c r="N715" s="6" t="s">
        <v>63</v>
      </c>
      <c r="O715" s="6" t="s">
        <v>649</v>
      </c>
      <c r="P715" s="6"/>
      <c r="Q715" s="6" t="str">
        <f>VLOOKUP(G715,seznampsc!A:B,2,FALSE)</f>
        <v>Zlín</v>
      </c>
      <c r="R715" s="6" t="str">
        <f>VLOOKUP(G715,seznampsc!A:C,3,FALSE)</f>
        <v>Zlínský kraj</v>
      </c>
      <c r="S715" s="6">
        <v>49.136119899999997</v>
      </c>
      <c r="T715" s="6">
        <v>18.010162999999999</v>
      </c>
      <c r="U715" s="3">
        <v>0</v>
      </c>
      <c r="W715" s="3">
        <v>0</v>
      </c>
      <c r="AA715" s="3">
        <v>5</v>
      </c>
      <c r="AV715" s="3">
        <v>50000</v>
      </c>
    </row>
    <row r="716" spans="1:48" ht="24" customHeight="1" x14ac:dyDescent="0.3">
      <c r="A716" s="6" t="s">
        <v>53</v>
      </c>
      <c r="B716" s="6" t="s">
        <v>65</v>
      </c>
      <c r="C716" s="6" t="s">
        <v>4175</v>
      </c>
      <c r="D716" s="16">
        <v>64085317</v>
      </c>
      <c r="E716" s="6" t="s">
        <v>4176</v>
      </c>
      <c r="F716" s="6" t="s">
        <v>4177</v>
      </c>
      <c r="G716" s="6">
        <v>70200</v>
      </c>
      <c r="H716" s="6" t="s">
        <v>574</v>
      </c>
      <c r="I716" s="6" t="s">
        <v>4178</v>
      </c>
      <c r="J716" s="6" t="s">
        <v>4179</v>
      </c>
      <c r="K716" s="6">
        <v>605230466.70209002</v>
      </c>
      <c r="L716" s="6" t="s">
        <v>1676</v>
      </c>
      <c r="M716" s="6" t="s">
        <v>3899</v>
      </c>
      <c r="N716" s="6" t="s">
        <v>63</v>
      </c>
      <c r="O716" s="6" t="s">
        <v>248</v>
      </c>
      <c r="P716" s="6"/>
      <c r="Q716" s="6" t="str">
        <f>VLOOKUP(G716,seznampsc!A:B,2,FALSE)</f>
        <v>Ostrava-město</v>
      </c>
      <c r="R716" s="6" t="str">
        <f>VLOOKUP(G716,seznampsc!A:C,3,FALSE)</f>
        <v>Moravskoslezský kraj</v>
      </c>
      <c r="U716" s="29">
        <v>0.05</v>
      </c>
      <c r="AB716" s="3" t="s">
        <v>3935</v>
      </c>
      <c r="AC716" s="3" t="s">
        <v>3935</v>
      </c>
      <c r="AV716" s="3">
        <v>50000</v>
      </c>
    </row>
    <row r="717" spans="1:48" ht="24" customHeight="1" x14ac:dyDescent="0.3">
      <c r="A717" s="6" t="s">
        <v>53</v>
      </c>
      <c r="B717" s="6" t="s">
        <v>65</v>
      </c>
      <c r="C717" s="6" t="s">
        <v>4175</v>
      </c>
      <c r="D717" s="16">
        <v>64085317</v>
      </c>
      <c r="E717" s="6" t="s">
        <v>4176</v>
      </c>
      <c r="F717" s="6" t="s">
        <v>4180</v>
      </c>
      <c r="G717" s="6">
        <v>74601</v>
      </c>
      <c r="H717" s="6" t="s">
        <v>1644</v>
      </c>
      <c r="I717" s="6" t="s">
        <v>4181</v>
      </c>
      <c r="J717" s="6" t="s">
        <v>4182</v>
      </c>
      <c r="K717" s="6">
        <v>553615845.60522997</v>
      </c>
      <c r="L717" s="6" t="s">
        <v>1676</v>
      </c>
      <c r="M717" s="6" t="s">
        <v>3899</v>
      </c>
      <c r="N717" s="6" t="s">
        <v>63</v>
      </c>
      <c r="O717" s="6" t="s">
        <v>241</v>
      </c>
      <c r="P717" s="6"/>
      <c r="Q717" s="6" t="str">
        <f>VLOOKUP(G717,seznampsc!A:B,2,FALSE)</f>
        <v>Opava</v>
      </c>
      <c r="R717" s="6" t="str">
        <f>VLOOKUP(G717,seznampsc!A:C,3,FALSE)</f>
        <v>Moravskoslezský kraj</v>
      </c>
      <c r="U717" s="29">
        <v>0.05</v>
      </c>
      <c r="AB717" s="3">
        <v>500</v>
      </c>
      <c r="AC717" s="3">
        <v>500</v>
      </c>
      <c r="AV717" s="3">
        <v>50000</v>
      </c>
    </row>
    <row r="718" spans="1:48" ht="24" customHeight="1" x14ac:dyDescent="0.3">
      <c r="A718" s="6" t="s">
        <v>4183</v>
      </c>
      <c r="B718" s="6" t="s">
        <v>65</v>
      </c>
      <c r="C718" s="6" t="s">
        <v>4175</v>
      </c>
      <c r="D718" s="16">
        <v>64085317</v>
      </c>
      <c r="E718" s="6" t="s">
        <v>4176</v>
      </c>
      <c r="F718" s="6" t="s">
        <v>4184</v>
      </c>
      <c r="G718" s="6">
        <v>73801</v>
      </c>
      <c r="H718" s="6" t="s">
        <v>477</v>
      </c>
      <c r="I718" s="6" t="s">
        <v>4185</v>
      </c>
      <c r="J718" s="6" t="s">
        <v>4186</v>
      </c>
      <c r="K718" s="6">
        <v>702168899</v>
      </c>
      <c r="L718" s="6" t="s">
        <v>1676</v>
      </c>
      <c r="M718" s="6" t="s">
        <v>3899</v>
      </c>
      <c r="N718" s="6" t="s">
        <v>63</v>
      </c>
      <c r="O718" s="6" t="s">
        <v>241</v>
      </c>
      <c r="P718" s="6"/>
      <c r="Q718" s="6" t="str">
        <f>VLOOKUP(G718,seznampsc!A:B,2,FALSE)</f>
        <v>Frýdek-Místek</v>
      </c>
      <c r="R718" s="6" t="str">
        <f>VLOOKUP(G718,seznampsc!A:C,3,FALSE)</f>
        <v>Moravskoslezský kraj</v>
      </c>
      <c r="U718" s="29">
        <v>0.05</v>
      </c>
      <c r="AB718" s="3">
        <v>500</v>
      </c>
      <c r="AC718" s="3">
        <v>500</v>
      </c>
      <c r="AV718" s="3">
        <v>50000</v>
      </c>
    </row>
    <row r="719" spans="1:48" ht="24" customHeight="1" x14ac:dyDescent="0.3">
      <c r="A719" s="1" t="s">
        <v>381</v>
      </c>
      <c r="B719" s="1" t="s">
        <v>65</v>
      </c>
      <c r="C719" s="1" t="s">
        <v>4175</v>
      </c>
      <c r="D719" s="18" t="s">
        <v>4187</v>
      </c>
      <c r="E719" s="1" t="s">
        <v>4188</v>
      </c>
      <c r="F719" s="1" t="s">
        <v>4189</v>
      </c>
      <c r="G719" s="1">
        <v>74101</v>
      </c>
      <c r="H719" s="1" t="s">
        <v>1113</v>
      </c>
      <c r="I719" s="1" t="s">
        <v>4190</v>
      </c>
      <c r="J719" s="1" t="s">
        <v>4191</v>
      </c>
      <c r="K719" s="1">
        <v>603439708</v>
      </c>
      <c r="L719" s="1" t="s">
        <v>3911</v>
      </c>
      <c r="M719" s="1" t="s">
        <v>3912</v>
      </c>
      <c r="N719" s="1" t="s">
        <v>63</v>
      </c>
      <c r="O719" s="1" t="s">
        <v>241</v>
      </c>
      <c r="P719" s="1"/>
      <c r="Q719" s="1"/>
      <c r="R719" s="1"/>
      <c r="AU719" s="4" t="s">
        <v>4192</v>
      </c>
    </row>
    <row r="720" spans="1:48" ht="24" customHeight="1" x14ac:dyDescent="0.3">
      <c r="A720" s="1" t="s">
        <v>381</v>
      </c>
      <c r="B720" s="1" t="s">
        <v>65</v>
      </c>
      <c r="C720" s="1" t="s">
        <v>4175</v>
      </c>
      <c r="D720" s="18" t="s">
        <v>4187</v>
      </c>
      <c r="E720" s="1" t="s">
        <v>4188</v>
      </c>
      <c r="F720" s="1" t="s">
        <v>4193</v>
      </c>
      <c r="G720" s="1">
        <v>75701</v>
      </c>
      <c r="H720" s="1" t="s">
        <v>4194</v>
      </c>
      <c r="I720" s="1" t="s">
        <v>4195</v>
      </c>
      <c r="J720" s="1" t="s">
        <v>4196</v>
      </c>
      <c r="K720" s="1">
        <v>608868027</v>
      </c>
      <c r="L720" s="1" t="s">
        <v>3911</v>
      </c>
      <c r="M720" s="1" t="s">
        <v>3912</v>
      </c>
      <c r="N720" s="1" t="s">
        <v>63</v>
      </c>
      <c r="O720" s="1" t="s">
        <v>241</v>
      </c>
      <c r="P720" s="1"/>
      <c r="Q720" s="1"/>
      <c r="R720" s="1"/>
      <c r="AU720" s="4" t="s">
        <v>4192</v>
      </c>
    </row>
    <row r="721" spans="1:48" ht="24" customHeight="1" x14ac:dyDescent="0.3">
      <c r="A721" s="6" t="s">
        <v>53</v>
      </c>
      <c r="B721" s="6" t="s">
        <v>65</v>
      </c>
      <c r="C721" s="6" t="s">
        <v>4197</v>
      </c>
      <c r="D721" s="16">
        <v>25454447</v>
      </c>
      <c r="E721" s="6" t="s">
        <v>4198</v>
      </c>
      <c r="F721" s="6" t="s">
        <v>4199</v>
      </c>
      <c r="G721" s="6">
        <v>46001</v>
      </c>
      <c r="H721" s="6" t="s">
        <v>1220</v>
      </c>
      <c r="I721" s="6" t="s">
        <v>4200</v>
      </c>
      <c r="J721" s="6" t="s">
        <v>4201</v>
      </c>
      <c r="K721" s="6">
        <v>605526549</v>
      </c>
      <c r="L721" s="6" t="s">
        <v>1676</v>
      </c>
      <c r="M721" s="6" t="s">
        <v>3899</v>
      </c>
      <c r="N721" s="6" t="s">
        <v>63</v>
      </c>
      <c r="O721" s="6" t="s">
        <v>248</v>
      </c>
      <c r="P721" s="6"/>
      <c r="Q721" s="6" t="str">
        <f>VLOOKUP(G721,seznampsc!A:B,2,FALSE)</f>
        <v>Liberec</v>
      </c>
      <c r="R721" s="6" t="str">
        <f>VLOOKUP(G721,seznampsc!A:C,3,FALSE)</f>
        <v>Liberecký kraj</v>
      </c>
      <c r="AV721" s="3">
        <v>50000</v>
      </c>
    </row>
    <row r="722" spans="1:48" ht="24" customHeight="1" x14ac:dyDescent="0.3">
      <c r="A722" s="6" t="s">
        <v>53</v>
      </c>
      <c r="B722" s="6" t="s">
        <v>65</v>
      </c>
      <c r="C722" s="6" t="s">
        <v>4202</v>
      </c>
      <c r="D722" s="16">
        <v>66050898</v>
      </c>
      <c r="E722" s="6" t="s">
        <v>4203</v>
      </c>
      <c r="F722" s="6" t="s">
        <v>4204</v>
      </c>
      <c r="G722" s="6">
        <v>19000</v>
      </c>
      <c r="H722" s="6" t="s">
        <v>80</v>
      </c>
      <c r="I722" s="6" t="s">
        <v>4205</v>
      </c>
      <c r="J722" s="6" t="s">
        <v>4206</v>
      </c>
      <c r="K722" s="6">
        <v>608315778</v>
      </c>
      <c r="L722" s="6" t="s">
        <v>1676</v>
      </c>
      <c r="M722" s="6" t="s">
        <v>3899</v>
      </c>
      <c r="N722" s="6" t="s">
        <v>63</v>
      </c>
      <c r="O722" s="6" t="s">
        <v>241</v>
      </c>
      <c r="P722" s="6"/>
      <c r="Q722" s="6" t="str">
        <f>VLOOKUP(G722,seznampsc!A:B,2,FALSE)</f>
        <v>Hlavní město Praha</v>
      </c>
      <c r="R722" s="6" t="str">
        <f>VLOOKUP(G722,seznampsc!A:C,3,FALSE)</f>
        <v>Hlavní město Praha</v>
      </c>
      <c r="U722" s="29">
        <v>0.05</v>
      </c>
    </row>
    <row r="723" spans="1:48" ht="24" customHeight="1" x14ac:dyDescent="0.3">
      <c r="A723" s="6" t="s">
        <v>53</v>
      </c>
      <c r="B723" s="6" t="s">
        <v>65</v>
      </c>
      <c r="C723" s="6" t="s">
        <v>4207</v>
      </c>
      <c r="D723" s="16">
        <v>25392361</v>
      </c>
      <c r="E723" s="6" t="s">
        <v>4208</v>
      </c>
      <c r="F723" s="6" t="s">
        <v>4209</v>
      </c>
      <c r="G723" s="6">
        <v>70200</v>
      </c>
      <c r="H723" s="6" t="s">
        <v>574</v>
      </c>
      <c r="I723" s="6" t="s">
        <v>4210</v>
      </c>
      <c r="J723" s="7" t="s">
        <v>4211</v>
      </c>
      <c r="K723" s="6">
        <v>739593273.59661698</v>
      </c>
      <c r="L723" s="6" t="s">
        <v>1676</v>
      </c>
      <c r="M723" s="6" t="s">
        <v>3899</v>
      </c>
      <c r="N723" s="6" t="s">
        <v>63</v>
      </c>
      <c r="O723" s="6" t="s">
        <v>248</v>
      </c>
      <c r="P723" s="6"/>
      <c r="Q723" s="6" t="str">
        <f>VLOOKUP(G723,seznampsc!A:B,2,FALSE)</f>
        <v>Ostrava-město</v>
      </c>
      <c r="R723" s="6" t="str">
        <f>VLOOKUP(G723,seznampsc!A:C,3,FALSE)</f>
        <v>Moravskoslezský kraj</v>
      </c>
      <c r="U723" s="29">
        <v>0.05</v>
      </c>
      <c r="AB723" s="3" t="s">
        <v>3935</v>
      </c>
      <c r="AC723" s="3" t="s">
        <v>3935</v>
      </c>
      <c r="AV723" s="3">
        <v>50000</v>
      </c>
    </row>
    <row r="724" spans="1:48" ht="24" customHeight="1" x14ac:dyDescent="0.3">
      <c r="A724" s="6" t="s">
        <v>53</v>
      </c>
      <c r="B724" s="6" t="s">
        <v>65</v>
      </c>
      <c r="C724" s="6" t="s">
        <v>4207</v>
      </c>
      <c r="D724" s="16">
        <v>25392361</v>
      </c>
      <c r="E724" s="6" t="s">
        <v>4208</v>
      </c>
      <c r="F724" s="6" t="s">
        <v>4212</v>
      </c>
      <c r="G724" s="6">
        <v>73601</v>
      </c>
      <c r="H724" s="6" t="s">
        <v>957</v>
      </c>
      <c r="I724" s="6" t="s">
        <v>4210</v>
      </c>
      <c r="J724" s="7" t="s">
        <v>4211</v>
      </c>
      <c r="K724" s="6">
        <v>844300600</v>
      </c>
      <c r="L724" s="6" t="s">
        <v>1676</v>
      </c>
      <c r="M724" s="6" t="s">
        <v>3899</v>
      </c>
      <c r="N724" s="6" t="s">
        <v>63</v>
      </c>
      <c r="O724" s="6" t="s">
        <v>275</v>
      </c>
      <c r="P724" s="6"/>
      <c r="Q724" s="6" t="str">
        <f>VLOOKUP(G724,seznampsc!A:B,2,FALSE)</f>
        <v>Karviná</v>
      </c>
      <c r="R724" s="6" t="str">
        <f>VLOOKUP(G724,seznampsc!A:C,3,FALSE)</f>
        <v>Moravskoslezský kraj</v>
      </c>
      <c r="U724" s="29">
        <v>0.05</v>
      </c>
      <c r="AB724" s="3" t="s">
        <v>3935</v>
      </c>
      <c r="AC724" s="3" t="s">
        <v>3935</v>
      </c>
      <c r="AV724" s="3">
        <v>50000</v>
      </c>
    </row>
    <row r="725" spans="1:48" ht="24" customHeight="1" x14ac:dyDescent="0.3">
      <c r="A725" s="6" t="s">
        <v>53</v>
      </c>
      <c r="B725" s="6" t="s">
        <v>65</v>
      </c>
      <c r="C725" s="6" t="s">
        <v>4207</v>
      </c>
      <c r="D725" s="16">
        <v>25392361</v>
      </c>
      <c r="E725" s="6" t="s">
        <v>4208</v>
      </c>
      <c r="F725" s="6" t="s">
        <v>4213</v>
      </c>
      <c r="G725" s="6">
        <v>61400</v>
      </c>
      <c r="H725" s="6" t="s">
        <v>272</v>
      </c>
      <c r="I725" s="6" t="s">
        <v>4210</v>
      </c>
      <c r="J725" s="7" t="s">
        <v>4214</v>
      </c>
      <c r="K725" s="6">
        <v>731169067</v>
      </c>
      <c r="L725" s="6" t="s">
        <v>1676</v>
      </c>
      <c r="M725" s="6" t="s">
        <v>3899</v>
      </c>
      <c r="N725" s="6" t="s">
        <v>63</v>
      </c>
      <c r="O725" s="6" t="s">
        <v>4158</v>
      </c>
      <c r="P725" s="6"/>
      <c r="Q725" s="6" t="str">
        <f>VLOOKUP(G725,seznampsc!A:B,2,FALSE)</f>
        <v>Brno-město</v>
      </c>
      <c r="R725" s="6" t="str">
        <f>VLOOKUP(G725,seznampsc!A:C,3,FALSE)</f>
        <v>Jihomoravský kraj</v>
      </c>
      <c r="U725" s="29">
        <v>0.05</v>
      </c>
      <c r="AB725" s="3" t="s">
        <v>3935</v>
      </c>
      <c r="AC725" s="3" t="s">
        <v>3935</v>
      </c>
      <c r="AV725" s="3">
        <v>50000</v>
      </c>
    </row>
    <row r="726" spans="1:48" ht="24" customHeight="1" x14ac:dyDescent="0.3">
      <c r="A726" s="6" t="s">
        <v>53</v>
      </c>
      <c r="B726" s="6" t="s">
        <v>65</v>
      </c>
      <c r="C726" s="6" t="s">
        <v>4207</v>
      </c>
      <c r="D726" s="16">
        <v>25392361</v>
      </c>
      <c r="E726" s="6" t="s">
        <v>4208</v>
      </c>
      <c r="F726" s="6" t="s">
        <v>4215</v>
      </c>
      <c r="G726" s="6">
        <v>75601</v>
      </c>
      <c r="H726" s="6" t="s">
        <v>3054</v>
      </c>
      <c r="I726" s="6" t="s">
        <v>4210</v>
      </c>
      <c r="J726" s="6" t="s">
        <v>4216</v>
      </c>
      <c r="K726" s="6">
        <v>739593274</v>
      </c>
      <c r="L726" s="6" t="s">
        <v>1676</v>
      </c>
      <c r="M726" s="6" t="s">
        <v>3899</v>
      </c>
      <c r="N726" s="6" t="s">
        <v>63</v>
      </c>
      <c r="O726" s="6" t="s">
        <v>241</v>
      </c>
      <c r="P726" s="6"/>
      <c r="Q726" s="6" t="str">
        <f>VLOOKUP(G726,seznampsc!A:B,2,FALSE)</f>
        <v>Vsetín</v>
      </c>
      <c r="R726" s="6" t="str">
        <f>VLOOKUP(G726,seznampsc!A:C,3,FALSE)</f>
        <v>Zlínský kraj</v>
      </c>
      <c r="U726" s="29">
        <v>0.05</v>
      </c>
      <c r="AB726" s="3" t="s">
        <v>3935</v>
      </c>
      <c r="AC726" s="3" t="s">
        <v>3935</v>
      </c>
      <c r="AV726" s="3">
        <v>50000</v>
      </c>
    </row>
    <row r="727" spans="1:48" ht="24" customHeight="1" x14ac:dyDescent="0.3">
      <c r="A727" s="6" t="s">
        <v>53</v>
      </c>
      <c r="B727" s="6" t="s">
        <v>65</v>
      </c>
      <c r="C727" s="6" t="s">
        <v>4217</v>
      </c>
      <c r="D727" s="16">
        <v>25412795</v>
      </c>
      <c r="E727" s="6" t="s">
        <v>598</v>
      </c>
      <c r="F727" s="6" t="s">
        <v>599</v>
      </c>
      <c r="G727" s="6">
        <v>47001</v>
      </c>
      <c r="H727" s="6" t="s">
        <v>221</v>
      </c>
      <c r="I727" s="6" t="s">
        <v>600</v>
      </c>
      <c r="J727" s="6" t="s">
        <v>601</v>
      </c>
      <c r="K727" s="6">
        <v>777323374.48751998</v>
      </c>
      <c r="L727" s="6" t="s">
        <v>1676</v>
      </c>
      <c r="M727" s="6" t="s">
        <v>3899</v>
      </c>
      <c r="N727" s="6" t="s">
        <v>63</v>
      </c>
      <c r="O727" s="6" t="s">
        <v>588</v>
      </c>
      <c r="P727" s="6"/>
      <c r="Q727" s="6" t="str">
        <f>VLOOKUP(G727,seznampsc!A:B,2,FALSE)</f>
        <v>Česká Lípa</v>
      </c>
      <c r="R727" s="6" t="str">
        <f>VLOOKUP(G727,seznampsc!A:C,3,FALSE)</f>
        <v>Liberecký kraj</v>
      </c>
      <c r="S727" s="6">
        <v>50.673749099999903</v>
      </c>
      <c r="T727" s="6">
        <v>14.5350821</v>
      </c>
      <c r="U727" s="29">
        <v>0.05</v>
      </c>
      <c r="W727" s="29">
        <v>0.05</v>
      </c>
      <c r="AB727" s="3">
        <v>470</v>
      </c>
      <c r="AC727" s="3">
        <v>470</v>
      </c>
      <c r="AV727" s="3">
        <v>50000</v>
      </c>
    </row>
    <row r="728" spans="1:48" ht="24" customHeight="1" x14ac:dyDescent="0.3">
      <c r="A728" s="6" t="s">
        <v>53</v>
      </c>
      <c r="B728" s="6" t="s">
        <v>65</v>
      </c>
      <c r="C728" s="6" t="s">
        <v>4218</v>
      </c>
      <c r="D728" s="16">
        <v>28751141</v>
      </c>
      <c r="E728" s="6" t="s">
        <v>4219</v>
      </c>
      <c r="F728" s="6" t="s">
        <v>618</v>
      </c>
      <c r="G728" s="6">
        <v>46311</v>
      </c>
      <c r="H728" s="6" t="s">
        <v>1220</v>
      </c>
      <c r="I728" s="6" t="s">
        <v>620</v>
      </c>
      <c r="J728" s="6" t="s">
        <v>621</v>
      </c>
      <c r="K728" s="6">
        <v>602411214.72352397</v>
      </c>
      <c r="L728" s="6" t="s">
        <v>1676</v>
      </c>
      <c r="M728" s="6" t="s">
        <v>3899</v>
      </c>
      <c r="N728" s="6" t="s">
        <v>63</v>
      </c>
      <c r="O728" s="6" t="s">
        <v>622</v>
      </c>
      <c r="P728" s="6"/>
      <c r="Q728" s="6" t="str">
        <f>VLOOKUP(G728,seznampsc!A:B,2,FALSE)</f>
        <v>Liberec</v>
      </c>
      <c r="R728" s="6" t="str">
        <f>VLOOKUP(G728,seznampsc!A:C,3,FALSE)</f>
        <v>Liberecký kraj</v>
      </c>
      <c r="S728" s="6">
        <v>50.745570100000002</v>
      </c>
      <c r="T728" s="6">
        <v>15.085642399999999</v>
      </c>
      <c r="U728" s="29">
        <v>0.05</v>
      </c>
      <c r="AV728" s="3">
        <v>50000</v>
      </c>
    </row>
    <row r="729" spans="1:48" ht="24" customHeight="1" x14ac:dyDescent="0.3">
      <c r="A729" s="6" t="s">
        <v>53</v>
      </c>
      <c r="B729" s="6" t="s">
        <v>65</v>
      </c>
      <c r="C729" s="6" t="s">
        <v>4220</v>
      </c>
      <c r="D729" s="16">
        <v>12868841</v>
      </c>
      <c r="E729" s="6" t="s">
        <v>4221</v>
      </c>
      <c r="F729" s="6" t="s">
        <v>4222</v>
      </c>
      <c r="G729" s="6">
        <v>34401</v>
      </c>
      <c r="H729" s="6" t="s">
        <v>2232</v>
      </c>
      <c r="I729" s="6" t="s">
        <v>4223</v>
      </c>
      <c r="J729" s="6" t="s">
        <v>4224</v>
      </c>
      <c r="K729" s="6" t="s">
        <v>4225</v>
      </c>
      <c r="L729" s="6" t="s">
        <v>1676</v>
      </c>
      <c r="M729" s="6" t="s">
        <v>3899</v>
      </c>
      <c r="N729" s="6" t="s">
        <v>63</v>
      </c>
      <c r="O729" s="6" t="s">
        <v>224</v>
      </c>
      <c r="P729" s="6"/>
      <c r="Q729" s="6" t="str">
        <f>VLOOKUP(G729,seznampsc!A:B,2,FALSE)</f>
        <v>Domažlice</v>
      </c>
      <c r="R729" s="6" t="str">
        <f>VLOOKUP(G729,seznampsc!A:C,3,FALSE)</f>
        <v>Plzeňský kraj</v>
      </c>
      <c r="U729" s="29">
        <v>0.05</v>
      </c>
      <c r="AV729" s="3">
        <v>50000</v>
      </c>
    </row>
    <row r="730" spans="1:48" ht="24" customHeight="1" x14ac:dyDescent="0.3">
      <c r="A730" s="1" t="s">
        <v>381</v>
      </c>
      <c r="B730" s="1" t="s">
        <v>65</v>
      </c>
      <c r="C730" s="1" t="s">
        <v>4226</v>
      </c>
      <c r="D730" s="18" t="s">
        <v>4227</v>
      </c>
      <c r="E730" s="1" t="s">
        <v>4228</v>
      </c>
      <c r="F730" s="1" t="s">
        <v>4229</v>
      </c>
      <c r="G730" s="1">
        <v>60200</v>
      </c>
      <c r="H730" s="1" t="s">
        <v>272</v>
      </c>
      <c r="I730" s="1" t="s">
        <v>4230</v>
      </c>
      <c r="J730" s="1" t="s">
        <v>4231</v>
      </c>
      <c r="K730" s="1" t="s">
        <v>4232</v>
      </c>
      <c r="L730" s="1" t="s">
        <v>3911</v>
      </c>
      <c r="M730" s="1" t="s">
        <v>3912</v>
      </c>
      <c r="N730" s="1" t="s">
        <v>63</v>
      </c>
      <c r="O730" s="1" t="s">
        <v>109</v>
      </c>
      <c r="P730" s="1"/>
      <c r="Q730" s="1"/>
      <c r="R730" s="1"/>
      <c r="AU730" s="1" t="s">
        <v>4233</v>
      </c>
    </row>
    <row r="731" spans="1:48" ht="24" customHeight="1" x14ac:dyDescent="0.3">
      <c r="A731" s="6" t="s">
        <v>53</v>
      </c>
      <c r="B731" s="6" t="s">
        <v>65</v>
      </c>
      <c r="C731" s="6" t="s">
        <v>4234</v>
      </c>
      <c r="D731" s="16">
        <v>29379865</v>
      </c>
      <c r="E731" s="6" t="s">
        <v>4235</v>
      </c>
      <c r="F731" s="6" t="s">
        <v>4236</v>
      </c>
      <c r="G731" s="6">
        <v>63900</v>
      </c>
      <c r="H731" s="6" t="s">
        <v>272</v>
      </c>
      <c r="I731" s="6" t="s">
        <v>4237</v>
      </c>
      <c r="J731" s="6" t="s">
        <v>4238</v>
      </c>
      <c r="K731" s="6">
        <v>541210707.73908699</v>
      </c>
      <c r="L731" s="6" t="s">
        <v>1676</v>
      </c>
      <c r="M731" s="6" t="s">
        <v>3899</v>
      </c>
      <c r="N731" s="6" t="s">
        <v>63</v>
      </c>
      <c r="O731" s="6" t="s">
        <v>310</v>
      </c>
      <c r="P731" s="6"/>
      <c r="Q731" s="6" t="str">
        <f>VLOOKUP(G731,seznampsc!A:B,2,FALSE)</f>
        <v>Brno-město</v>
      </c>
      <c r="R731" s="6" t="str">
        <f>VLOOKUP(G731,seznampsc!A:C,3,FALSE)</f>
        <v>Jihomoravský kraj</v>
      </c>
      <c r="U731" s="29">
        <v>0.05</v>
      </c>
      <c r="AB731" s="3">
        <v>450</v>
      </c>
      <c r="AC731" s="3">
        <v>450</v>
      </c>
      <c r="AV731" s="3">
        <v>50000</v>
      </c>
    </row>
    <row r="732" spans="1:48" ht="24" customHeight="1" x14ac:dyDescent="0.3">
      <c r="A732" s="6" t="s">
        <v>53</v>
      </c>
      <c r="B732" s="6" t="s">
        <v>65</v>
      </c>
      <c r="C732" s="6" t="s">
        <v>3929</v>
      </c>
      <c r="D732" s="16">
        <v>5741572</v>
      </c>
      <c r="E732" s="6" t="s">
        <v>3930</v>
      </c>
      <c r="F732" s="6" t="s">
        <v>4239</v>
      </c>
      <c r="G732" s="6">
        <v>26601</v>
      </c>
      <c r="H732" s="6" t="s">
        <v>4240</v>
      </c>
      <c r="I732" s="6" t="s">
        <v>3932</v>
      </c>
      <c r="J732" s="7" t="s">
        <v>3933</v>
      </c>
      <c r="K732" s="6">
        <v>608190919</v>
      </c>
      <c r="L732" s="6" t="s">
        <v>3934</v>
      </c>
      <c r="M732" s="6" t="s">
        <v>3899</v>
      </c>
      <c r="N732" s="6" t="s">
        <v>63</v>
      </c>
      <c r="O732" s="6" t="s">
        <v>275</v>
      </c>
      <c r="P732" s="6"/>
      <c r="Q732" s="6" t="str">
        <f>VLOOKUP(G732,seznampsc!A:B,2,FALSE)</f>
        <v>Beroun</v>
      </c>
      <c r="R732" s="6" t="str">
        <f>VLOOKUP(G732,seznampsc!A:C,3,FALSE)</f>
        <v>Středočeský kraj</v>
      </c>
      <c r="U732" s="3">
        <v>0</v>
      </c>
      <c r="AA732" s="3">
        <v>5</v>
      </c>
      <c r="AB732" s="3" t="s">
        <v>3935</v>
      </c>
      <c r="AC732" s="3" t="s">
        <v>3936</v>
      </c>
      <c r="AU732" s="3" t="s">
        <v>3937</v>
      </c>
      <c r="AV732" s="3">
        <v>30000</v>
      </c>
    </row>
    <row r="733" spans="1:48" ht="24" customHeight="1" x14ac:dyDescent="0.3">
      <c r="A733" s="6" t="s">
        <v>53</v>
      </c>
      <c r="B733" s="6" t="s">
        <v>65</v>
      </c>
      <c r="C733" s="6" t="s">
        <v>4241</v>
      </c>
      <c r="D733" s="16">
        <v>44004362</v>
      </c>
      <c r="E733" s="6" t="s">
        <v>4242</v>
      </c>
      <c r="F733" s="6" t="s">
        <v>4243</v>
      </c>
      <c r="G733" s="6">
        <v>76311</v>
      </c>
      <c r="H733" s="6" t="s">
        <v>230</v>
      </c>
      <c r="I733" s="6" t="s">
        <v>4244</v>
      </c>
      <c r="J733" s="6" t="s">
        <v>4245</v>
      </c>
      <c r="K733" s="6">
        <v>608700787</v>
      </c>
      <c r="L733" s="6" t="s">
        <v>1676</v>
      </c>
      <c r="M733" s="6" t="s">
        <v>3899</v>
      </c>
      <c r="N733" s="6" t="s">
        <v>63</v>
      </c>
      <c r="O733" s="6" t="s">
        <v>310</v>
      </c>
      <c r="P733" s="6"/>
      <c r="Q733" s="6" t="str">
        <f>VLOOKUP(G733,seznampsc!A:B,2,FALSE)</f>
        <v>Zlín</v>
      </c>
      <c r="R733" s="6" t="str">
        <f>VLOOKUP(G733,seznampsc!A:C,3,FALSE)</f>
        <v>Zlínský kraj</v>
      </c>
      <c r="U733" s="29">
        <v>0.08</v>
      </c>
      <c r="AU733" s="3" t="s">
        <v>4246</v>
      </c>
      <c r="AV733" s="3">
        <v>50000</v>
      </c>
    </row>
    <row r="734" spans="1:48" ht="24" customHeight="1" x14ac:dyDescent="0.3">
      <c r="A734" s="6" t="s">
        <v>53</v>
      </c>
      <c r="B734" s="6" t="s">
        <v>65</v>
      </c>
      <c r="C734" s="6" t="s">
        <v>4241</v>
      </c>
      <c r="D734" s="16">
        <v>44004362</v>
      </c>
      <c r="E734" s="6" t="s">
        <v>4242</v>
      </c>
      <c r="F734" s="6" t="s">
        <v>4247</v>
      </c>
      <c r="G734" s="6">
        <v>76001</v>
      </c>
      <c r="H734" s="6" t="s">
        <v>230</v>
      </c>
      <c r="I734" s="6" t="s">
        <v>4244</v>
      </c>
      <c r="J734" s="6" t="s">
        <v>4248</v>
      </c>
      <c r="K734" s="6">
        <v>608700957.60870004</v>
      </c>
      <c r="L734" s="6" t="s">
        <v>1676</v>
      </c>
      <c r="M734" s="6" t="s">
        <v>3899</v>
      </c>
      <c r="N734" s="6" t="s">
        <v>63</v>
      </c>
      <c r="O734" s="6" t="s">
        <v>680</v>
      </c>
      <c r="P734" s="6"/>
      <c r="Q734" s="6" t="str">
        <f>VLOOKUP(G734,seznampsc!A:B,2,FALSE)</f>
        <v>Zlín</v>
      </c>
      <c r="R734" s="6" t="str">
        <f>VLOOKUP(G734,seznampsc!A:C,3,FALSE)</f>
        <v>Zlínský kraj</v>
      </c>
      <c r="U734" s="29">
        <v>0.08</v>
      </c>
      <c r="AU734" s="3" t="s">
        <v>4246</v>
      </c>
      <c r="AV734" s="3">
        <v>50000</v>
      </c>
    </row>
    <row r="735" spans="1:48" ht="24" customHeight="1" x14ac:dyDescent="0.3">
      <c r="A735" s="6" t="s">
        <v>53</v>
      </c>
      <c r="B735" s="6" t="s">
        <v>65</v>
      </c>
      <c r="C735" s="6" t="s">
        <v>4249</v>
      </c>
      <c r="D735" s="16">
        <v>29135516</v>
      </c>
      <c r="E735" s="6" t="s">
        <v>4250</v>
      </c>
      <c r="F735" s="6" t="s">
        <v>4251</v>
      </c>
      <c r="G735" s="6">
        <v>13000</v>
      </c>
      <c r="H735" s="6" t="s">
        <v>4252</v>
      </c>
      <c r="I735" s="6" t="s">
        <v>4253</v>
      </c>
      <c r="J735" s="6" t="s">
        <v>4254</v>
      </c>
      <c r="K735" s="6">
        <v>731151200.80005002</v>
      </c>
      <c r="L735" s="6" t="s">
        <v>1676</v>
      </c>
      <c r="M735" s="6" t="s">
        <v>3899</v>
      </c>
      <c r="N735" s="6" t="s">
        <v>63</v>
      </c>
      <c r="O735" s="6" t="s">
        <v>248</v>
      </c>
      <c r="P735" s="6"/>
      <c r="Q735" s="6" t="str">
        <f>VLOOKUP(G735,seznampsc!A:B,2,FALSE)</f>
        <v>Hlavní město Praha</v>
      </c>
      <c r="R735" s="6" t="str">
        <f>VLOOKUP(G735,seznampsc!A:C,3,FALSE)</f>
        <v>Hlavní město Praha</v>
      </c>
      <c r="U735" s="29">
        <v>0.05</v>
      </c>
      <c r="AV735" s="3">
        <v>50000</v>
      </c>
    </row>
    <row r="736" spans="1:48" ht="24" customHeight="1" x14ac:dyDescent="0.3">
      <c r="A736" s="6" t="s">
        <v>53</v>
      </c>
      <c r="B736" s="6" t="s">
        <v>65</v>
      </c>
      <c r="C736" s="6" t="s">
        <v>4255</v>
      </c>
      <c r="D736" s="16">
        <v>44713061</v>
      </c>
      <c r="E736" s="6" t="s">
        <v>4256</v>
      </c>
      <c r="F736" s="6" t="s">
        <v>4257</v>
      </c>
      <c r="G736" s="6">
        <v>26601</v>
      </c>
      <c r="H736" s="6" t="s">
        <v>4240</v>
      </c>
      <c r="I736" s="6" t="s">
        <v>4258</v>
      </c>
      <c r="J736" s="6" t="s">
        <v>4259</v>
      </c>
      <c r="K736" s="6" t="s">
        <v>4260</v>
      </c>
      <c r="L736" s="6" t="s">
        <v>1676</v>
      </c>
      <c r="M736" s="6" t="s">
        <v>3899</v>
      </c>
      <c r="N736" s="6" t="s">
        <v>63</v>
      </c>
      <c r="O736" s="6" t="s">
        <v>224</v>
      </c>
      <c r="P736" s="6"/>
      <c r="Q736" s="6" t="str">
        <f>VLOOKUP(G736,seznampsc!A:B,2,FALSE)</f>
        <v>Beroun</v>
      </c>
      <c r="R736" s="6" t="str">
        <f>VLOOKUP(G736,seznampsc!A:C,3,FALSE)</f>
        <v>Středočeský kraj</v>
      </c>
      <c r="U736" s="29">
        <v>0.05</v>
      </c>
      <c r="V736" s="29">
        <v>0.05</v>
      </c>
      <c r="AV736" s="3">
        <v>30000</v>
      </c>
    </row>
    <row r="737" spans="1:48" ht="24" customHeight="1" x14ac:dyDescent="0.3">
      <c r="A737" s="19" t="s">
        <v>381</v>
      </c>
      <c r="B737" s="19" t="s">
        <v>65</v>
      </c>
      <c r="C737" s="19" t="s">
        <v>4261</v>
      </c>
      <c r="D737" s="19" t="s">
        <v>4262</v>
      </c>
      <c r="E737" s="19" t="s">
        <v>4263</v>
      </c>
      <c r="F737" s="19" t="s">
        <v>4264</v>
      </c>
      <c r="G737" s="19">
        <v>17000</v>
      </c>
      <c r="H737" s="19" t="s">
        <v>4265</v>
      </c>
      <c r="I737" s="19" t="s">
        <v>4266</v>
      </c>
      <c r="J737" s="19" t="s">
        <v>4267</v>
      </c>
      <c r="K737" s="19" t="s">
        <v>4268</v>
      </c>
      <c r="L737" s="19" t="s">
        <v>3911</v>
      </c>
      <c r="M737" s="19" t="s">
        <v>3912</v>
      </c>
      <c r="N737" s="19" t="s">
        <v>63</v>
      </c>
      <c r="O737" s="19" t="s">
        <v>248</v>
      </c>
      <c r="P737" s="19"/>
      <c r="Q737" s="19"/>
      <c r="R737" s="19"/>
      <c r="U737" s="29">
        <v>0.05</v>
      </c>
      <c r="AB737" s="3" t="s">
        <v>3935</v>
      </c>
      <c r="AC737" s="3" t="s">
        <v>3935</v>
      </c>
      <c r="AU737" s="20"/>
      <c r="AV737" s="3">
        <v>50000</v>
      </c>
    </row>
    <row r="738" spans="1:48" ht="24" customHeight="1" x14ac:dyDescent="0.3">
      <c r="A738" s="19" t="s">
        <v>381</v>
      </c>
      <c r="B738" s="19" t="s">
        <v>65</v>
      </c>
      <c r="C738" s="19" t="s">
        <v>4261</v>
      </c>
      <c r="D738" s="19" t="s">
        <v>4262</v>
      </c>
      <c r="E738" s="19" t="s">
        <v>4263</v>
      </c>
      <c r="F738" s="19" t="s">
        <v>4269</v>
      </c>
      <c r="G738" s="19">
        <v>25241</v>
      </c>
      <c r="H738" s="19" t="s">
        <v>4270</v>
      </c>
      <c r="I738" s="19" t="s">
        <v>4266</v>
      </c>
      <c r="J738" s="19" t="s">
        <v>4271</v>
      </c>
      <c r="K738" s="19" t="s">
        <v>4272</v>
      </c>
      <c r="L738" s="19" t="s">
        <v>3911</v>
      </c>
      <c r="M738" s="19" t="s">
        <v>3912</v>
      </c>
      <c r="N738" s="19" t="s">
        <v>63</v>
      </c>
      <c r="O738" s="19" t="s">
        <v>248</v>
      </c>
      <c r="P738" s="19"/>
      <c r="Q738" s="19"/>
      <c r="R738" s="19"/>
      <c r="U738" s="29">
        <v>0.05</v>
      </c>
      <c r="AU738" s="20"/>
      <c r="AV738" s="3">
        <v>50000</v>
      </c>
    </row>
    <row r="739" spans="1:48" ht="24" customHeight="1" x14ac:dyDescent="0.3">
      <c r="A739" s="6" t="s">
        <v>53</v>
      </c>
      <c r="B739" s="6" t="s">
        <v>65</v>
      </c>
      <c r="C739" s="6" t="s">
        <v>4261</v>
      </c>
      <c r="D739" s="16">
        <v>28866738</v>
      </c>
      <c r="E739" s="6" t="s">
        <v>4273</v>
      </c>
      <c r="F739" s="6" t="s">
        <v>4274</v>
      </c>
      <c r="G739" s="6">
        <v>14300</v>
      </c>
      <c r="H739" s="6" t="s">
        <v>299</v>
      </c>
      <c r="I739" s="6" t="s">
        <v>4275</v>
      </c>
      <c r="J739" s="6" t="s">
        <v>4267</v>
      </c>
      <c r="K739" s="6" t="s">
        <v>4276</v>
      </c>
      <c r="L739" s="6" t="s">
        <v>1676</v>
      </c>
      <c r="M739" s="6" t="s">
        <v>3899</v>
      </c>
      <c r="N739" s="6" t="s">
        <v>63</v>
      </c>
      <c r="O739" s="6" t="s">
        <v>248</v>
      </c>
      <c r="P739" s="6"/>
      <c r="Q739" s="6" t="str">
        <f>VLOOKUP(G739,seznampsc!A:B,2,FALSE)</f>
        <v>Hlavní město Praha</v>
      </c>
      <c r="R739" s="6" t="str">
        <f>VLOOKUP(G739,seznampsc!A:C,3,FALSE)</f>
        <v>Hlavní město Praha</v>
      </c>
      <c r="U739" s="29">
        <v>0.05</v>
      </c>
      <c r="AV739" s="3">
        <v>50000</v>
      </c>
    </row>
    <row r="740" spans="1:48" ht="24" customHeight="1" x14ac:dyDescent="0.3">
      <c r="A740" s="6" t="s">
        <v>53</v>
      </c>
      <c r="B740" s="6" t="s">
        <v>65</v>
      </c>
      <c r="C740" s="6" t="s">
        <v>4277</v>
      </c>
      <c r="D740" s="16">
        <v>27557529</v>
      </c>
      <c r="E740" s="6" t="s">
        <v>4278</v>
      </c>
      <c r="F740" s="6" t="s">
        <v>4279</v>
      </c>
      <c r="G740" s="6">
        <v>50012</v>
      </c>
      <c r="H740" s="6" t="s">
        <v>4280</v>
      </c>
      <c r="I740" s="6" t="s">
        <v>4281</v>
      </c>
      <c r="J740" s="6" t="s">
        <v>4282</v>
      </c>
      <c r="K740" s="6" t="s">
        <v>4283</v>
      </c>
      <c r="L740" s="6" t="s">
        <v>1676</v>
      </c>
      <c r="M740" s="6" t="s">
        <v>3899</v>
      </c>
      <c r="N740" s="6" t="s">
        <v>63</v>
      </c>
      <c r="O740" s="6" t="s">
        <v>4284</v>
      </c>
      <c r="P740" s="6"/>
      <c r="Q740" s="6" t="str">
        <f>VLOOKUP(G740,seznampsc!A:B,2,FALSE)</f>
        <v>Hradec Králové</v>
      </c>
      <c r="R740" s="6" t="str">
        <f>VLOOKUP(G740,seznampsc!A:C,3,FALSE)</f>
        <v>Královéhradecký kraj</v>
      </c>
      <c r="U740" s="29">
        <v>0.05</v>
      </c>
      <c r="AB740" s="3">
        <v>450</v>
      </c>
      <c r="AC740" s="3">
        <v>450</v>
      </c>
    </row>
    <row r="741" spans="1:48" ht="24" customHeight="1" x14ac:dyDescent="0.3">
      <c r="A741" s="1" t="s">
        <v>381</v>
      </c>
      <c r="B741" s="1" t="s">
        <v>65</v>
      </c>
      <c r="C741" s="1" t="s">
        <v>4285</v>
      </c>
      <c r="D741" s="18" t="s">
        <v>4286</v>
      </c>
      <c r="E741" s="1" t="s">
        <v>4287</v>
      </c>
      <c r="F741" s="1" t="s">
        <v>4288</v>
      </c>
      <c r="G741" s="1">
        <v>69617</v>
      </c>
      <c r="H741" s="1" t="s">
        <v>4289</v>
      </c>
      <c r="I741" s="1" t="s">
        <v>4290</v>
      </c>
      <c r="J741" s="1" t="s">
        <v>4291</v>
      </c>
      <c r="K741" s="1" t="s">
        <v>4292</v>
      </c>
      <c r="L741" s="1" t="s">
        <v>3911</v>
      </c>
      <c r="M741" s="1" t="s">
        <v>3912</v>
      </c>
      <c r="N741" s="1" t="s">
        <v>63</v>
      </c>
      <c r="O741" s="1" t="s">
        <v>693</v>
      </c>
      <c r="P741" s="1"/>
      <c r="Q741" s="1"/>
      <c r="R741" s="1"/>
      <c r="AU741" s="1" t="s">
        <v>4293</v>
      </c>
    </row>
    <row r="742" spans="1:48" ht="24" customHeight="1" x14ac:dyDescent="0.3">
      <c r="A742" s="1" t="s">
        <v>381</v>
      </c>
      <c r="B742" s="1" t="s">
        <v>65</v>
      </c>
      <c r="C742" s="1" t="s">
        <v>4294</v>
      </c>
      <c r="D742" s="18" t="s">
        <v>4295</v>
      </c>
      <c r="E742" s="1" t="s">
        <v>4296</v>
      </c>
      <c r="F742" s="1" t="s">
        <v>4297</v>
      </c>
      <c r="G742" s="1">
        <v>69501</v>
      </c>
      <c r="H742" s="1" t="s">
        <v>1207</v>
      </c>
      <c r="I742" s="1" t="s">
        <v>4298</v>
      </c>
      <c r="J742" s="1" t="s">
        <v>4299</v>
      </c>
      <c r="K742" s="1" t="s">
        <v>4300</v>
      </c>
      <c r="L742" s="1" t="s">
        <v>3911</v>
      </c>
      <c r="M742" s="1" t="s">
        <v>3912</v>
      </c>
      <c r="N742" s="1" t="s">
        <v>63</v>
      </c>
      <c r="O742" s="1" t="s">
        <v>224</v>
      </c>
      <c r="P742" s="1"/>
      <c r="Q742" s="1"/>
      <c r="R742" s="1"/>
      <c r="AU742" s="4" t="s">
        <v>4301</v>
      </c>
    </row>
    <row r="743" spans="1:48" ht="24" customHeight="1" x14ac:dyDescent="0.3">
      <c r="A743" s="6" t="s">
        <v>53</v>
      </c>
      <c r="B743" s="6" t="s">
        <v>65</v>
      </c>
      <c r="C743" s="6" t="s">
        <v>4302</v>
      </c>
      <c r="D743" s="16">
        <v>12362697</v>
      </c>
      <c r="E743" s="6" t="s">
        <v>4303</v>
      </c>
      <c r="F743" s="6" t="s">
        <v>4304</v>
      </c>
      <c r="G743" s="6">
        <v>28802</v>
      </c>
      <c r="H743" s="6" t="s">
        <v>4305</v>
      </c>
      <c r="I743" s="6" t="s">
        <v>4306</v>
      </c>
      <c r="J743" s="6" t="s">
        <v>4307</v>
      </c>
      <c r="K743" s="6">
        <v>736113021</v>
      </c>
      <c r="L743" s="6" t="s">
        <v>1676</v>
      </c>
      <c r="M743" s="6" t="s">
        <v>3899</v>
      </c>
      <c r="N743" s="6" t="s">
        <v>63</v>
      </c>
      <c r="O743" s="6" t="s">
        <v>216</v>
      </c>
      <c r="P743" s="6"/>
      <c r="Q743" s="6" t="str">
        <f>VLOOKUP(G743,seznampsc!A:B,2,FALSE)</f>
        <v>Nymburk</v>
      </c>
      <c r="R743" s="6" t="str">
        <f>VLOOKUP(G743,seznampsc!A:C,3,FALSE)</f>
        <v>Středočeský kraj</v>
      </c>
      <c r="U743" s="29">
        <v>0.05</v>
      </c>
      <c r="AB743" s="3" t="s">
        <v>3935</v>
      </c>
      <c r="AC743" s="3" t="s">
        <v>3935</v>
      </c>
      <c r="AV743" s="3">
        <v>50000</v>
      </c>
    </row>
    <row r="744" spans="1:48" ht="24" customHeight="1" x14ac:dyDescent="0.3">
      <c r="A744" s="6" t="s">
        <v>53</v>
      </c>
      <c r="B744" s="6" t="s">
        <v>65</v>
      </c>
      <c r="C744" s="6" t="s">
        <v>4302</v>
      </c>
      <c r="D744" s="16">
        <v>12362697</v>
      </c>
      <c r="E744" s="6" t="s">
        <v>4303</v>
      </c>
      <c r="F744" s="6" t="s">
        <v>4308</v>
      </c>
      <c r="G744" s="6">
        <v>25601</v>
      </c>
      <c r="H744" s="6" t="s">
        <v>2372</v>
      </c>
      <c r="I744" s="6" t="s">
        <v>4309</v>
      </c>
      <c r="J744" s="6" t="s">
        <v>4310</v>
      </c>
      <c r="K744" s="6">
        <v>605222726.31770003</v>
      </c>
      <c r="L744" s="6" t="s">
        <v>1676</v>
      </c>
      <c r="M744" s="6" t="s">
        <v>3899</v>
      </c>
      <c r="N744" s="6" t="s">
        <v>63</v>
      </c>
      <c r="O744" s="6" t="s">
        <v>216</v>
      </c>
      <c r="P744" s="6"/>
      <c r="Q744" s="6" t="str">
        <f>VLOOKUP(G744,seznampsc!A:B,2,FALSE)</f>
        <v>Benešov</v>
      </c>
      <c r="R744" s="6" t="str">
        <f>VLOOKUP(G744,seznampsc!A:C,3,FALSE)</f>
        <v>Středočeský kraj</v>
      </c>
      <c r="U744" s="29">
        <v>0.05</v>
      </c>
      <c r="AB744" s="3" t="s">
        <v>3935</v>
      </c>
      <c r="AC744" s="3" t="s">
        <v>3935</v>
      </c>
      <c r="AV744" s="3">
        <v>50000</v>
      </c>
    </row>
    <row r="745" spans="1:48" ht="24" customHeight="1" x14ac:dyDescent="0.3">
      <c r="A745" s="6" t="s">
        <v>53</v>
      </c>
      <c r="B745" s="6" t="s">
        <v>65</v>
      </c>
      <c r="C745" s="6" t="s">
        <v>4302</v>
      </c>
      <c r="D745" s="16">
        <v>12362697</v>
      </c>
      <c r="E745" s="6" t="s">
        <v>4303</v>
      </c>
      <c r="F745" s="6" t="s">
        <v>4311</v>
      </c>
      <c r="G745" s="6">
        <v>28401</v>
      </c>
      <c r="H745" s="6" t="s">
        <v>1835</v>
      </c>
      <c r="I745" s="6" t="s">
        <v>4312</v>
      </c>
      <c r="J745" s="6" t="s">
        <v>4313</v>
      </c>
      <c r="K745" s="6">
        <v>603829590.32751298</v>
      </c>
      <c r="L745" s="6" t="s">
        <v>1676</v>
      </c>
      <c r="M745" s="6" t="s">
        <v>3899</v>
      </c>
      <c r="N745" s="6" t="s">
        <v>63</v>
      </c>
      <c r="O745" s="6" t="s">
        <v>216</v>
      </c>
      <c r="P745" s="6"/>
      <c r="Q745" s="6" t="str">
        <f>VLOOKUP(G745,seznampsc!A:B,2,FALSE)</f>
        <v>Kutná Hora</v>
      </c>
      <c r="R745" s="6" t="str">
        <f>VLOOKUP(G745,seznampsc!A:C,3,FALSE)</f>
        <v>Středočeský kraj</v>
      </c>
      <c r="U745" s="29">
        <v>0.05</v>
      </c>
      <c r="AB745" s="3" t="s">
        <v>3935</v>
      </c>
      <c r="AC745" s="3" t="s">
        <v>3935</v>
      </c>
      <c r="AV745" s="3">
        <v>50000</v>
      </c>
    </row>
    <row r="746" spans="1:48" ht="24" customHeight="1" x14ac:dyDescent="0.3">
      <c r="A746" s="6" t="s">
        <v>53</v>
      </c>
      <c r="B746" s="6" t="s">
        <v>65</v>
      </c>
      <c r="C746" s="6" t="s">
        <v>4314</v>
      </c>
      <c r="D746" s="16">
        <v>24133426</v>
      </c>
      <c r="E746" s="6" t="s">
        <v>4315</v>
      </c>
      <c r="F746" s="6" t="s">
        <v>4316</v>
      </c>
      <c r="G746" s="6">
        <v>10000</v>
      </c>
      <c r="H746" s="6" t="s">
        <v>3220</v>
      </c>
      <c r="I746" s="6" t="s">
        <v>4317</v>
      </c>
      <c r="J746" s="6" t="s">
        <v>4318</v>
      </c>
      <c r="K746" s="6" t="s">
        <v>4319</v>
      </c>
      <c r="L746" s="6" t="s">
        <v>1676</v>
      </c>
      <c r="M746" s="6" t="s">
        <v>3899</v>
      </c>
      <c r="N746" s="6" t="s">
        <v>63</v>
      </c>
      <c r="O746" s="6" t="s">
        <v>248</v>
      </c>
      <c r="P746" s="6"/>
      <c r="Q746" s="6" t="str">
        <f>VLOOKUP(G746,seznampsc!A:B,2,FALSE)</f>
        <v>Hlavní město Praha</v>
      </c>
      <c r="R746" s="6" t="str">
        <f>VLOOKUP(G746,seznampsc!A:C,3,FALSE)</f>
        <v>Hlavní město Praha</v>
      </c>
      <c r="V746" s="29">
        <v>0.05</v>
      </c>
      <c r="AB746" s="3">
        <v>450</v>
      </c>
      <c r="AC746" s="3">
        <v>450</v>
      </c>
      <c r="AV746" s="3">
        <v>50000</v>
      </c>
    </row>
    <row r="747" spans="1:48" ht="24" customHeight="1" x14ac:dyDescent="0.3">
      <c r="A747" s="6" t="s">
        <v>53</v>
      </c>
      <c r="B747" s="6" t="s">
        <v>65</v>
      </c>
      <c r="C747" s="6" t="s">
        <v>4320</v>
      </c>
      <c r="D747" s="16">
        <v>8909598</v>
      </c>
      <c r="E747" s="6" t="s">
        <v>4321</v>
      </c>
      <c r="F747" s="6" t="s">
        <v>4322</v>
      </c>
      <c r="G747" s="6">
        <v>69801</v>
      </c>
      <c r="H747" s="6" t="s">
        <v>4323</v>
      </c>
      <c r="I747" s="6" t="s">
        <v>4324</v>
      </c>
      <c r="J747" s="6" t="s">
        <v>4325</v>
      </c>
      <c r="K747" s="6">
        <v>776773707</v>
      </c>
      <c r="L747" s="6" t="s">
        <v>1676</v>
      </c>
      <c r="M747" s="6" t="s">
        <v>3899</v>
      </c>
      <c r="N747" s="6" t="s">
        <v>63</v>
      </c>
      <c r="O747" s="6" t="s">
        <v>224</v>
      </c>
      <c r="P747" s="6"/>
      <c r="Q747" s="6" t="str">
        <f>VLOOKUP(G747,seznampsc!A:B,2,FALSE)</f>
        <v>Hodonín</v>
      </c>
      <c r="R747" s="6" t="str">
        <f>VLOOKUP(G747,seznampsc!A:C,3,FALSE)</f>
        <v>Jihomoravský kraj</v>
      </c>
      <c r="U747" s="29">
        <v>0.05</v>
      </c>
      <c r="AV747" s="3">
        <v>50000</v>
      </c>
    </row>
    <row r="748" spans="1:48" ht="24" customHeight="1" x14ac:dyDescent="0.3">
      <c r="A748" s="6" t="s">
        <v>53</v>
      </c>
      <c r="B748" s="6" t="s">
        <v>65</v>
      </c>
      <c r="C748" s="6" t="s">
        <v>4326</v>
      </c>
      <c r="D748" s="16">
        <v>29211603</v>
      </c>
      <c r="E748" s="6" t="s">
        <v>4327</v>
      </c>
      <c r="F748" s="6" t="s">
        <v>4328</v>
      </c>
      <c r="G748" s="6">
        <v>61800</v>
      </c>
      <c r="H748" s="6" t="s">
        <v>272</v>
      </c>
      <c r="I748" s="6" t="s">
        <v>4329</v>
      </c>
      <c r="J748" s="6" t="s">
        <v>4330</v>
      </c>
      <c r="K748" s="6">
        <v>724206816</v>
      </c>
      <c r="L748" s="6" t="s">
        <v>1676</v>
      </c>
      <c r="M748" s="6" t="s">
        <v>3899</v>
      </c>
      <c r="N748" s="6" t="s">
        <v>63</v>
      </c>
      <c r="O748" s="6" t="s">
        <v>4331</v>
      </c>
      <c r="P748" s="6"/>
      <c r="Q748" s="6" t="str">
        <f>VLOOKUP(G748,seznampsc!A:B,2,FALSE)</f>
        <v>Brno-město</v>
      </c>
      <c r="R748" s="6" t="str">
        <f>VLOOKUP(G748,seznampsc!A:C,3,FALSE)</f>
        <v>Jihomoravský kraj</v>
      </c>
      <c r="U748" s="29">
        <v>0.05</v>
      </c>
      <c r="AV748" s="3">
        <v>50000</v>
      </c>
    </row>
    <row r="749" spans="1:48" ht="24" customHeight="1" x14ac:dyDescent="0.3">
      <c r="A749" s="6" t="s">
        <v>53</v>
      </c>
      <c r="B749" s="6" t="s">
        <v>65</v>
      </c>
      <c r="C749" s="6" t="s">
        <v>4332</v>
      </c>
      <c r="D749" s="16">
        <v>73840742</v>
      </c>
      <c r="E749" s="6" t="s">
        <v>4333</v>
      </c>
      <c r="F749" s="6" t="s">
        <v>4334</v>
      </c>
      <c r="G749" s="6">
        <v>26729</v>
      </c>
      <c r="H749" s="6" t="s">
        <v>4335</v>
      </c>
      <c r="I749" s="6" t="s">
        <v>4336</v>
      </c>
      <c r="J749" s="6" t="s">
        <v>4337</v>
      </c>
      <c r="K749" s="6">
        <v>723583505</v>
      </c>
      <c r="L749" s="6" t="s">
        <v>1676</v>
      </c>
      <c r="M749" s="6" t="s">
        <v>3899</v>
      </c>
      <c r="N749" s="6" t="s">
        <v>63</v>
      </c>
      <c r="O749" s="6" t="s">
        <v>622</v>
      </c>
      <c r="P749" s="6"/>
      <c r="Q749" s="6" t="str">
        <f>VLOOKUP(G749,seznampsc!A:B,2,FALSE)</f>
        <v>Beroun</v>
      </c>
      <c r="R749" s="6" t="str">
        <f>VLOOKUP(G749,seznampsc!A:C,3,FALSE)</f>
        <v>Středočeský kraj</v>
      </c>
      <c r="U749" s="29">
        <v>0.05</v>
      </c>
      <c r="AV749" s="3">
        <v>30000</v>
      </c>
    </row>
    <row r="750" spans="1:48" ht="24" customHeight="1" x14ac:dyDescent="0.3">
      <c r="A750" s="6" t="s">
        <v>53</v>
      </c>
      <c r="B750" s="6" t="s">
        <v>65</v>
      </c>
      <c r="C750" s="6" t="s">
        <v>4338</v>
      </c>
      <c r="D750" s="16">
        <v>6289771</v>
      </c>
      <c r="E750" s="6" t="s">
        <v>4339</v>
      </c>
      <c r="F750" s="6" t="s">
        <v>4340</v>
      </c>
      <c r="G750" s="6">
        <v>26901</v>
      </c>
      <c r="H750" s="6" t="s">
        <v>1789</v>
      </c>
      <c r="I750" s="6" t="s">
        <v>4341</v>
      </c>
      <c r="J750" s="6" t="s">
        <v>4342</v>
      </c>
      <c r="K750" s="6">
        <v>602234535</v>
      </c>
      <c r="L750" s="6" t="s">
        <v>1676</v>
      </c>
      <c r="M750" s="6" t="s">
        <v>3899</v>
      </c>
      <c r="N750" s="6" t="s">
        <v>63</v>
      </c>
      <c r="O750" s="6" t="s">
        <v>224</v>
      </c>
      <c r="P750" s="6"/>
      <c r="Q750" s="6" t="str">
        <f>VLOOKUP(G750,seznampsc!A:B,2,FALSE)</f>
        <v>Rakovník</v>
      </c>
      <c r="R750" s="6" t="str">
        <f>VLOOKUP(G750,seznampsc!A:C,3,FALSE)</f>
        <v>Středočeský kraj</v>
      </c>
      <c r="U750" s="29">
        <v>0.05</v>
      </c>
      <c r="AV750" s="3">
        <v>30000</v>
      </c>
    </row>
    <row r="751" spans="1:48" ht="24" customHeight="1" x14ac:dyDescent="0.3">
      <c r="A751" s="6" t="s">
        <v>53</v>
      </c>
      <c r="B751" s="6" t="s">
        <v>65</v>
      </c>
      <c r="C751" s="6" t="s">
        <v>4343</v>
      </c>
      <c r="D751" s="16">
        <v>7669976</v>
      </c>
      <c r="E751" s="6" t="s">
        <v>4344</v>
      </c>
      <c r="F751" s="6" t="s">
        <v>4345</v>
      </c>
      <c r="G751" s="6">
        <v>19300</v>
      </c>
      <c r="H751" s="6" t="s">
        <v>80</v>
      </c>
      <c r="I751" s="6" t="s">
        <v>4346</v>
      </c>
      <c r="J751" s="6" t="s">
        <v>4347</v>
      </c>
      <c r="K751" s="6">
        <v>731100009</v>
      </c>
      <c r="L751" s="6" t="s">
        <v>1676</v>
      </c>
      <c r="M751" s="6" t="s">
        <v>3899</v>
      </c>
      <c r="N751" s="6" t="s">
        <v>63</v>
      </c>
      <c r="O751" s="6" t="s">
        <v>224</v>
      </c>
      <c r="P751" s="6"/>
      <c r="Q751" s="6" t="str">
        <f>VLOOKUP(G751,seznampsc!A:B,2,FALSE)</f>
        <v>Hlavní město Praha</v>
      </c>
      <c r="R751" s="6" t="str">
        <f>VLOOKUP(G751,seznampsc!A:C,3,FALSE)</f>
        <v>Hlavní město Praha</v>
      </c>
      <c r="U751" s="29">
        <v>0.05</v>
      </c>
      <c r="AB751" s="3" t="s">
        <v>3935</v>
      </c>
      <c r="AC751" s="3" t="s">
        <v>3935</v>
      </c>
      <c r="AV751" s="3">
        <v>30000</v>
      </c>
    </row>
    <row r="752" spans="1:48" ht="24" customHeight="1" x14ac:dyDescent="0.3">
      <c r="A752" s="6" t="s">
        <v>53</v>
      </c>
      <c r="B752" s="6" t="s">
        <v>65</v>
      </c>
      <c r="C752" s="6" t="s">
        <v>4343</v>
      </c>
      <c r="D752" s="16">
        <v>7669976</v>
      </c>
      <c r="E752" s="6" t="s">
        <v>4344</v>
      </c>
      <c r="F752" s="6" t="s">
        <v>4348</v>
      </c>
      <c r="G752" s="6">
        <v>25001</v>
      </c>
      <c r="H752" s="6" t="s">
        <v>1895</v>
      </c>
      <c r="I752" s="6" t="s">
        <v>4349</v>
      </c>
      <c r="J752" s="6" t="s">
        <v>4347</v>
      </c>
      <c r="K752" s="6">
        <v>731100008</v>
      </c>
      <c r="L752" s="6" t="s">
        <v>1676</v>
      </c>
      <c r="M752" s="6" t="s">
        <v>3899</v>
      </c>
      <c r="N752" s="6" t="s">
        <v>63</v>
      </c>
      <c r="O752" s="6" t="s">
        <v>224</v>
      </c>
      <c r="P752" s="6"/>
      <c r="Q752" s="6" t="str">
        <f>VLOOKUP(G752,seznampsc!A:B,2,FALSE)</f>
        <v>Praha-východ</v>
      </c>
      <c r="R752" s="6" t="str">
        <f>VLOOKUP(G752,seznampsc!A:C,3,FALSE)</f>
        <v>Středočeský kraj</v>
      </c>
      <c r="U752" s="29">
        <v>0.05</v>
      </c>
      <c r="AB752" s="3" t="s">
        <v>3935</v>
      </c>
      <c r="AC752" s="3" t="s">
        <v>3935</v>
      </c>
      <c r="AV752" s="3">
        <v>30000</v>
      </c>
    </row>
    <row r="753" spans="1:48" ht="24" customHeight="1" x14ac:dyDescent="0.3">
      <c r="A753" s="3" t="s">
        <v>53</v>
      </c>
      <c r="B753" s="3" t="s">
        <v>4350</v>
      </c>
      <c r="C753" s="3" t="s">
        <v>4351</v>
      </c>
      <c r="D753" s="3">
        <v>3664279</v>
      </c>
      <c r="E753" s="3" t="s">
        <v>4352</v>
      </c>
      <c r="F753" s="21" t="s">
        <v>4353</v>
      </c>
      <c r="G753" s="3">
        <v>17000</v>
      </c>
      <c r="H753" s="3" t="s">
        <v>707</v>
      </c>
      <c r="I753" s="3" t="s">
        <v>4354</v>
      </c>
      <c r="J753" s="7" t="s">
        <v>4355</v>
      </c>
      <c r="K753" s="3">
        <v>800900860</v>
      </c>
      <c r="L753" s="6" t="s">
        <v>1676</v>
      </c>
      <c r="M753" s="3" t="s">
        <v>3899</v>
      </c>
      <c r="N753" s="3" t="s">
        <v>63</v>
      </c>
      <c r="O753" s="3" t="s">
        <v>787</v>
      </c>
      <c r="Q753" s="6" t="str">
        <f>VLOOKUP(G753,seznampsc!A:B,2,FALSE)</f>
        <v>Hlavní město Praha</v>
      </c>
      <c r="R753" s="6" t="str">
        <f>VLOOKUP(G753,seznampsc!A:C,3,FALSE)</f>
        <v>Hlavní město Praha</v>
      </c>
      <c r="S753" s="3" t="s">
        <v>4356</v>
      </c>
      <c r="T753" s="3" t="s">
        <v>4357</v>
      </c>
      <c r="AU753" s="3" t="s">
        <v>4358</v>
      </c>
      <c r="AV753" s="3">
        <v>100000</v>
      </c>
    </row>
    <row r="754" spans="1:48" ht="24" customHeight="1" x14ac:dyDescent="0.3">
      <c r="A754" s="3" t="s">
        <v>53</v>
      </c>
      <c r="B754" s="3" t="s">
        <v>4350</v>
      </c>
      <c r="C754" s="3" t="s">
        <v>4351</v>
      </c>
      <c r="D754" s="3">
        <v>3664279</v>
      </c>
      <c r="E754" s="3" t="s">
        <v>4352</v>
      </c>
      <c r="F754" s="3" t="s">
        <v>4359</v>
      </c>
      <c r="G754" s="3">
        <v>19000</v>
      </c>
      <c r="H754" s="3" t="s">
        <v>4360</v>
      </c>
      <c r="I754" s="3" t="s">
        <v>4354</v>
      </c>
      <c r="J754" s="7" t="s">
        <v>4355</v>
      </c>
      <c r="K754" s="3">
        <v>800900860</v>
      </c>
      <c r="L754" s="6" t="s">
        <v>1676</v>
      </c>
      <c r="M754" s="3" t="s">
        <v>3899</v>
      </c>
      <c r="N754" s="3" t="s">
        <v>63</v>
      </c>
      <c r="O754" s="3" t="s">
        <v>787</v>
      </c>
      <c r="Q754" s="6" t="str">
        <f>VLOOKUP(G754,seznampsc!A:B,2,FALSE)</f>
        <v>Hlavní město Praha</v>
      </c>
      <c r="R754" s="6" t="str">
        <f>VLOOKUP(G754,seznampsc!A:C,3,FALSE)</f>
        <v>Hlavní město Praha</v>
      </c>
      <c r="S754" s="3">
        <v>50.136117900000002</v>
      </c>
      <c r="T754" s="3">
        <v>14.5205758</v>
      </c>
      <c r="AV754" s="3">
        <v>100000</v>
      </c>
    </row>
    <row r="755" spans="1:48" ht="24" customHeight="1" x14ac:dyDescent="0.3">
      <c r="A755" s="3" t="s">
        <v>53</v>
      </c>
      <c r="B755" s="3" t="s">
        <v>4350</v>
      </c>
      <c r="C755" s="3" t="s">
        <v>4351</v>
      </c>
      <c r="D755" s="3">
        <v>3664279</v>
      </c>
      <c r="E755" s="3" t="s">
        <v>4352</v>
      </c>
      <c r="F755" s="3" t="s">
        <v>4361</v>
      </c>
      <c r="G755" s="3">
        <v>10000</v>
      </c>
      <c r="H755" s="3" t="s">
        <v>80</v>
      </c>
      <c r="I755" s="3" t="s">
        <v>4354</v>
      </c>
      <c r="J755" s="7" t="s">
        <v>4355</v>
      </c>
      <c r="K755" s="3">
        <v>800900860</v>
      </c>
      <c r="L755" s="6" t="s">
        <v>1676</v>
      </c>
      <c r="M755" s="3" t="s">
        <v>3899</v>
      </c>
      <c r="N755" s="3" t="s">
        <v>63</v>
      </c>
      <c r="O755" s="3" t="s">
        <v>787</v>
      </c>
      <c r="Q755" s="6" t="str">
        <f>VLOOKUP(G755,seznampsc!A:B,2,FALSE)</f>
        <v>Hlavní město Praha</v>
      </c>
      <c r="R755" s="6" t="str">
        <f>VLOOKUP(G755,seznampsc!A:C,3,FALSE)</f>
        <v>Hlavní město Praha</v>
      </c>
      <c r="S755" s="3">
        <v>50.064317000000003</v>
      </c>
      <c r="T755" s="3">
        <v>14.503624200000001</v>
      </c>
      <c r="AV755" s="3">
        <v>100000</v>
      </c>
    </row>
    <row r="756" spans="1:48" ht="24" customHeight="1" x14ac:dyDescent="0.3">
      <c r="A756" s="3" t="s">
        <v>53</v>
      </c>
      <c r="B756" s="3" t="s">
        <v>4350</v>
      </c>
      <c r="C756" s="3" t="s">
        <v>4351</v>
      </c>
      <c r="D756" s="3">
        <v>3664279</v>
      </c>
      <c r="E756" s="3" t="s">
        <v>4352</v>
      </c>
      <c r="F756" s="3" t="s">
        <v>4362</v>
      </c>
      <c r="G756" s="3">
        <v>15000</v>
      </c>
      <c r="H756" s="3" t="s">
        <v>80</v>
      </c>
      <c r="I756" s="3" t="s">
        <v>4354</v>
      </c>
      <c r="J756" s="7" t="s">
        <v>4355</v>
      </c>
      <c r="K756" s="3">
        <v>800900860</v>
      </c>
      <c r="L756" s="6" t="s">
        <v>1676</v>
      </c>
      <c r="M756" s="3" t="s">
        <v>3899</v>
      </c>
      <c r="N756" s="3" t="s">
        <v>63</v>
      </c>
      <c r="O756" s="3" t="s">
        <v>787</v>
      </c>
      <c r="Q756" s="6" t="str">
        <f>VLOOKUP(G756,seznampsc!A:B,2,FALSE)</f>
        <v>Hlavní město Praha</v>
      </c>
      <c r="R756" s="6" t="str">
        <f>VLOOKUP(G756,seznampsc!A:C,3,FALSE)</f>
        <v>Hlavní město Praha</v>
      </c>
      <c r="S756" s="3">
        <v>50.061788300000003</v>
      </c>
      <c r="T756" s="3">
        <v>14.403015699999999</v>
      </c>
      <c r="AV756" s="3">
        <v>100000</v>
      </c>
    </row>
    <row r="757" spans="1:48" ht="24" customHeight="1" x14ac:dyDescent="0.3">
      <c r="A757" s="3" t="s">
        <v>53</v>
      </c>
      <c r="B757" s="3" t="s">
        <v>4350</v>
      </c>
      <c r="C757" s="3" t="s">
        <v>4351</v>
      </c>
      <c r="D757" s="3">
        <v>3664279</v>
      </c>
      <c r="E757" s="3" t="s">
        <v>4363</v>
      </c>
      <c r="F757" s="3" t="s">
        <v>4364</v>
      </c>
      <c r="G757" s="3">
        <v>41503</v>
      </c>
      <c r="H757" s="3" t="s">
        <v>2648</v>
      </c>
      <c r="I757" s="3" t="s">
        <v>4354</v>
      </c>
      <c r="J757" s="7" t="s">
        <v>4355</v>
      </c>
      <c r="K757" s="3">
        <v>800900860</v>
      </c>
      <c r="L757" s="6" t="s">
        <v>1676</v>
      </c>
      <c r="M757" s="3" t="s">
        <v>3899</v>
      </c>
      <c r="N757" s="3" t="s">
        <v>63</v>
      </c>
      <c r="O757" s="3" t="s">
        <v>787</v>
      </c>
      <c r="Q757" s="6" t="str">
        <f>VLOOKUP(G757,seznampsc!A:B,2,FALSE)</f>
        <v>Teplice</v>
      </c>
      <c r="R757" s="6" t="str">
        <f>VLOOKUP(G757,seznampsc!A:C,3,FALSE)</f>
        <v>Ústecký kraj</v>
      </c>
      <c r="S757" s="3">
        <v>50.644399800000002</v>
      </c>
      <c r="T757" s="3">
        <v>13.816999900000001</v>
      </c>
      <c r="AV757" s="3">
        <v>100000</v>
      </c>
    </row>
    <row r="758" spans="1:48" ht="24" customHeight="1" x14ac:dyDescent="0.3">
      <c r="A758" s="3" t="s">
        <v>53</v>
      </c>
      <c r="B758" s="3" t="s">
        <v>4350</v>
      </c>
      <c r="C758" s="3" t="s">
        <v>4351</v>
      </c>
      <c r="D758" s="3">
        <v>3664279</v>
      </c>
      <c r="E758" s="3" t="s">
        <v>4365</v>
      </c>
      <c r="F758" s="3" t="s">
        <v>4366</v>
      </c>
      <c r="G758" s="3">
        <v>61700</v>
      </c>
      <c r="H758" s="3" t="s">
        <v>272</v>
      </c>
      <c r="I758" s="3" t="s">
        <v>4354</v>
      </c>
      <c r="J758" s="7" t="s">
        <v>4355</v>
      </c>
      <c r="K758" s="3">
        <v>800900860</v>
      </c>
      <c r="L758" s="6" t="s">
        <v>1676</v>
      </c>
      <c r="M758" s="3" t="s">
        <v>3899</v>
      </c>
      <c r="N758" s="3" t="s">
        <v>63</v>
      </c>
      <c r="O758" s="3" t="s">
        <v>787</v>
      </c>
      <c r="Q758" s="6" t="str">
        <f>VLOOKUP(G758,seznampsc!A:B,2,FALSE)</f>
        <v>Brno-město</v>
      </c>
      <c r="R758" s="6" t="str">
        <f>VLOOKUP(G758,seznampsc!A:C,3,FALSE)</f>
        <v>Jihomoravský kraj</v>
      </c>
      <c r="S758" s="3">
        <v>49.173602700000004</v>
      </c>
      <c r="T758" s="3">
        <v>16.6222393</v>
      </c>
      <c r="AV758" s="3">
        <v>100000</v>
      </c>
    </row>
    <row r="759" spans="1:48" ht="24" customHeight="1" x14ac:dyDescent="0.3">
      <c r="A759" s="3" t="s">
        <v>53</v>
      </c>
      <c r="B759" s="3" t="s">
        <v>4350</v>
      </c>
      <c r="C759" s="3" t="s">
        <v>4351</v>
      </c>
      <c r="D759" s="3">
        <v>3664279</v>
      </c>
      <c r="E759" s="3" t="s">
        <v>4367</v>
      </c>
      <c r="F759" s="3" t="s">
        <v>4368</v>
      </c>
      <c r="G759" s="3">
        <v>77900</v>
      </c>
      <c r="H759" s="3" t="s">
        <v>265</v>
      </c>
      <c r="I759" s="3" t="s">
        <v>4354</v>
      </c>
      <c r="J759" s="7" t="s">
        <v>4355</v>
      </c>
      <c r="K759" s="3">
        <v>800900860</v>
      </c>
      <c r="L759" s="6" t="s">
        <v>1676</v>
      </c>
      <c r="M759" s="3" t="s">
        <v>3899</v>
      </c>
      <c r="N759" s="3" t="s">
        <v>63</v>
      </c>
      <c r="O759" s="3" t="s">
        <v>787</v>
      </c>
      <c r="Q759" s="6" t="str">
        <f>VLOOKUP(G759,seznampsc!A:B,2,FALSE)</f>
        <v>Olomouc</v>
      </c>
      <c r="R759" s="6" t="str">
        <f>VLOOKUP(G759,seznampsc!A:C,3,FALSE)</f>
        <v>Olomoucký kraj</v>
      </c>
      <c r="S759" s="3">
        <v>49.598092399999999</v>
      </c>
      <c r="T759" s="3">
        <v>17.257002</v>
      </c>
      <c r="AV759" s="3">
        <v>100000</v>
      </c>
    </row>
    <row r="760" spans="1:48" ht="24" customHeight="1" x14ac:dyDescent="0.3">
      <c r="A760" s="3" t="s">
        <v>53</v>
      </c>
      <c r="B760" s="3" t="s">
        <v>4350</v>
      </c>
      <c r="C760" s="3" t="s">
        <v>4351</v>
      </c>
      <c r="D760" s="3">
        <v>3664279</v>
      </c>
      <c r="E760" s="3" t="s">
        <v>4369</v>
      </c>
      <c r="F760" s="3" t="s">
        <v>4370</v>
      </c>
      <c r="G760" s="3">
        <v>71800</v>
      </c>
      <c r="H760" s="3" t="s">
        <v>4371</v>
      </c>
      <c r="I760" s="3" t="s">
        <v>4354</v>
      </c>
      <c r="J760" s="7" t="s">
        <v>4355</v>
      </c>
      <c r="K760" s="3">
        <v>800900860</v>
      </c>
      <c r="L760" s="6" t="s">
        <v>1676</v>
      </c>
      <c r="M760" s="3" t="s">
        <v>3899</v>
      </c>
      <c r="N760" s="3" t="s">
        <v>63</v>
      </c>
      <c r="O760" s="3" t="s">
        <v>787</v>
      </c>
      <c r="Q760" s="6" t="str">
        <f>VLOOKUP(G760,seznampsc!A:B,2,FALSE)</f>
        <v>Ostrava-město</v>
      </c>
      <c r="R760" s="6" t="str">
        <f>VLOOKUP(G760,seznampsc!A:C,3,FALSE)</f>
        <v>Moravskoslezský kraj</v>
      </c>
      <c r="S760" s="3">
        <v>49.851953999999999</v>
      </c>
      <c r="T760" s="3">
        <v>18.279984800000001</v>
      </c>
      <c r="AV760" s="3">
        <v>100000</v>
      </c>
    </row>
    <row r="761" spans="1:48" ht="24" customHeight="1" x14ac:dyDescent="0.3">
      <c r="A761" s="3" t="s">
        <v>53</v>
      </c>
      <c r="B761" s="3" t="s">
        <v>4350</v>
      </c>
      <c r="C761" s="3" t="s">
        <v>4351</v>
      </c>
      <c r="D761" s="3">
        <v>3664279</v>
      </c>
      <c r="E761" s="3" t="s">
        <v>4372</v>
      </c>
      <c r="F761" s="3" t="s">
        <v>4373</v>
      </c>
      <c r="G761" s="3">
        <v>53003</v>
      </c>
      <c r="H761" s="3" t="s">
        <v>2071</v>
      </c>
      <c r="I761" s="3" t="s">
        <v>4354</v>
      </c>
      <c r="J761" s="7" t="s">
        <v>4355</v>
      </c>
      <c r="K761" s="3">
        <v>800900860</v>
      </c>
      <c r="L761" s="6" t="s">
        <v>1676</v>
      </c>
      <c r="M761" s="3" t="s">
        <v>3899</v>
      </c>
      <c r="N761" s="3" t="s">
        <v>63</v>
      </c>
      <c r="O761" s="3" t="s">
        <v>787</v>
      </c>
      <c r="Q761" s="6" t="str">
        <f>VLOOKUP(G761,seznampsc!A:B,2,FALSE)</f>
        <v>Pardubice</v>
      </c>
      <c r="R761" s="6" t="str">
        <f>VLOOKUP(G761,seznampsc!A:C,3,FALSE)</f>
        <v>Pardubický kraj</v>
      </c>
      <c r="S761" s="3">
        <v>50.027532000000001</v>
      </c>
      <c r="T761" s="3">
        <v>15.772773900000001</v>
      </c>
      <c r="AV761" s="3">
        <v>100000</v>
      </c>
    </row>
    <row r="762" spans="1:48" ht="24" customHeight="1" x14ac:dyDescent="0.3">
      <c r="A762" s="3" t="s">
        <v>53</v>
      </c>
      <c r="B762" s="3" t="s">
        <v>4350</v>
      </c>
      <c r="C762" s="3" t="s">
        <v>4351</v>
      </c>
      <c r="D762" s="3">
        <v>3664279</v>
      </c>
      <c r="E762" s="3" t="s">
        <v>4374</v>
      </c>
      <c r="F762" s="3" t="s">
        <v>4375</v>
      </c>
      <c r="G762" s="3">
        <v>37011</v>
      </c>
      <c r="H762" s="3" t="s">
        <v>460</v>
      </c>
      <c r="I762" s="3" t="s">
        <v>4354</v>
      </c>
      <c r="J762" s="7" t="s">
        <v>4355</v>
      </c>
      <c r="K762" s="3">
        <v>800900860</v>
      </c>
      <c r="L762" s="6" t="s">
        <v>1676</v>
      </c>
      <c r="M762" s="3" t="s">
        <v>3899</v>
      </c>
      <c r="N762" s="3" t="s">
        <v>63</v>
      </c>
      <c r="O762" s="3" t="s">
        <v>787</v>
      </c>
      <c r="Q762" s="6" t="str">
        <f>VLOOKUP(G762,seznampsc!A:B,2,FALSE)</f>
        <v>České Budějovice</v>
      </c>
      <c r="R762" s="6" t="str">
        <f>VLOOKUP(G762,seznampsc!A:C,3,FALSE)</f>
        <v>Jihočeský kraj</v>
      </c>
      <c r="S762" s="3">
        <v>48.9936419</v>
      </c>
      <c r="T762" s="3">
        <v>14.4570113</v>
      </c>
      <c r="AV762" s="3">
        <v>100000</v>
      </c>
    </row>
    <row r="763" spans="1:48" ht="24" customHeight="1" x14ac:dyDescent="0.3">
      <c r="A763" s="6" t="s">
        <v>53</v>
      </c>
      <c r="B763" s="6" t="s">
        <v>65</v>
      </c>
      <c r="C763" s="6" t="s">
        <v>4115</v>
      </c>
      <c r="D763" s="16">
        <v>26165813</v>
      </c>
      <c r="E763" s="6" t="s">
        <v>4376</v>
      </c>
      <c r="F763" s="6" t="s">
        <v>1371</v>
      </c>
      <c r="G763" s="6">
        <v>10200</v>
      </c>
      <c r="H763" s="6" t="s">
        <v>80</v>
      </c>
      <c r="I763" s="6" t="s">
        <v>4377</v>
      </c>
      <c r="J763" s="6" t="s">
        <v>4378</v>
      </c>
      <c r="K763" s="6">
        <v>281017480.73115301</v>
      </c>
      <c r="L763" s="6" t="s">
        <v>1676</v>
      </c>
      <c r="M763" s="6" t="s">
        <v>3899</v>
      </c>
      <c r="N763" s="6" t="s">
        <v>63</v>
      </c>
      <c r="O763" s="6" t="s">
        <v>241</v>
      </c>
      <c r="P763" s="6"/>
      <c r="Q763" s="6" t="str">
        <f>VLOOKUP(G763,seznampsc!A:B,2,FALSE)</f>
        <v>Hlavní město Praha</v>
      </c>
      <c r="R763" s="6" t="str">
        <f>VLOOKUP(G763,seznampsc!A:C,3,FALSE)</f>
        <v>Hlavní město Praha</v>
      </c>
      <c r="U763" s="29">
        <v>0.05</v>
      </c>
      <c r="AB763" s="3" t="s">
        <v>3935</v>
      </c>
      <c r="AC763" s="3" t="s">
        <v>3935</v>
      </c>
      <c r="AT763" s="3">
        <v>250</v>
      </c>
    </row>
    <row r="764" spans="1:48" ht="24" customHeight="1" x14ac:dyDescent="0.3">
      <c r="A764" s="3" t="s">
        <v>53</v>
      </c>
      <c r="B764" s="3" t="s">
        <v>4350</v>
      </c>
      <c r="C764" s="3" t="s">
        <v>4351</v>
      </c>
      <c r="D764" s="3">
        <v>3664279</v>
      </c>
      <c r="E764" s="3" t="s">
        <v>4379</v>
      </c>
      <c r="F764" s="3" t="s">
        <v>4380</v>
      </c>
      <c r="G764" s="3">
        <v>58601</v>
      </c>
      <c r="H764" s="3" t="s">
        <v>286</v>
      </c>
      <c r="I764" s="3" t="s">
        <v>4354</v>
      </c>
      <c r="J764" s="7" t="s">
        <v>4355</v>
      </c>
      <c r="K764" s="3">
        <v>800900860</v>
      </c>
      <c r="L764" s="6" t="s">
        <v>1676</v>
      </c>
      <c r="M764" s="3" t="s">
        <v>3899</v>
      </c>
      <c r="N764" s="3" t="s">
        <v>63</v>
      </c>
      <c r="O764" s="3" t="s">
        <v>787</v>
      </c>
      <c r="Q764" s="6" t="str">
        <f>VLOOKUP(G764,seznampsc!A:B,2,FALSE)</f>
        <v>Jihlava</v>
      </c>
      <c r="R764" s="6" t="str">
        <f>VLOOKUP(G764,seznampsc!A:C,3,FALSE)</f>
        <v>Kraj Vysočina</v>
      </c>
      <c r="S764" s="3">
        <v>49.383287299999999</v>
      </c>
      <c r="T764" s="3">
        <v>15.5918753</v>
      </c>
      <c r="AV764" s="3">
        <v>100000</v>
      </c>
    </row>
    <row r="765" spans="1:48" ht="24" customHeight="1" x14ac:dyDescent="0.3">
      <c r="A765" s="3" t="s">
        <v>53</v>
      </c>
      <c r="B765" s="3" t="s">
        <v>4350</v>
      </c>
      <c r="C765" s="3" t="s">
        <v>4351</v>
      </c>
      <c r="D765" s="3">
        <v>3664279</v>
      </c>
      <c r="E765" s="3" t="s">
        <v>4381</v>
      </c>
      <c r="F765" s="3" t="s">
        <v>4382</v>
      </c>
      <c r="G765" s="3">
        <v>34401</v>
      </c>
      <c r="H765" s="3" t="s">
        <v>2232</v>
      </c>
      <c r="I765" s="3" t="s">
        <v>4354</v>
      </c>
      <c r="J765" s="7" t="s">
        <v>4355</v>
      </c>
      <c r="K765" s="3">
        <v>800900860</v>
      </c>
      <c r="L765" s="6" t="s">
        <v>1676</v>
      </c>
      <c r="M765" s="3" t="s">
        <v>3899</v>
      </c>
      <c r="N765" s="3" t="s">
        <v>63</v>
      </c>
      <c r="O765" s="3" t="s">
        <v>4383</v>
      </c>
      <c r="Q765" s="6" t="str">
        <f>VLOOKUP(G765,seznampsc!A:B,2,FALSE)</f>
        <v>Domažlice</v>
      </c>
      <c r="R765" s="6" t="str">
        <f>VLOOKUP(G765,seznampsc!A:C,3,FALSE)</f>
        <v>Plzeňský kraj</v>
      </c>
      <c r="S765" s="3">
        <v>49.4407724</v>
      </c>
      <c r="T765" s="3">
        <v>12.9364837</v>
      </c>
      <c r="AU765" s="3" t="s">
        <v>4384</v>
      </c>
      <c r="AV765" s="3">
        <v>100000</v>
      </c>
    </row>
    <row r="766" spans="1:48" ht="24" customHeight="1" x14ac:dyDescent="0.3">
      <c r="A766" s="3" t="s">
        <v>53</v>
      </c>
      <c r="B766" s="3" t="s">
        <v>4350</v>
      </c>
      <c r="C766" s="3" t="s">
        <v>4351</v>
      </c>
      <c r="D766" s="3">
        <v>3664279</v>
      </c>
      <c r="E766" s="3" t="s">
        <v>4385</v>
      </c>
      <c r="F766" s="3" t="s">
        <v>4386</v>
      </c>
      <c r="G766" s="3">
        <v>32600</v>
      </c>
      <c r="H766" s="3" t="s">
        <v>385</v>
      </c>
      <c r="I766" s="3" t="s">
        <v>4354</v>
      </c>
      <c r="J766" s="7" t="s">
        <v>4355</v>
      </c>
      <c r="K766" s="3">
        <v>800900860</v>
      </c>
      <c r="L766" s="6" t="s">
        <v>1676</v>
      </c>
      <c r="M766" s="3" t="s">
        <v>3899</v>
      </c>
      <c r="N766" s="3" t="s">
        <v>63</v>
      </c>
      <c r="O766" s="3" t="s">
        <v>787</v>
      </c>
      <c r="Q766" s="6" t="str">
        <f>VLOOKUP(G766,seznampsc!A:B,2,FALSE)</f>
        <v>Plzeň-město</v>
      </c>
      <c r="R766" s="6" t="str">
        <f>VLOOKUP(G766,seznampsc!A:C,3,FALSE)</f>
        <v>Plzeňský kraj</v>
      </c>
      <c r="S766" s="3">
        <v>49.726198599999996</v>
      </c>
      <c r="T766" s="3">
        <v>13.413686500000001</v>
      </c>
      <c r="AV766" s="3">
        <v>100000</v>
      </c>
    </row>
    <row r="767" spans="1:48" ht="24" customHeight="1" x14ac:dyDescent="0.3">
      <c r="A767" s="3" t="s">
        <v>53</v>
      </c>
      <c r="B767" s="3" t="s">
        <v>4350</v>
      </c>
      <c r="C767" s="3" t="s">
        <v>4351</v>
      </c>
      <c r="D767" s="3">
        <v>3664279</v>
      </c>
      <c r="E767" s="3" t="s">
        <v>4387</v>
      </c>
      <c r="F767" s="3" t="s">
        <v>4388</v>
      </c>
      <c r="G767" s="3">
        <v>33901</v>
      </c>
      <c r="H767" s="3" t="s">
        <v>527</v>
      </c>
      <c r="I767" s="3" t="s">
        <v>4354</v>
      </c>
      <c r="J767" s="7" t="s">
        <v>4355</v>
      </c>
      <c r="K767" s="3">
        <v>800900860</v>
      </c>
      <c r="L767" s="6" t="s">
        <v>1676</v>
      </c>
      <c r="M767" s="3" t="s">
        <v>3899</v>
      </c>
      <c r="N767" s="3" t="s">
        <v>63</v>
      </c>
      <c r="O767" s="3" t="s">
        <v>787</v>
      </c>
      <c r="Q767" s="6" t="str">
        <f>VLOOKUP(G767,seznampsc!A:B,2,FALSE)</f>
        <v>Klatovy</v>
      </c>
      <c r="R767" s="6" t="str">
        <f>VLOOKUP(G767,seznampsc!A:C,3,FALSE)</f>
        <v>Plzeňský kraj</v>
      </c>
      <c r="S767" s="3">
        <v>49.407679999999999</v>
      </c>
      <c r="T767" s="3">
        <v>13.294460000000001</v>
      </c>
      <c r="AV767" s="3">
        <v>100000</v>
      </c>
    </row>
    <row r="768" spans="1:48" ht="24" customHeight="1" x14ac:dyDescent="0.3">
      <c r="A768" s="3" t="s">
        <v>53</v>
      </c>
      <c r="B768" s="3" t="s">
        <v>4350</v>
      </c>
      <c r="C768" s="3" t="s">
        <v>4351</v>
      </c>
      <c r="D768" s="3">
        <v>3664279</v>
      </c>
      <c r="E768" s="3" t="s">
        <v>4389</v>
      </c>
      <c r="F768" s="3" t="s">
        <v>4390</v>
      </c>
      <c r="G768" s="3">
        <v>36017</v>
      </c>
      <c r="H768" s="3" t="s">
        <v>1408</v>
      </c>
      <c r="I768" s="3" t="s">
        <v>4354</v>
      </c>
      <c r="J768" s="7" t="s">
        <v>4355</v>
      </c>
      <c r="K768" s="3">
        <v>800900860</v>
      </c>
      <c r="L768" s="6" t="s">
        <v>1676</v>
      </c>
      <c r="M768" s="3" t="s">
        <v>3899</v>
      </c>
      <c r="N768" s="3" t="s">
        <v>63</v>
      </c>
      <c r="O768" s="3" t="s">
        <v>4383</v>
      </c>
      <c r="Q768" s="6" t="str">
        <f>VLOOKUP(G768,seznampsc!A:B,2,FALSE)</f>
        <v>Karlovy Vary</v>
      </c>
      <c r="R768" s="6" t="str">
        <f>VLOOKUP(G768,seznampsc!A:C,3,FALSE)</f>
        <v>Karlovarský kraj</v>
      </c>
      <c r="S768" s="3">
        <v>50.241024400000001</v>
      </c>
      <c r="T768" s="3">
        <v>12.843542100000001</v>
      </c>
      <c r="AU768" s="3" t="s">
        <v>4384</v>
      </c>
      <c r="AV768" s="3">
        <v>100000</v>
      </c>
    </row>
    <row r="769" spans="1:48" ht="24" customHeight="1" x14ac:dyDescent="0.3">
      <c r="A769" s="3" t="s">
        <v>53</v>
      </c>
      <c r="B769" s="4" t="s">
        <v>4350</v>
      </c>
      <c r="C769" s="4" t="s">
        <v>4351</v>
      </c>
      <c r="D769" s="4">
        <v>3664279</v>
      </c>
      <c r="E769" s="4" t="s">
        <v>4391</v>
      </c>
      <c r="F769" s="4" t="s">
        <v>4392</v>
      </c>
      <c r="G769" s="4">
        <v>76001</v>
      </c>
      <c r="H769" s="4" t="s">
        <v>230</v>
      </c>
      <c r="I769" s="4" t="s">
        <v>4354</v>
      </c>
      <c r="J769" s="12" t="s">
        <v>4355</v>
      </c>
      <c r="K769" s="4">
        <v>800900860</v>
      </c>
      <c r="L769" s="6" t="s">
        <v>1676</v>
      </c>
      <c r="M769" s="4" t="s">
        <v>3899</v>
      </c>
      <c r="N769" s="4" t="s">
        <v>63</v>
      </c>
      <c r="O769" s="4" t="s">
        <v>787</v>
      </c>
      <c r="P769" s="4"/>
      <c r="Q769" s="6" t="str">
        <f>VLOOKUP(G769,seznampsc!A:B,2,FALSE)</f>
        <v>Zlín</v>
      </c>
      <c r="R769" s="6" t="str">
        <f>VLOOKUP(G769,seznampsc!A:C,3,FALSE)</f>
        <v>Zlínský kraj</v>
      </c>
      <c r="S769" s="4">
        <v>49.216091499999997</v>
      </c>
      <c r="T769" s="4">
        <v>17.626911</v>
      </c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3" t="s">
        <v>4393</v>
      </c>
      <c r="AV769" s="3">
        <v>100000</v>
      </c>
    </row>
    <row r="770" spans="1:48" ht="24" customHeight="1" x14ac:dyDescent="0.3">
      <c r="A770" s="3" t="s">
        <v>381</v>
      </c>
      <c r="B770" s="4" t="s">
        <v>4350</v>
      </c>
      <c r="C770" s="4" t="s">
        <v>4351</v>
      </c>
      <c r="D770" s="4" t="s">
        <v>4394</v>
      </c>
      <c r="E770" s="4" t="s">
        <v>4395</v>
      </c>
      <c r="F770" s="4" t="s">
        <v>4396</v>
      </c>
      <c r="G770" s="4">
        <v>28002</v>
      </c>
      <c r="H770" s="4" t="s">
        <v>1025</v>
      </c>
      <c r="I770" s="4" t="s">
        <v>4397</v>
      </c>
      <c r="J770" s="4" t="s">
        <v>4355</v>
      </c>
      <c r="K770" s="4">
        <v>800900860</v>
      </c>
      <c r="L770" s="4" t="s">
        <v>3911</v>
      </c>
      <c r="M770" s="4" t="s">
        <v>3912</v>
      </c>
      <c r="N770" s="4" t="s">
        <v>63</v>
      </c>
      <c r="O770" s="4" t="s">
        <v>4398</v>
      </c>
      <c r="P770" s="4"/>
      <c r="Q770" s="4"/>
      <c r="R770" s="4"/>
      <c r="S770" s="4">
        <v>50.017314499999998</v>
      </c>
      <c r="T770" s="4">
        <v>15.217841200000001</v>
      </c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 t="s">
        <v>4399</v>
      </c>
    </row>
    <row r="771" spans="1:48" ht="24" customHeight="1" x14ac:dyDescent="0.3">
      <c r="A771" s="3" t="s">
        <v>381</v>
      </c>
      <c r="B771" s="4" t="s">
        <v>4350</v>
      </c>
      <c r="C771" s="4" t="s">
        <v>4351</v>
      </c>
      <c r="D771" s="4" t="s">
        <v>4394</v>
      </c>
      <c r="E771" s="4" t="s">
        <v>4400</v>
      </c>
      <c r="F771" s="4" t="s">
        <v>4401</v>
      </c>
      <c r="G771" s="4">
        <v>50301</v>
      </c>
      <c r="H771" s="4" t="s">
        <v>4402</v>
      </c>
      <c r="I771" s="4" t="s">
        <v>4397</v>
      </c>
      <c r="J771" s="4" t="s">
        <v>4355</v>
      </c>
      <c r="K771" s="4">
        <v>800900860</v>
      </c>
      <c r="L771" s="4" t="s">
        <v>3911</v>
      </c>
      <c r="M771" s="4" t="s">
        <v>3912</v>
      </c>
      <c r="N771" s="4" t="s">
        <v>63</v>
      </c>
      <c r="O771" s="4" t="s">
        <v>4398</v>
      </c>
      <c r="P771" s="4"/>
      <c r="Q771" s="4"/>
      <c r="R771" s="4"/>
      <c r="S771" s="4">
        <v>50.224840999999998</v>
      </c>
      <c r="T771" s="4">
        <v>15.8033582</v>
      </c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 t="s">
        <v>4403</v>
      </c>
    </row>
    <row r="772" spans="1:48" ht="24" customHeight="1" x14ac:dyDescent="0.3">
      <c r="A772" s="3" t="s">
        <v>381</v>
      </c>
      <c r="B772" s="4" t="s">
        <v>4350</v>
      </c>
      <c r="C772" s="4" t="s">
        <v>4351</v>
      </c>
      <c r="D772" s="4" t="s">
        <v>4394</v>
      </c>
      <c r="E772" s="4" t="s">
        <v>4404</v>
      </c>
      <c r="F772" s="4" t="s">
        <v>4063</v>
      </c>
      <c r="G772" s="4">
        <v>34701</v>
      </c>
      <c r="H772" s="4" t="s">
        <v>2047</v>
      </c>
      <c r="I772" s="4" t="s">
        <v>4397</v>
      </c>
      <c r="J772" s="12" t="s">
        <v>4355</v>
      </c>
      <c r="K772" s="4">
        <v>800900860</v>
      </c>
      <c r="L772" s="4" t="s">
        <v>3911</v>
      </c>
      <c r="M772" s="4" t="s">
        <v>3912</v>
      </c>
      <c r="N772" s="4" t="s">
        <v>63</v>
      </c>
      <c r="O772" s="4" t="s">
        <v>4405</v>
      </c>
      <c r="P772" s="4"/>
      <c r="Q772" s="4"/>
      <c r="R772" s="4"/>
      <c r="S772" s="4">
        <v>49.7932968</v>
      </c>
      <c r="T772" s="4">
        <v>12.6450025</v>
      </c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3" t="s">
        <v>4406</v>
      </c>
    </row>
    <row r="773" spans="1:48" ht="24" customHeight="1" x14ac:dyDescent="0.3">
      <c r="A773" s="3" t="s">
        <v>381</v>
      </c>
      <c r="B773" s="4" t="s">
        <v>4350</v>
      </c>
      <c r="C773" s="4" t="s">
        <v>4407</v>
      </c>
      <c r="D773" s="4"/>
      <c r="E773" s="4" t="s">
        <v>4408</v>
      </c>
      <c r="F773" s="4" t="s">
        <v>4409</v>
      </c>
      <c r="G773" s="4">
        <v>35002</v>
      </c>
      <c r="H773" s="4" t="s">
        <v>3426</v>
      </c>
      <c r="I773" s="4" t="s">
        <v>4397</v>
      </c>
      <c r="J773" s="4" t="s">
        <v>4355</v>
      </c>
      <c r="K773" s="4">
        <v>800900860</v>
      </c>
      <c r="L773" s="4" t="s">
        <v>3911</v>
      </c>
      <c r="M773" s="4" t="s">
        <v>4410</v>
      </c>
      <c r="N773" s="4" t="s">
        <v>63</v>
      </c>
      <c r="O773" s="4" t="s">
        <v>4411</v>
      </c>
      <c r="P773" s="4"/>
      <c r="Q773" s="4"/>
      <c r="R773" s="4"/>
      <c r="S773" s="4">
        <v>50.074637699999997</v>
      </c>
      <c r="T773" s="4">
        <v>12.373621099999999</v>
      </c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 t="s">
        <v>4412</v>
      </c>
    </row>
    <row r="774" spans="1:48" ht="24" customHeight="1" x14ac:dyDescent="0.3">
      <c r="A774" s="3" t="s">
        <v>381</v>
      </c>
      <c r="B774" s="4" t="s">
        <v>4350</v>
      </c>
      <c r="C774" s="4" t="s">
        <v>4413</v>
      </c>
      <c r="D774" s="4"/>
      <c r="E774" s="4" t="s">
        <v>4414</v>
      </c>
      <c r="F774" s="4" t="s">
        <v>4415</v>
      </c>
      <c r="G774" s="4">
        <v>36005</v>
      </c>
      <c r="H774" s="4" t="s">
        <v>4416</v>
      </c>
      <c r="I774" s="4" t="s">
        <v>4397</v>
      </c>
      <c r="J774" s="4" t="s">
        <v>4355</v>
      </c>
      <c r="K774" s="4">
        <v>800900860</v>
      </c>
      <c r="L774" s="4" t="s">
        <v>3911</v>
      </c>
      <c r="M774" s="4" t="s">
        <v>4410</v>
      </c>
      <c r="N774" s="4" t="s">
        <v>63</v>
      </c>
      <c r="O774" s="4"/>
      <c r="P774" s="4"/>
      <c r="Q774" s="4"/>
      <c r="R774" s="4"/>
      <c r="S774" s="4">
        <v>50.233578199999997</v>
      </c>
      <c r="T774" s="4">
        <v>12.858609599999999</v>
      </c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 t="s">
        <v>4412</v>
      </c>
    </row>
    <row r="775" spans="1:48" ht="24" customHeight="1" x14ac:dyDescent="0.3">
      <c r="A775" s="3" t="s">
        <v>381</v>
      </c>
      <c r="B775" s="4" t="s">
        <v>4350</v>
      </c>
      <c r="C775" s="4" t="s">
        <v>4417</v>
      </c>
      <c r="D775" s="4"/>
      <c r="E775" s="4" t="s">
        <v>4418</v>
      </c>
      <c r="F775" s="4" t="s">
        <v>4419</v>
      </c>
      <c r="G775" s="4">
        <v>51101</v>
      </c>
      <c r="H775" s="4" t="s">
        <v>3627</v>
      </c>
      <c r="I775" s="4" t="s">
        <v>4397</v>
      </c>
      <c r="J775" s="4" t="s">
        <v>4355</v>
      </c>
      <c r="K775" s="4">
        <v>800900860</v>
      </c>
      <c r="L775" s="4" t="s">
        <v>3911</v>
      </c>
      <c r="M775" s="4" t="s">
        <v>4410</v>
      </c>
      <c r="N775" s="4" t="s">
        <v>63</v>
      </c>
      <c r="O775" s="4"/>
      <c r="P775" s="4"/>
      <c r="Q775" s="4"/>
      <c r="R775" s="4"/>
      <c r="S775" s="4">
        <v>50.5852717</v>
      </c>
      <c r="T775" s="4">
        <v>15.1552816</v>
      </c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 t="s">
        <v>4412</v>
      </c>
    </row>
    <row r="776" spans="1:48" ht="24" customHeight="1" x14ac:dyDescent="0.3">
      <c r="A776" s="3" t="s">
        <v>381</v>
      </c>
      <c r="B776" s="4" t="s">
        <v>4350</v>
      </c>
      <c r="C776" s="4" t="s">
        <v>4420</v>
      </c>
      <c r="D776" s="4"/>
      <c r="E776" s="4" t="s">
        <v>4421</v>
      </c>
      <c r="F776" s="4" t="s">
        <v>4422</v>
      </c>
      <c r="G776" s="4">
        <v>50733</v>
      </c>
      <c r="H776" s="4" t="s">
        <v>4422</v>
      </c>
      <c r="I776" s="4" t="s">
        <v>4397</v>
      </c>
      <c r="J776" s="4" t="s">
        <v>4355</v>
      </c>
      <c r="K776" s="4">
        <v>800900860</v>
      </c>
      <c r="L776" s="4" t="s">
        <v>3911</v>
      </c>
      <c r="M776" s="4" t="s">
        <v>4410</v>
      </c>
      <c r="N776" s="4" t="s">
        <v>63</v>
      </c>
      <c r="O776" s="4"/>
      <c r="P776" s="4"/>
      <c r="Q776" s="4"/>
      <c r="R776" s="4"/>
      <c r="S776" s="4">
        <v>50.325365400000003</v>
      </c>
      <c r="T776" s="4">
        <v>15.322355099999999</v>
      </c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 t="s">
        <v>4412</v>
      </c>
    </row>
    <row r="777" spans="1:48" ht="24" customHeight="1" x14ac:dyDescent="0.3">
      <c r="A777" s="3" t="s">
        <v>381</v>
      </c>
      <c r="B777" s="4" t="s">
        <v>4350</v>
      </c>
      <c r="C777" s="4" t="s">
        <v>4423</v>
      </c>
      <c r="D777" s="4"/>
      <c r="E777" s="4" t="s">
        <v>4424</v>
      </c>
      <c r="F777" s="4" t="s">
        <v>4425</v>
      </c>
      <c r="G777" s="4">
        <v>69000</v>
      </c>
      <c r="H777" s="4" t="s">
        <v>925</v>
      </c>
      <c r="I777" s="4" t="s">
        <v>4397</v>
      </c>
      <c r="J777" s="4" t="s">
        <v>4355</v>
      </c>
      <c r="K777" s="4">
        <v>800900860</v>
      </c>
      <c r="L777" s="4" t="s">
        <v>3911</v>
      </c>
      <c r="M777" s="4" t="s">
        <v>4410</v>
      </c>
      <c r="N777" s="4" t="s">
        <v>63</v>
      </c>
      <c r="O777" s="4"/>
      <c r="P777" s="4"/>
      <c r="Q777" s="4"/>
      <c r="R777" s="4"/>
      <c r="S777" s="4">
        <v>48.771266099999998</v>
      </c>
      <c r="T777" s="4">
        <v>16.8909816</v>
      </c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 t="s">
        <v>4412</v>
      </c>
    </row>
    <row r="778" spans="1:48" ht="24" customHeight="1" x14ac:dyDescent="0.3">
      <c r="A778" s="3" t="s">
        <v>381</v>
      </c>
      <c r="B778" s="4" t="s">
        <v>4350</v>
      </c>
      <c r="C778" s="4" t="s">
        <v>4426</v>
      </c>
      <c r="D778" s="4"/>
      <c r="E778" s="4" t="s">
        <v>4427</v>
      </c>
      <c r="F778" s="4" t="s">
        <v>4297</v>
      </c>
      <c r="G778" s="4">
        <v>69501</v>
      </c>
      <c r="H778" s="4" t="s">
        <v>1207</v>
      </c>
      <c r="I778" s="4" t="s">
        <v>4397</v>
      </c>
      <c r="J778" s="4" t="s">
        <v>4355</v>
      </c>
      <c r="K778" s="4">
        <v>800900860</v>
      </c>
      <c r="L778" s="4" t="s">
        <v>3911</v>
      </c>
      <c r="M778" s="4" t="s">
        <v>4410</v>
      </c>
      <c r="N778" s="4" t="s">
        <v>63</v>
      </c>
      <c r="O778" s="4"/>
      <c r="P778" s="4"/>
      <c r="Q778" s="4"/>
      <c r="R778" s="4"/>
      <c r="S778" s="4">
        <v>48.861418800000003</v>
      </c>
      <c r="T778" s="4">
        <v>17.116753899999999</v>
      </c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 t="s">
        <v>4412</v>
      </c>
    </row>
    <row r="779" spans="1:48" ht="24" customHeight="1" x14ac:dyDescent="0.3">
      <c r="A779" s="3" t="s">
        <v>381</v>
      </c>
      <c r="B779" s="4" t="s">
        <v>4350</v>
      </c>
      <c r="C779" s="4" t="s">
        <v>4428</v>
      </c>
      <c r="D779" s="4"/>
      <c r="E779" s="4" t="s">
        <v>4429</v>
      </c>
      <c r="F779" s="4" t="s">
        <v>4430</v>
      </c>
      <c r="G779" s="4">
        <v>66902</v>
      </c>
      <c r="H779" s="4" t="s">
        <v>291</v>
      </c>
      <c r="I779" s="4" t="s">
        <v>4397</v>
      </c>
      <c r="J779" s="4" t="s">
        <v>4355</v>
      </c>
      <c r="K779" s="4">
        <v>800900860</v>
      </c>
      <c r="L779" s="4" t="s">
        <v>3911</v>
      </c>
      <c r="M779" s="4" t="s">
        <v>4410</v>
      </c>
      <c r="N779" s="4" t="s">
        <v>63</v>
      </c>
      <c r="O779" s="4"/>
      <c r="P779" s="4"/>
      <c r="Q779" s="4"/>
      <c r="R779" s="4"/>
      <c r="S779" s="4">
        <v>48.848688299999999</v>
      </c>
      <c r="T779" s="4">
        <v>16.056233899999999</v>
      </c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 t="s">
        <v>4412</v>
      </c>
    </row>
    <row r="780" spans="1:48" ht="24" customHeight="1" x14ac:dyDescent="0.3">
      <c r="A780" s="3" t="s">
        <v>381</v>
      </c>
      <c r="B780" s="4" t="s">
        <v>4350</v>
      </c>
      <c r="C780" s="4" t="s">
        <v>4431</v>
      </c>
      <c r="D780" s="4"/>
      <c r="E780" s="4" t="s">
        <v>4432</v>
      </c>
      <c r="F780" s="4" t="s">
        <v>4433</v>
      </c>
      <c r="G780" s="4">
        <v>76001</v>
      </c>
      <c r="H780" s="4" t="s">
        <v>230</v>
      </c>
      <c r="I780" s="4" t="s">
        <v>4397</v>
      </c>
      <c r="J780" s="4" t="s">
        <v>4355</v>
      </c>
      <c r="K780" s="4">
        <v>800900860</v>
      </c>
      <c r="L780" s="4" t="s">
        <v>3911</v>
      </c>
      <c r="M780" s="4" t="s">
        <v>4410</v>
      </c>
      <c r="N780" s="4" t="s">
        <v>63</v>
      </c>
      <c r="O780" s="4"/>
      <c r="P780" s="4"/>
      <c r="Q780" s="4"/>
      <c r="R780" s="4"/>
      <c r="S780" s="4">
        <v>49.226381400000001</v>
      </c>
      <c r="T780" s="4">
        <v>17.722781000000001</v>
      </c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 t="s">
        <v>4412</v>
      </c>
    </row>
    <row r="781" spans="1:48" ht="24" customHeight="1" x14ac:dyDescent="0.3">
      <c r="A781" s="3" t="s">
        <v>381</v>
      </c>
      <c r="B781" s="4" t="s">
        <v>4350</v>
      </c>
      <c r="C781" s="4" t="s">
        <v>4434</v>
      </c>
      <c r="D781" s="4"/>
      <c r="E781" s="4" t="s">
        <v>4435</v>
      </c>
      <c r="F781" s="4" t="s">
        <v>4436</v>
      </c>
      <c r="G781" s="4">
        <v>79601</v>
      </c>
      <c r="H781" s="4" t="s">
        <v>1756</v>
      </c>
      <c r="I781" s="4" t="s">
        <v>4397</v>
      </c>
      <c r="J781" s="4" t="s">
        <v>4355</v>
      </c>
      <c r="K781" s="4">
        <v>800900860</v>
      </c>
      <c r="L781" s="4" t="s">
        <v>3911</v>
      </c>
      <c r="M781" s="4" t="s">
        <v>4410</v>
      </c>
      <c r="N781" s="4" t="s">
        <v>63</v>
      </c>
      <c r="O781" s="4"/>
      <c r="P781" s="4"/>
      <c r="Q781" s="4"/>
      <c r="R781" s="4"/>
      <c r="S781" s="4">
        <v>49.475577800000003</v>
      </c>
      <c r="T781" s="4">
        <v>17.1219407</v>
      </c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 t="s">
        <v>4412</v>
      </c>
    </row>
    <row r="782" spans="1:48" ht="24" customHeight="1" x14ac:dyDescent="0.3">
      <c r="A782" s="3" t="s">
        <v>381</v>
      </c>
      <c r="B782" s="4" t="s">
        <v>4350</v>
      </c>
      <c r="C782" s="4" t="s">
        <v>4437</v>
      </c>
      <c r="D782" s="4"/>
      <c r="E782" s="4" t="s">
        <v>4435</v>
      </c>
      <c r="F782" s="4" t="s">
        <v>4438</v>
      </c>
      <c r="G782" s="4">
        <v>78401</v>
      </c>
      <c r="H782" s="4" t="s">
        <v>2387</v>
      </c>
      <c r="I782" s="4" t="s">
        <v>4397</v>
      </c>
      <c r="J782" s="4" t="s">
        <v>4355</v>
      </c>
      <c r="K782" s="4">
        <v>800900860</v>
      </c>
      <c r="L782" s="4" t="s">
        <v>3911</v>
      </c>
      <c r="M782" s="4" t="s">
        <v>4410</v>
      </c>
      <c r="N782" s="4" t="s">
        <v>63</v>
      </c>
      <c r="O782" s="4"/>
      <c r="P782" s="4"/>
      <c r="Q782" s="4"/>
      <c r="R782" s="4"/>
      <c r="S782" s="4">
        <v>49.704051799999903</v>
      </c>
      <c r="T782" s="4">
        <v>17.071074100000001</v>
      </c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 t="s">
        <v>4412</v>
      </c>
    </row>
    <row r="783" spans="1:48" ht="24" customHeight="1" x14ac:dyDescent="0.3">
      <c r="A783" s="3" t="s">
        <v>381</v>
      </c>
      <c r="B783" s="4" t="s">
        <v>4350</v>
      </c>
      <c r="C783" s="4" t="s">
        <v>4439</v>
      </c>
      <c r="D783" s="4"/>
      <c r="E783" s="4" t="s">
        <v>4440</v>
      </c>
      <c r="F783" s="4" t="s">
        <v>4441</v>
      </c>
      <c r="G783" s="4">
        <v>79601</v>
      </c>
      <c r="H783" s="4" t="s">
        <v>1756</v>
      </c>
      <c r="I783" s="4" t="s">
        <v>4397</v>
      </c>
      <c r="J783" s="4" t="s">
        <v>4355</v>
      </c>
      <c r="K783" s="4">
        <v>800900860</v>
      </c>
      <c r="L783" s="4" t="s">
        <v>3911</v>
      </c>
      <c r="M783" s="4" t="s">
        <v>4410</v>
      </c>
      <c r="N783" s="4" t="s">
        <v>63</v>
      </c>
      <c r="O783" s="4"/>
      <c r="P783" s="4"/>
      <c r="Q783" s="4"/>
      <c r="R783" s="4"/>
      <c r="S783" s="4">
        <v>49.467604599999902</v>
      </c>
      <c r="T783" s="4">
        <v>17.094382599999999</v>
      </c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 t="s">
        <v>4412</v>
      </c>
    </row>
    <row r="784" spans="1:48" ht="24" customHeight="1" x14ac:dyDescent="0.3">
      <c r="A784" s="3" t="s">
        <v>381</v>
      </c>
      <c r="B784" s="4" t="s">
        <v>4350</v>
      </c>
      <c r="C784" s="4" t="s">
        <v>4442</v>
      </c>
      <c r="D784" s="4"/>
      <c r="E784" s="4" t="s">
        <v>4440</v>
      </c>
      <c r="F784" s="4" t="s">
        <v>4443</v>
      </c>
      <c r="G784" s="4">
        <v>68201</v>
      </c>
      <c r="H784" s="4" t="s">
        <v>3198</v>
      </c>
      <c r="I784" s="4" t="s">
        <v>4397</v>
      </c>
      <c r="J784" s="4" t="s">
        <v>4355</v>
      </c>
      <c r="K784" s="4">
        <v>800900860</v>
      </c>
      <c r="L784" s="4" t="s">
        <v>3911</v>
      </c>
      <c r="M784" s="4" t="s">
        <v>4410</v>
      </c>
      <c r="N784" s="4" t="s">
        <v>63</v>
      </c>
      <c r="O784" s="4"/>
      <c r="P784" s="4"/>
      <c r="Q784" s="4"/>
      <c r="R784" s="4"/>
      <c r="S784" s="4">
        <v>49.278307900000001</v>
      </c>
      <c r="T784" s="4">
        <v>16.987336200000001</v>
      </c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 t="s">
        <v>4412</v>
      </c>
    </row>
    <row r="785" spans="1:47" ht="24" customHeight="1" x14ac:dyDescent="0.3">
      <c r="A785" s="3" t="s">
        <v>381</v>
      </c>
      <c r="B785" s="4" t="s">
        <v>4350</v>
      </c>
      <c r="C785" s="4" t="s">
        <v>4444</v>
      </c>
      <c r="D785" s="4"/>
      <c r="E785" s="4" t="s">
        <v>4440</v>
      </c>
      <c r="F785" s="4" t="s">
        <v>4445</v>
      </c>
      <c r="G785" s="4">
        <v>76701</v>
      </c>
      <c r="H785" s="4" t="s">
        <v>567</v>
      </c>
      <c r="I785" s="4" t="s">
        <v>4397</v>
      </c>
      <c r="J785" s="4" t="s">
        <v>4355</v>
      </c>
      <c r="K785" s="4">
        <v>800900860</v>
      </c>
      <c r="L785" s="4" t="s">
        <v>3911</v>
      </c>
      <c r="M785" s="4" t="s">
        <v>4410</v>
      </c>
      <c r="N785" s="4" t="s">
        <v>63</v>
      </c>
      <c r="O785" s="4"/>
      <c r="P785" s="4"/>
      <c r="Q785" s="4"/>
      <c r="R785" s="4"/>
      <c r="S785" s="4">
        <v>49.307429300000003</v>
      </c>
      <c r="T785" s="4">
        <v>17.410323900000002</v>
      </c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 t="s">
        <v>4412</v>
      </c>
    </row>
    <row r="786" spans="1:47" ht="24" customHeight="1" x14ac:dyDescent="0.3">
      <c r="A786" s="3" t="s">
        <v>381</v>
      </c>
      <c r="B786" s="4" t="s">
        <v>4350</v>
      </c>
      <c r="C786" s="4" t="s">
        <v>4446</v>
      </c>
      <c r="D786" s="4"/>
      <c r="E786" s="4" t="s">
        <v>4447</v>
      </c>
      <c r="F786" s="4" t="s">
        <v>4448</v>
      </c>
      <c r="G786" s="4"/>
      <c r="H786" s="4" t="s">
        <v>2545</v>
      </c>
      <c r="I786" s="4" t="s">
        <v>4397</v>
      </c>
      <c r="J786" s="4" t="s">
        <v>4355</v>
      </c>
      <c r="K786" s="4">
        <v>800900860</v>
      </c>
      <c r="L786" s="4" t="s">
        <v>3911</v>
      </c>
      <c r="M786" s="4" t="s">
        <v>4410</v>
      </c>
      <c r="N786" s="4" t="s">
        <v>63</v>
      </c>
      <c r="O786" s="4"/>
      <c r="P786" s="4"/>
      <c r="Q786" s="4"/>
      <c r="R786" s="4"/>
      <c r="S786" s="4">
        <v>49.7761286</v>
      </c>
      <c r="T786" s="4">
        <v>14.1680718</v>
      </c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 t="s">
        <v>4412</v>
      </c>
    </row>
    <row r="787" spans="1:47" ht="24" customHeight="1" x14ac:dyDescent="0.3">
      <c r="A787" s="3" t="s">
        <v>381</v>
      </c>
      <c r="B787" s="4" t="s">
        <v>4350</v>
      </c>
      <c r="C787" s="4" t="s">
        <v>4449</v>
      </c>
      <c r="D787" s="4"/>
      <c r="E787" s="4" t="s">
        <v>4450</v>
      </c>
      <c r="F787" s="4" t="s">
        <v>4451</v>
      </c>
      <c r="G787" s="4"/>
      <c r="H787" s="4" t="s">
        <v>4452</v>
      </c>
      <c r="I787" s="4" t="s">
        <v>4397</v>
      </c>
      <c r="J787" s="4" t="s">
        <v>4355</v>
      </c>
      <c r="K787" s="4">
        <v>800900860</v>
      </c>
      <c r="L787" s="4" t="s">
        <v>3911</v>
      </c>
      <c r="M787" s="4" t="s">
        <v>4410</v>
      </c>
      <c r="N787" s="4" t="s">
        <v>63</v>
      </c>
      <c r="O787" s="4"/>
      <c r="P787" s="4"/>
      <c r="Q787" s="4"/>
      <c r="R787" s="4"/>
      <c r="S787" s="4">
        <v>50.422693899999999</v>
      </c>
      <c r="T787" s="4">
        <v>14.911534100000001</v>
      </c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 t="s">
        <v>4412</v>
      </c>
    </row>
    <row r="788" spans="1:47" ht="24" customHeight="1" x14ac:dyDescent="0.3">
      <c r="A788" s="3" t="s">
        <v>381</v>
      </c>
      <c r="B788" s="4" t="s">
        <v>4350</v>
      </c>
      <c r="C788" s="4" t="s">
        <v>4453</v>
      </c>
      <c r="D788" s="4"/>
      <c r="E788" s="4" t="s">
        <v>4454</v>
      </c>
      <c r="F788" s="4" t="s">
        <v>4455</v>
      </c>
      <c r="G788" s="4">
        <v>25084</v>
      </c>
      <c r="H788" s="4" t="s">
        <v>4456</v>
      </c>
      <c r="I788" s="4" t="s">
        <v>4397</v>
      </c>
      <c r="J788" s="4" t="s">
        <v>4355</v>
      </c>
      <c r="K788" s="4">
        <v>800900860</v>
      </c>
      <c r="L788" s="4" t="s">
        <v>3911</v>
      </c>
      <c r="M788" s="4" t="s">
        <v>4410</v>
      </c>
      <c r="N788" s="4" t="s">
        <v>63</v>
      </c>
      <c r="O788" s="4"/>
      <c r="P788" s="4"/>
      <c r="Q788" s="4"/>
      <c r="R788" s="4"/>
      <c r="S788" s="4">
        <v>50.055818899999998</v>
      </c>
      <c r="T788" s="4">
        <v>14.6709166</v>
      </c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 t="s">
        <v>4412</v>
      </c>
    </row>
    <row r="789" spans="1:47" ht="24" customHeight="1" x14ac:dyDescent="0.3">
      <c r="A789" s="3" t="s">
        <v>381</v>
      </c>
      <c r="B789" s="4" t="s">
        <v>4350</v>
      </c>
      <c r="C789" s="4" t="s">
        <v>4457</v>
      </c>
      <c r="D789" s="4"/>
      <c r="E789" s="4" t="s">
        <v>4458</v>
      </c>
      <c r="F789" s="4" t="s">
        <v>4459</v>
      </c>
      <c r="G789" s="4"/>
      <c r="H789" s="4" t="s">
        <v>2159</v>
      </c>
      <c r="I789" s="4" t="s">
        <v>4397</v>
      </c>
      <c r="J789" s="4" t="s">
        <v>4355</v>
      </c>
      <c r="K789" s="4">
        <v>800900860</v>
      </c>
      <c r="L789" s="4" t="s">
        <v>3911</v>
      </c>
      <c r="M789" s="4" t="s">
        <v>4410</v>
      </c>
      <c r="N789" s="4" t="s">
        <v>63</v>
      </c>
      <c r="O789" s="4"/>
      <c r="P789" s="4"/>
      <c r="Q789" s="4"/>
      <c r="R789" s="4"/>
      <c r="S789" s="4">
        <v>49.251353100000003</v>
      </c>
      <c r="T789" s="4">
        <v>13.9129912</v>
      </c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 t="s">
        <v>4412</v>
      </c>
    </row>
    <row r="790" spans="1:47" ht="24" customHeight="1" x14ac:dyDescent="0.3">
      <c r="A790" s="3" t="s">
        <v>381</v>
      </c>
      <c r="B790" s="4" t="s">
        <v>4350</v>
      </c>
      <c r="C790" s="4" t="s">
        <v>4460</v>
      </c>
      <c r="D790" s="4"/>
      <c r="E790" s="4" t="s">
        <v>4461</v>
      </c>
      <c r="F790" s="4" t="s">
        <v>4462</v>
      </c>
      <c r="G790" s="4"/>
      <c r="H790" s="4" t="s">
        <v>3909</v>
      </c>
      <c r="I790" s="4" t="s">
        <v>4397</v>
      </c>
      <c r="J790" s="4" t="s">
        <v>4355</v>
      </c>
      <c r="K790" s="4">
        <v>800900860</v>
      </c>
      <c r="L790" s="4" t="s">
        <v>3911</v>
      </c>
      <c r="M790" s="4" t="s">
        <v>4410</v>
      </c>
      <c r="N790" s="4" t="s">
        <v>63</v>
      </c>
      <c r="O790" s="4"/>
      <c r="P790" s="4"/>
      <c r="Q790" s="4"/>
      <c r="R790" s="4"/>
      <c r="S790" s="4">
        <v>50.680750799999998</v>
      </c>
      <c r="T790" s="4">
        <v>14.5483437</v>
      </c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 t="s">
        <v>4412</v>
      </c>
    </row>
    <row r="791" spans="1:47" ht="24" customHeight="1" x14ac:dyDescent="0.3">
      <c r="A791" s="3" t="s">
        <v>381</v>
      </c>
      <c r="B791" s="4" t="s">
        <v>4350</v>
      </c>
      <c r="C791" s="4" t="s">
        <v>4463</v>
      </c>
      <c r="D791" s="4"/>
      <c r="E791" s="4" t="s">
        <v>4464</v>
      </c>
      <c r="F791" s="4" t="s">
        <v>4465</v>
      </c>
      <c r="G791" s="4"/>
      <c r="H791" s="4" t="s">
        <v>4466</v>
      </c>
      <c r="I791" s="4" t="s">
        <v>4397</v>
      </c>
      <c r="J791" s="4" t="s">
        <v>4355</v>
      </c>
      <c r="K791" s="4">
        <v>800900860</v>
      </c>
      <c r="L791" s="4" t="s">
        <v>3911</v>
      </c>
      <c r="M791" s="4" t="s">
        <v>4410</v>
      </c>
      <c r="N791" s="4" t="s">
        <v>63</v>
      </c>
      <c r="O791" s="4"/>
      <c r="P791" s="4"/>
      <c r="Q791" s="4"/>
      <c r="R791" s="4"/>
      <c r="S791" s="4">
        <v>50.778455100000002</v>
      </c>
      <c r="T791" s="4">
        <v>14.215529999999999</v>
      </c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 t="s">
        <v>4412</v>
      </c>
    </row>
    <row r="792" spans="1:47" ht="24" customHeight="1" x14ac:dyDescent="0.3">
      <c r="A792" s="3" t="s">
        <v>381</v>
      </c>
      <c r="B792" s="4" t="s">
        <v>4350</v>
      </c>
      <c r="C792" s="4" t="s">
        <v>4467</v>
      </c>
      <c r="D792" s="4"/>
      <c r="E792" s="4" t="s">
        <v>4468</v>
      </c>
      <c r="F792" s="4" t="s">
        <v>4469</v>
      </c>
      <c r="G792" s="4"/>
      <c r="H792" s="4" t="s">
        <v>2017</v>
      </c>
      <c r="I792" s="4" t="s">
        <v>4397</v>
      </c>
      <c r="J792" s="4" t="s">
        <v>4355</v>
      </c>
      <c r="K792" s="4">
        <v>800900860</v>
      </c>
      <c r="L792" s="4" t="s">
        <v>3911</v>
      </c>
      <c r="M792" s="4" t="s">
        <v>4410</v>
      </c>
      <c r="N792" s="4" t="s">
        <v>63</v>
      </c>
      <c r="O792" s="4"/>
      <c r="P792" s="4"/>
      <c r="Q792" s="4"/>
      <c r="R792" s="4"/>
      <c r="S792" s="4">
        <v>50.472676499999999</v>
      </c>
      <c r="T792" s="4">
        <v>13.3851631</v>
      </c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 t="s">
        <v>4412</v>
      </c>
    </row>
    <row r="793" spans="1:47" ht="24" customHeight="1" x14ac:dyDescent="0.3">
      <c r="A793" s="3" t="s">
        <v>381</v>
      </c>
      <c r="B793" s="4" t="s">
        <v>4350</v>
      </c>
      <c r="C793" s="4" t="s">
        <v>4470</v>
      </c>
      <c r="D793" s="4"/>
      <c r="E793" s="4" t="s">
        <v>4468</v>
      </c>
      <c r="F793" s="4" t="s">
        <v>4471</v>
      </c>
      <c r="G793" s="4"/>
      <c r="H793" s="4" t="s">
        <v>503</v>
      </c>
      <c r="I793" s="4" t="s">
        <v>4397</v>
      </c>
      <c r="J793" s="4" t="s">
        <v>4355</v>
      </c>
      <c r="K793" s="4">
        <v>800900860</v>
      </c>
      <c r="L793" s="4" t="s">
        <v>3911</v>
      </c>
      <c r="M793" s="4" t="s">
        <v>4410</v>
      </c>
      <c r="N793" s="4" t="s">
        <v>63</v>
      </c>
      <c r="O793" s="4"/>
      <c r="P793" s="4"/>
      <c r="Q793" s="4"/>
      <c r="R793" s="4"/>
      <c r="S793" s="4">
        <v>50.566210400000003</v>
      </c>
      <c r="T793" s="4">
        <v>13.703991</v>
      </c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 t="s">
        <v>4472</v>
      </c>
    </row>
    <row r="794" spans="1:47" ht="24" customHeight="1" x14ac:dyDescent="0.3">
      <c r="A794" s="3" t="s">
        <v>381</v>
      </c>
      <c r="B794" s="4" t="s">
        <v>4350</v>
      </c>
      <c r="C794" s="4" t="s">
        <v>4473</v>
      </c>
      <c r="D794" s="4"/>
      <c r="E794" s="4" t="s">
        <v>4474</v>
      </c>
      <c r="F794" s="4" t="s">
        <v>4475</v>
      </c>
      <c r="G794" s="4"/>
      <c r="H794" s="4" t="s">
        <v>1905</v>
      </c>
      <c r="I794" s="4" t="s">
        <v>4397</v>
      </c>
      <c r="J794" s="4" t="s">
        <v>4355</v>
      </c>
      <c r="K794" s="4">
        <v>800900860</v>
      </c>
      <c r="L794" s="4" t="s">
        <v>3911</v>
      </c>
      <c r="M794" s="4" t="s">
        <v>4410</v>
      </c>
      <c r="N794" s="4" t="s">
        <v>63</v>
      </c>
      <c r="O794" s="4"/>
      <c r="P794" s="4"/>
      <c r="Q794" s="4"/>
      <c r="R794" s="4"/>
      <c r="S794" s="4">
        <v>50.574025599999999</v>
      </c>
      <c r="T794" s="4">
        <v>15.897373099999999</v>
      </c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 t="s">
        <v>4412</v>
      </c>
    </row>
    <row r="795" spans="1:47" ht="24" customHeight="1" x14ac:dyDescent="0.3">
      <c r="A795" s="3" t="s">
        <v>381</v>
      </c>
      <c r="B795" s="4" t="s">
        <v>4350</v>
      </c>
      <c r="C795" s="4" t="s">
        <v>4476</v>
      </c>
      <c r="D795" s="4"/>
      <c r="E795" s="4" t="s">
        <v>4477</v>
      </c>
      <c r="F795" s="4" t="s">
        <v>4478</v>
      </c>
      <c r="G795" s="4"/>
      <c r="H795" s="4" t="s">
        <v>1905</v>
      </c>
      <c r="I795" s="4" t="s">
        <v>4397</v>
      </c>
      <c r="J795" s="4" t="s">
        <v>4355</v>
      </c>
      <c r="K795" s="4">
        <v>800900860</v>
      </c>
      <c r="L795" s="4" t="s">
        <v>3911</v>
      </c>
      <c r="M795" s="4" t="s">
        <v>4410</v>
      </c>
      <c r="N795" s="4" t="s">
        <v>63</v>
      </c>
      <c r="O795" s="4"/>
      <c r="P795" s="4"/>
      <c r="Q795" s="4"/>
      <c r="R795" s="4"/>
      <c r="S795" s="4">
        <v>50.569892699999997</v>
      </c>
      <c r="T795" s="4">
        <v>15.9362089</v>
      </c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 t="s">
        <v>4412</v>
      </c>
    </row>
    <row r="796" spans="1:47" ht="24" customHeight="1" x14ac:dyDescent="0.3">
      <c r="A796" s="3" t="s">
        <v>381</v>
      </c>
      <c r="B796" s="4" t="s">
        <v>4350</v>
      </c>
      <c r="C796" s="4" t="s">
        <v>4479</v>
      </c>
      <c r="D796" s="4"/>
      <c r="E796" s="4" t="s">
        <v>4480</v>
      </c>
      <c r="F796" s="4" t="s">
        <v>4481</v>
      </c>
      <c r="G796" s="4"/>
      <c r="H796" s="4" t="s">
        <v>4482</v>
      </c>
      <c r="I796" s="4" t="s">
        <v>4397</v>
      </c>
      <c r="J796" s="4" t="s">
        <v>4355</v>
      </c>
      <c r="K796" s="4">
        <v>800900860</v>
      </c>
      <c r="L796" s="4" t="s">
        <v>3911</v>
      </c>
      <c r="M796" s="4" t="s">
        <v>4410</v>
      </c>
      <c r="N796" s="4" t="s">
        <v>63</v>
      </c>
      <c r="O796" s="4"/>
      <c r="P796" s="4"/>
      <c r="Q796" s="4"/>
      <c r="R796" s="4"/>
      <c r="S796" s="4">
        <v>49.842712900000002</v>
      </c>
      <c r="T796" s="4">
        <v>18.5560297</v>
      </c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 t="s">
        <v>4412</v>
      </c>
    </row>
    <row r="797" spans="1:47" ht="24" customHeight="1" x14ac:dyDescent="0.3">
      <c r="A797" s="3" t="s">
        <v>381</v>
      </c>
      <c r="B797" s="4" t="s">
        <v>4350</v>
      </c>
      <c r="C797" s="4" t="s">
        <v>4483</v>
      </c>
      <c r="D797" s="4"/>
      <c r="E797" s="4" t="s">
        <v>4484</v>
      </c>
      <c r="F797" s="4" t="s">
        <v>4485</v>
      </c>
      <c r="G797" s="4"/>
      <c r="H797" s="4" t="s">
        <v>698</v>
      </c>
      <c r="I797" s="4" t="s">
        <v>4397</v>
      </c>
      <c r="J797" s="4" t="s">
        <v>4355</v>
      </c>
      <c r="K797" s="4">
        <v>800900860</v>
      </c>
      <c r="L797" s="4" t="s">
        <v>3911</v>
      </c>
      <c r="M797" s="4" t="s">
        <v>4410</v>
      </c>
      <c r="N797" s="4" t="s">
        <v>63</v>
      </c>
      <c r="O797" s="4"/>
      <c r="P797" s="4"/>
      <c r="Q797" s="4"/>
      <c r="R797" s="4"/>
      <c r="S797" s="4">
        <v>49.992162800000003</v>
      </c>
      <c r="T797" s="4">
        <v>17.4670901</v>
      </c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 t="s">
        <v>4486</v>
      </c>
    </row>
    <row r="798" spans="1:47" ht="24" customHeight="1" x14ac:dyDescent="0.3">
      <c r="A798" s="3" t="s">
        <v>381</v>
      </c>
      <c r="B798" s="4" t="s">
        <v>4350</v>
      </c>
      <c r="C798" s="4" t="s">
        <v>4487</v>
      </c>
      <c r="D798" s="4"/>
      <c r="E798" s="4" t="s">
        <v>4488</v>
      </c>
      <c r="F798" s="4" t="s">
        <v>4489</v>
      </c>
      <c r="G798" s="4"/>
      <c r="H798" s="4" t="s">
        <v>556</v>
      </c>
      <c r="I798" s="4" t="s">
        <v>4397</v>
      </c>
      <c r="J798" s="4" t="s">
        <v>4355</v>
      </c>
      <c r="K798" s="4">
        <v>800900860</v>
      </c>
      <c r="L798" s="4" t="s">
        <v>3911</v>
      </c>
      <c r="M798" s="4" t="s">
        <v>4410</v>
      </c>
      <c r="N798" s="4" t="s">
        <v>63</v>
      </c>
      <c r="O798" s="4"/>
      <c r="P798" s="4"/>
      <c r="Q798" s="4"/>
      <c r="R798" s="4"/>
      <c r="S798" s="4">
        <v>49.340733700000001</v>
      </c>
      <c r="T798" s="4">
        <v>18.0360242</v>
      </c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 t="s">
        <v>4412</v>
      </c>
    </row>
    <row r="799" spans="1:47" ht="24" customHeight="1" x14ac:dyDescent="0.3">
      <c r="A799" s="3" t="s">
        <v>381</v>
      </c>
      <c r="B799" s="4" t="s">
        <v>4350</v>
      </c>
      <c r="C799" s="4" t="s">
        <v>4490</v>
      </c>
      <c r="D799" s="4"/>
      <c r="E799" s="4" t="s">
        <v>4491</v>
      </c>
      <c r="F799" s="4" t="s">
        <v>4492</v>
      </c>
      <c r="G799" s="4"/>
      <c r="H799" s="4" t="s">
        <v>2167</v>
      </c>
      <c r="I799" s="4" t="s">
        <v>4397</v>
      </c>
      <c r="J799" s="4" t="s">
        <v>4355</v>
      </c>
      <c r="K799" s="4">
        <v>800900860</v>
      </c>
      <c r="L799" s="4" t="s">
        <v>3911</v>
      </c>
      <c r="M799" s="4" t="s">
        <v>4410</v>
      </c>
      <c r="N799" s="4" t="s">
        <v>63</v>
      </c>
      <c r="O799" s="4"/>
      <c r="P799" s="4"/>
      <c r="Q799" s="4"/>
      <c r="R799" s="4"/>
      <c r="S799" s="4">
        <v>49.016605599999998</v>
      </c>
      <c r="T799" s="4">
        <v>13.998304299999999</v>
      </c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 t="s">
        <v>4412</v>
      </c>
    </row>
    <row r="800" spans="1:47" ht="24" customHeight="1" x14ac:dyDescent="0.3">
      <c r="A800" s="3" t="s">
        <v>381</v>
      </c>
      <c r="B800" s="4" t="s">
        <v>4350</v>
      </c>
      <c r="C800" s="4" t="s">
        <v>4493</v>
      </c>
      <c r="D800" s="4"/>
      <c r="E800" s="4" t="s">
        <v>4494</v>
      </c>
      <c r="F800" s="4" t="s">
        <v>4495</v>
      </c>
      <c r="G800" s="4">
        <v>59101</v>
      </c>
      <c r="H800" s="4" t="s">
        <v>4496</v>
      </c>
      <c r="I800" s="4" t="s">
        <v>4397</v>
      </c>
      <c r="J800" s="4" t="s">
        <v>4355</v>
      </c>
      <c r="K800" s="4">
        <v>800900860</v>
      </c>
      <c r="L800" s="4" t="s">
        <v>3911</v>
      </c>
      <c r="M800" s="4" t="s">
        <v>4410</v>
      </c>
      <c r="N800" s="4" t="s">
        <v>63</v>
      </c>
      <c r="O800" s="4"/>
      <c r="P800" s="4"/>
      <c r="Q800" s="4"/>
      <c r="R800" s="4"/>
      <c r="S800" s="4">
        <v>49.557810400000001</v>
      </c>
      <c r="T800" s="4">
        <v>15.946925200000001</v>
      </c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 t="s">
        <v>4497</v>
      </c>
    </row>
    <row r="801" spans="1:48" ht="24" customHeight="1" x14ac:dyDescent="0.3">
      <c r="A801" s="3" t="s">
        <v>381</v>
      </c>
      <c r="B801" s="4" t="s">
        <v>4350</v>
      </c>
      <c r="C801" s="4" t="s">
        <v>4498</v>
      </c>
      <c r="D801" s="4"/>
      <c r="E801" s="4" t="s">
        <v>4499</v>
      </c>
      <c r="F801" s="4" t="s">
        <v>4500</v>
      </c>
      <c r="G801" s="4"/>
      <c r="H801" s="4" t="s">
        <v>4501</v>
      </c>
      <c r="I801" s="4" t="s">
        <v>4397</v>
      </c>
      <c r="J801" s="4" t="s">
        <v>4355</v>
      </c>
      <c r="K801" s="4">
        <v>800900860</v>
      </c>
      <c r="L801" s="4" t="s">
        <v>3911</v>
      </c>
      <c r="M801" s="4" t="s">
        <v>4410</v>
      </c>
      <c r="N801" s="4" t="s">
        <v>4502</v>
      </c>
      <c r="O801" s="4"/>
      <c r="P801" s="4"/>
      <c r="Q801" s="4"/>
      <c r="R801" s="4"/>
      <c r="S801" s="4">
        <v>48.767768099999998</v>
      </c>
      <c r="T801" s="4">
        <v>14.0265389</v>
      </c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 t="s">
        <v>4412</v>
      </c>
    </row>
    <row r="802" spans="1:48" ht="24" customHeight="1" x14ac:dyDescent="0.3">
      <c r="A802" s="3" t="s">
        <v>381</v>
      </c>
      <c r="B802" s="4" t="s">
        <v>4350</v>
      </c>
      <c r="C802" s="4" t="s">
        <v>4503</v>
      </c>
      <c r="D802" s="4"/>
      <c r="E802" s="4" t="s">
        <v>4504</v>
      </c>
      <c r="F802" s="4" t="s">
        <v>4505</v>
      </c>
      <c r="G802" s="4"/>
      <c r="H802" s="4" t="s">
        <v>760</v>
      </c>
      <c r="I802" s="4" t="s">
        <v>4397</v>
      </c>
      <c r="J802" s="4" t="s">
        <v>4355</v>
      </c>
      <c r="K802" s="4">
        <v>800900860</v>
      </c>
      <c r="L802" s="4" t="s">
        <v>3911</v>
      </c>
      <c r="M802" s="4" t="s">
        <v>4410</v>
      </c>
      <c r="N802" s="4" t="s">
        <v>63</v>
      </c>
      <c r="O802" s="4"/>
      <c r="P802" s="4"/>
      <c r="Q802" s="4"/>
      <c r="R802" s="4"/>
      <c r="S802" s="4">
        <v>49.6860116</v>
      </c>
      <c r="T802" s="4">
        <v>13.990140999999999</v>
      </c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 t="s">
        <v>4412</v>
      </c>
    </row>
    <row r="803" spans="1:48" ht="24" customHeight="1" x14ac:dyDescent="0.3">
      <c r="A803" s="3" t="s">
        <v>381</v>
      </c>
      <c r="B803" s="4" t="s">
        <v>4350</v>
      </c>
      <c r="C803" s="4" t="s">
        <v>4506</v>
      </c>
      <c r="D803" s="4"/>
      <c r="E803" s="4" t="s">
        <v>4507</v>
      </c>
      <c r="F803" s="4" t="s">
        <v>4508</v>
      </c>
      <c r="G803" s="4"/>
      <c r="H803" s="4" t="s">
        <v>4509</v>
      </c>
      <c r="I803" s="4" t="s">
        <v>4397</v>
      </c>
      <c r="J803" s="4" t="s">
        <v>4355</v>
      </c>
      <c r="K803" s="4">
        <v>800900860</v>
      </c>
      <c r="L803" s="4" t="s">
        <v>3911</v>
      </c>
      <c r="M803" s="4" t="s">
        <v>4410</v>
      </c>
      <c r="N803" s="4" t="s">
        <v>63</v>
      </c>
      <c r="O803" s="4"/>
      <c r="P803" s="4"/>
      <c r="Q803" s="4"/>
      <c r="R803" s="4"/>
      <c r="S803" s="4">
        <v>48.825980999999999</v>
      </c>
      <c r="T803" s="4">
        <v>14.3358153</v>
      </c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 t="s">
        <v>4412</v>
      </c>
    </row>
    <row r="804" spans="1:48" ht="24" customHeight="1" x14ac:dyDescent="0.3">
      <c r="A804" s="3" t="s">
        <v>381</v>
      </c>
      <c r="B804" s="4" t="s">
        <v>4350</v>
      </c>
      <c r="C804" s="4" t="s">
        <v>4510</v>
      </c>
      <c r="D804" s="4"/>
      <c r="E804" s="4" t="s">
        <v>4511</v>
      </c>
      <c r="F804" s="4" t="s">
        <v>4512</v>
      </c>
      <c r="G804" s="4"/>
      <c r="H804" s="4" t="s">
        <v>4513</v>
      </c>
      <c r="I804" s="4" t="s">
        <v>4397</v>
      </c>
      <c r="J804" s="4" t="s">
        <v>4355</v>
      </c>
      <c r="K804" s="4">
        <v>800900860</v>
      </c>
      <c r="L804" s="4" t="s">
        <v>3911</v>
      </c>
      <c r="M804" s="4" t="s">
        <v>4410</v>
      </c>
      <c r="N804" s="4" t="s">
        <v>63</v>
      </c>
      <c r="O804" s="4"/>
      <c r="P804" s="4"/>
      <c r="Q804" s="4"/>
      <c r="R804" s="4"/>
      <c r="S804" s="4">
        <v>49.377928500000003</v>
      </c>
      <c r="T804" s="4">
        <v>14.706154099999999</v>
      </c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 t="s">
        <v>4412</v>
      </c>
    </row>
    <row r="805" spans="1:48" ht="24" customHeight="1" x14ac:dyDescent="0.3">
      <c r="A805" s="6" t="s">
        <v>53</v>
      </c>
      <c r="B805" s="6" t="s">
        <v>65</v>
      </c>
      <c r="C805" s="6" t="s">
        <v>4514</v>
      </c>
      <c r="D805" s="16">
        <v>28852184</v>
      </c>
      <c r="E805" s="6" t="s">
        <v>4515</v>
      </c>
      <c r="F805" s="6" t="s">
        <v>4516</v>
      </c>
      <c r="G805" s="6">
        <v>56501</v>
      </c>
      <c r="H805" s="6" t="s">
        <v>4517</v>
      </c>
      <c r="I805" s="6" t="s">
        <v>4518</v>
      </c>
      <c r="J805" s="6" t="s">
        <v>4519</v>
      </c>
      <c r="K805" s="6">
        <v>724200836</v>
      </c>
      <c r="L805" s="6" t="s">
        <v>1676</v>
      </c>
      <c r="M805" s="6" t="s">
        <v>3899</v>
      </c>
      <c r="N805" s="6" t="s">
        <v>63</v>
      </c>
      <c r="O805" s="6" t="s">
        <v>224</v>
      </c>
      <c r="P805" s="6"/>
      <c r="Q805" s="6" t="str">
        <f>VLOOKUP(G805,seznampsc!A:B,2,FALSE)</f>
        <v>Ústí nad Orlicí</v>
      </c>
      <c r="R805" s="6" t="str">
        <f>VLOOKUP(G805,seznampsc!A:C,3,FALSE)</f>
        <v>Pardubický kraj</v>
      </c>
      <c r="U805" s="29">
        <v>0.05</v>
      </c>
      <c r="AV805" s="3">
        <v>30000</v>
      </c>
    </row>
    <row r="806" spans="1:48" ht="24" customHeight="1" x14ac:dyDescent="0.3">
      <c r="A806" s="6" t="s">
        <v>53</v>
      </c>
      <c r="B806" s="6" t="s">
        <v>65</v>
      </c>
      <c r="C806" s="6" t="s">
        <v>4520</v>
      </c>
      <c r="D806" s="16">
        <v>25075870</v>
      </c>
      <c r="E806" s="6" t="s">
        <v>4521</v>
      </c>
      <c r="F806" s="6" t="s">
        <v>4522</v>
      </c>
      <c r="G806" s="6">
        <v>27201</v>
      </c>
      <c r="H806" s="6" t="s">
        <v>916</v>
      </c>
      <c r="I806" s="6" t="s">
        <v>4523</v>
      </c>
      <c r="J806" s="6" t="s">
        <v>4524</v>
      </c>
      <c r="K806" s="6">
        <v>312681767.60268098</v>
      </c>
      <c r="L806" s="6" t="s">
        <v>1676</v>
      </c>
      <c r="M806" s="6" t="s">
        <v>3899</v>
      </c>
      <c r="N806" s="6" t="s">
        <v>63</v>
      </c>
      <c r="O806" s="6" t="s">
        <v>4525</v>
      </c>
      <c r="P806" s="6"/>
      <c r="Q806" s="6" t="str">
        <f>VLOOKUP(G806,seznampsc!A:B,2,FALSE)</f>
        <v>Kladno</v>
      </c>
      <c r="R806" s="6" t="str">
        <f>VLOOKUP(G806,seznampsc!A:C,3,FALSE)</f>
        <v>Středočeský kraj</v>
      </c>
      <c r="U806" s="29">
        <v>0.05</v>
      </c>
      <c r="AB806" s="3" t="s">
        <v>3935</v>
      </c>
      <c r="AC806" s="3" t="s">
        <v>3935</v>
      </c>
      <c r="AV806" s="3">
        <v>50000</v>
      </c>
    </row>
    <row r="807" spans="1:48" ht="24" customHeight="1" x14ac:dyDescent="0.3">
      <c r="A807" s="1" t="s">
        <v>381</v>
      </c>
      <c r="B807" s="1" t="s">
        <v>65</v>
      </c>
      <c r="C807" s="1" t="s">
        <v>4526</v>
      </c>
      <c r="D807" s="18" t="s">
        <v>4527</v>
      </c>
      <c r="E807" s="1" t="s">
        <v>4528</v>
      </c>
      <c r="F807" s="1" t="s">
        <v>4529</v>
      </c>
      <c r="G807" s="1">
        <v>66491</v>
      </c>
      <c r="H807" s="1" t="s">
        <v>4530</v>
      </c>
      <c r="I807" s="1" t="s">
        <v>4531</v>
      </c>
      <c r="J807" s="1" t="s">
        <v>4532</v>
      </c>
      <c r="K807" s="1">
        <v>602508890</v>
      </c>
      <c r="L807" s="1" t="s">
        <v>3911</v>
      </c>
      <c r="M807" s="1" t="s">
        <v>3912</v>
      </c>
      <c r="N807" s="1" t="s">
        <v>63</v>
      </c>
      <c r="O807" s="1" t="s">
        <v>248</v>
      </c>
      <c r="P807" s="1"/>
      <c r="Q807" s="1"/>
      <c r="R807" s="1"/>
      <c r="AU807" s="4" t="s">
        <v>4533</v>
      </c>
    </row>
    <row r="808" spans="1:48" ht="24" customHeight="1" x14ac:dyDescent="0.3">
      <c r="A808" s="6" t="s">
        <v>53</v>
      </c>
      <c r="B808" s="6" t="s">
        <v>65</v>
      </c>
      <c r="C808" s="6" t="s">
        <v>4534</v>
      </c>
      <c r="D808" s="16">
        <v>48376353</v>
      </c>
      <c r="E808" s="6" t="s">
        <v>4535</v>
      </c>
      <c r="F808" s="6" t="s">
        <v>4536</v>
      </c>
      <c r="G808" s="6">
        <v>36005</v>
      </c>
      <c r="H808" s="6" t="s">
        <v>1408</v>
      </c>
      <c r="I808" s="6" t="s">
        <v>4537</v>
      </c>
      <c r="J808" s="6" t="s">
        <v>4538</v>
      </c>
      <c r="K808" s="6">
        <v>777859704.35356104</v>
      </c>
      <c r="L808" s="6" t="s">
        <v>1676</v>
      </c>
      <c r="M808" s="6" t="s">
        <v>3899</v>
      </c>
      <c r="N808" s="6" t="s">
        <v>63</v>
      </c>
      <c r="O808" s="6" t="s">
        <v>588</v>
      </c>
      <c r="P808" s="6"/>
      <c r="Q808" s="6" t="str">
        <f>VLOOKUP(G808,seznampsc!A:B,2,FALSE)</f>
        <v>Karlovy Vary</v>
      </c>
      <c r="R808" s="6" t="str">
        <f>VLOOKUP(G808,seznampsc!A:C,3,FALSE)</f>
        <v>Karlovarský kraj</v>
      </c>
      <c r="U808" s="29">
        <v>0.05</v>
      </c>
      <c r="AV808" s="3">
        <v>30000</v>
      </c>
    </row>
    <row r="809" spans="1:48" ht="24" customHeight="1" x14ac:dyDescent="0.3">
      <c r="A809" s="6" t="s">
        <v>53</v>
      </c>
      <c r="B809" s="6" t="s">
        <v>65</v>
      </c>
      <c r="C809" s="6" t="s">
        <v>4539</v>
      </c>
      <c r="D809" s="16">
        <v>61995037</v>
      </c>
      <c r="E809" s="6" t="s">
        <v>4540</v>
      </c>
      <c r="F809" s="6" t="s">
        <v>4541</v>
      </c>
      <c r="G809" s="6">
        <v>53002</v>
      </c>
      <c r="H809" s="6" t="s">
        <v>2071</v>
      </c>
      <c r="I809" s="6" t="s">
        <v>4542</v>
      </c>
      <c r="J809" s="6" t="s">
        <v>4543</v>
      </c>
      <c r="K809" s="6">
        <v>602104120</v>
      </c>
      <c r="L809" s="6" t="s">
        <v>1676</v>
      </c>
      <c r="M809" s="6" t="s">
        <v>3899</v>
      </c>
      <c r="N809" s="6" t="s">
        <v>63</v>
      </c>
      <c r="O809" s="6" t="s">
        <v>224</v>
      </c>
      <c r="P809" s="6"/>
      <c r="Q809" s="6" t="str">
        <f>VLOOKUP(G809,seznampsc!A:B,2,FALSE)</f>
        <v>Pardubice</v>
      </c>
      <c r="R809" s="6" t="str">
        <f>VLOOKUP(G809,seznampsc!A:C,3,FALSE)</f>
        <v>Pardubický kraj</v>
      </c>
      <c r="U809" s="29">
        <v>0.05</v>
      </c>
      <c r="AV809" s="3">
        <v>30000</v>
      </c>
    </row>
    <row r="810" spans="1:48" ht="24" customHeight="1" x14ac:dyDescent="0.3">
      <c r="A810" s="6" t="s">
        <v>53</v>
      </c>
      <c r="B810" s="6" t="s">
        <v>65</v>
      </c>
      <c r="C810" s="6" t="s">
        <v>4539</v>
      </c>
      <c r="D810" s="16">
        <v>61995037</v>
      </c>
      <c r="E810" s="6" t="s">
        <v>4540</v>
      </c>
      <c r="F810" s="6" t="s">
        <v>4544</v>
      </c>
      <c r="G810" s="6">
        <v>50004</v>
      </c>
      <c r="H810" s="6" t="s">
        <v>330</v>
      </c>
      <c r="I810" s="6" t="s">
        <v>4545</v>
      </c>
      <c r="J810" s="6" t="s">
        <v>4543</v>
      </c>
      <c r="K810" s="6">
        <v>603466692</v>
      </c>
      <c r="L810" s="6" t="s">
        <v>1676</v>
      </c>
      <c r="M810" s="6" t="s">
        <v>3899</v>
      </c>
      <c r="N810" s="6" t="s">
        <v>63</v>
      </c>
      <c r="O810" s="6" t="s">
        <v>224</v>
      </c>
      <c r="P810" s="6"/>
      <c r="Q810" s="6" t="str">
        <f>VLOOKUP(G810,seznampsc!A:B,2,FALSE)</f>
        <v>Hradec Králové</v>
      </c>
      <c r="R810" s="6" t="str">
        <f>VLOOKUP(G810,seznampsc!A:C,3,FALSE)</f>
        <v>Královéhradecký kraj</v>
      </c>
      <c r="U810" s="29">
        <v>0.05</v>
      </c>
      <c r="AU810" s="3" t="s">
        <v>4546</v>
      </c>
      <c r="AV810" s="3">
        <v>30000</v>
      </c>
    </row>
    <row r="811" spans="1:48" ht="24" customHeight="1" x14ac:dyDescent="0.3">
      <c r="A811" s="6" t="s">
        <v>53</v>
      </c>
      <c r="B811" s="6" t="s">
        <v>65</v>
      </c>
      <c r="C811" s="6" t="s">
        <v>4547</v>
      </c>
      <c r="D811" s="16">
        <v>27471829</v>
      </c>
      <c r="E811" s="6" t="s">
        <v>4548</v>
      </c>
      <c r="F811" s="6" t="s">
        <v>4549</v>
      </c>
      <c r="G811" s="6">
        <v>54701</v>
      </c>
      <c r="H811" s="6" t="s">
        <v>2364</v>
      </c>
      <c r="I811" s="6" t="s">
        <v>4550</v>
      </c>
      <c r="J811" s="6" t="s">
        <v>4551</v>
      </c>
      <c r="K811" s="6">
        <v>491422422.60811001</v>
      </c>
      <c r="L811" s="6" t="s">
        <v>1676</v>
      </c>
      <c r="M811" s="6" t="s">
        <v>3899</v>
      </c>
      <c r="N811" s="6" t="s">
        <v>63</v>
      </c>
      <c r="O811" s="6" t="s">
        <v>248</v>
      </c>
      <c r="P811" s="6"/>
      <c r="Q811" s="6" t="str">
        <f>VLOOKUP(G811,seznampsc!A:B,2,FALSE)</f>
        <v>Náchod</v>
      </c>
      <c r="R811" s="6" t="str">
        <f>VLOOKUP(G811,seznampsc!A:C,3,FALSE)</f>
        <v>Královéhradecký kraj</v>
      </c>
      <c r="U811" s="29">
        <v>0.05</v>
      </c>
      <c r="AV811" s="3">
        <v>30000</v>
      </c>
    </row>
    <row r="812" spans="1:48" ht="24" customHeight="1" x14ac:dyDescent="0.3">
      <c r="A812" s="6" t="s">
        <v>53</v>
      </c>
      <c r="B812" s="6" t="s">
        <v>65</v>
      </c>
      <c r="C812" s="6" t="s">
        <v>4552</v>
      </c>
      <c r="D812" s="16">
        <v>73200301</v>
      </c>
      <c r="E812" s="6" t="s">
        <v>4553</v>
      </c>
      <c r="F812" s="6" t="s">
        <v>4554</v>
      </c>
      <c r="G812" s="6">
        <v>73564</v>
      </c>
      <c r="H812" s="6" t="s">
        <v>957</v>
      </c>
      <c r="I812" s="6" t="s">
        <v>4553</v>
      </c>
      <c r="J812" s="6" t="s">
        <v>4555</v>
      </c>
      <c r="K812" s="6">
        <v>736607088</v>
      </c>
      <c r="L812" s="6" t="s">
        <v>1676</v>
      </c>
      <c r="M812" s="6" t="s">
        <v>3899</v>
      </c>
      <c r="N812" s="6" t="s">
        <v>63</v>
      </c>
      <c r="O812" s="6" t="s">
        <v>224</v>
      </c>
      <c r="P812" s="6"/>
      <c r="Q812" s="6" t="str">
        <f>VLOOKUP(G812,seznampsc!A:B,2,FALSE)</f>
        <v>Karviná</v>
      </c>
      <c r="R812" s="6" t="str">
        <f>VLOOKUP(G812,seznampsc!A:C,3,FALSE)</f>
        <v>Moravskoslezský kraj</v>
      </c>
      <c r="U812" s="29">
        <v>0.05</v>
      </c>
      <c r="AV812" s="3">
        <v>50000</v>
      </c>
    </row>
    <row r="813" spans="1:48" ht="24" customHeight="1" x14ac:dyDescent="0.3">
      <c r="A813" s="1" t="s">
        <v>381</v>
      </c>
      <c r="B813" s="1" t="s">
        <v>65</v>
      </c>
      <c r="C813" s="1" t="s">
        <v>4556</v>
      </c>
      <c r="D813" s="18" t="s">
        <v>4557</v>
      </c>
      <c r="E813" s="1" t="s">
        <v>4558</v>
      </c>
      <c r="F813" s="1" t="s">
        <v>4419</v>
      </c>
      <c r="G813" s="1">
        <v>51101</v>
      </c>
      <c r="H813" s="1" t="s">
        <v>3627</v>
      </c>
      <c r="I813" s="1" t="s">
        <v>4559</v>
      </c>
      <c r="J813" s="1" t="s">
        <v>4560</v>
      </c>
      <c r="K813" s="1" t="s">
        <v>4561</v>
      </c>
      <c r="L813" s="1" t="s">
        <v>3911</v>
      </c>
      <c r="M813" s="1" t="s">
        <v>3912</v>
      </c>
      <c r="N813" s="1" t="s">
        <v>63</v>
      </c>
      <c r="O813" s="1" t="s">
        <v>224</v>
      </c>
      <c r="P813" s="1"/>
      <c r="Q813" s="1"/>
      <c r="R813" s="1"/>
      <c r="AU813" s="1" t="s">
        <v>4562</v>
      </c>
    </row>
    <row r="814" spans="1:48" ht="24" customHeight="1" x14ac:dyDescent="0.3">
      <c r="A814" s="6" t="s">
        <v>53</v>
      </c>
      <c r="B814" s="6" t="s">
        <v>65</v>
      </c>
      <c r="C814" s="6" t="s">
        <v>4563</v>
      </c>
      <c r="D814" s="16">
        <v>24271012</v>
      </c>
      <c r="E814" s="6" t="s">
        <v>4564</v>
      </c>
      <c r="F814" s="6" t="s">
        <v>4565</v>
      </c>
      <c r="G814" s="6">
        <v>47301</v>
      </c>
      <c r="H814" s="6" t="s">
        <v>4566</v>
      </c>
      <c r="I814" s="6" t="s">
        <v>4567</v>
      </c>
      <c r="J814" s="7" t="s">
        <v>4568</v>
      </c>
      <c r="K814" s="6">
        <v>608558228</v>
      </c>
      <c r="L814" s="6" t="s">
        <v>1676</v>
      </c>
      <c r="M814" s="6" t="s">
        <v>3899</v>
      </c>
      <c r="N814" s="6" t="s">
        <v>63</v>
      </c>
      <c r="O814" s="6" t="s">
        <v>4569</v>
      </c>
      <c r="P814" s="6"/>
      <c r="Q814" s="6" t="str">
        <f>VLOOKUP(G814,seznampsc!A:B,2,FALSE)</f>
        <v>Česká Lípa</v>
      </c>
      <c r="R814" s="6" t="str">
        <f>VLOOKUP(G814,seznampsc!A:C,3,FALSE)</f>
        <v>Liberecký kraj</v>
      </c>
      <c r="U814" s="29">
        <v>0.05</v>
      </c>
      <c r="AV814" s="3">
        <v>30000</v>
      </c>
    </row>
    <row r="815" spans="1:48" ht="24" customHeight="1" x14ac:dyDescent="0.3">
      <c r="A815" s="6" t="s">
        <v>53</v>
      </c>
      <c r="B815" s="6" t="s">
        <v>65</v>
      </c>
      <c r="C815" s="6" t="s">
        <v>4570</v>
      </c>
      <c r="D815" s="16">
        <v>73468568</v>
      </c>
      <c r="E815" s="6" t="s">
        <v>4571</v>
      </c>
      <c r="F815" s="6" t="s">
        <v>4572</v>
      </c>
      <c r="G815" s="6">
        <v>35601</v>
      </c>
      <c r="H815" s="6" t="s">
        <v>878</v>
      </c>
      <c r="I815" s="6" t="s">
        <v>4573</v>
      </c>
      <c r="J815" s="6" t="s">
        <v>4574</v>
      </c>
      <c r="K815" s="6">
        <v>777240695</v>
      </c>
      <c r="L815" s="6" t="s">
        <v>1676</v>
      </c>
      <c r="M815" s="6" t="s">
        <v>3899</v>
      </c>
      <c r="N815" s="6" t="s">
        <v>63</v>
      </c>
      <c r="O815" s="6" t="s">
        <v>4090</v>
      </c>
      <c r="P815" s="6"/>
      <c r="Q815" s="6" t="str">
        <f>VLOOKUP(G815,seznampsc!A:B,2,FALSE)</f>
        <v>Sokolov</v>
      </c>
      <c r="R815" s="6" t="str">
        <f>VLOOKUP(G815,seznampsc!A:C,3,FALSE)</f>
        <v>Karlovarský kraj</v>
      </c>
      <c r="U815" s="29">
        <v>0.05</v>
      </c>
      <c r="AB815" s="3" t="s">
        <v>3935</v>
      </c>
      <c r="AC815" s="3" t="s">
        <v>3935</v>
      </c>
      <c r="AV815" s="3">
        <v>30000</v>
      </c>
    </row>
    <row r="816" spans="1:48" ht="24" customHeight="1" x14ac:dyDescent="0.3">
      <c r="A816" s="6" t="s">
        <v>53</v>
      </c>
      <c r="B816" s="6" t="s">
        <v>65</v>
      </c>
      <c r="C816" s="6" t="s">
        <v>4575</v>
      </c>
      <c r="D816" s="16">
        <v>27682765</v>
      </c>
      <c r="E816" s="6" t="s">
        <v>4576</v>
      </c>
      <c r="F816" s="6" t="s">
        <v>4577</v>
      </c>
      <c r="G816" s="6">
        <v>79601</v>
      </c>
      <c r="H816" s="6" t="s">
        <v>1756</v>
      </c>
      <c r="I816" s="6" t="s">
        <v>4578</v>
      </c>
      <c r="J816" s="6" t="s">
        <v>4579</v>
      </c>
      <c r="K816" s="6">
        <v>582373136.60257101</v>
      </c>
      <c r="L816" s="6" t="s">
        <v>1676</v>
      </c>
      <c r="M816" s="6" t="s">
        <v>3899</v>
      </c>
      <c r="N816" s="6" t="s">
        <v>63</v>
      </c>
      <c r="O816" s="6" t="s">
        <v>224</v>
      </c>
      <c r="P816" s="6"/>
      <c r="Q816" s="6" t="str">
        <f>VLOOKUP(G816,seznampsc!A:B,2,FALSE)</f>
        <v>Prostějov</v>
      </c>
      <c r="R816" s="6" t="str">
        <f>VLOOKUP(G816,seznampsc!A:C,3,FALSE)</f>
        <v>Olomoucký kraj</v>
      </c>
      <c r="U816" s="29">
        <v>0.05</v>
      </c>
      <c r="AB816" s="3" t="s">
        <v>3935</v>
      </c>
      <c r="AC816" s="3" t="s">
        <v>3935</v>
      </c>
      <c r="AV816" s="3">
        <v>30000</v>
      </c>
    </row>
    <row r="817" spans="1:48" ht="24" customHeight="1" x14ac:dyDescent="0.3">
      <c r="A817" s="6" t="s">
        <v>53</v>
      </c>
      <c r="B817" s="6" t="s">
        <v>65</v>
      </c>
      <c r="C817" s="6" t="s">
        <v>4575</v>
      </c>
      <c r="D817" s="16">
        <v>27682765</v>
      </c>
      <c r="E817" s="6" t="s">
        <v>4576</v>
      </c>
      <c r="F817" s="6" t="s">
        <v>4580</v>
      </c>
      <c r="G817" s="6">
        <v>78401</v>
      </c>
      <c r="H817" s="6" t="s">
        <v>2387</v>
      </c>
      <c r="I817" s="6" t="s">
        <v>4578</v>
      </c>
      <c r="J817" s="6" t="s">
        <v>4579</v>
      </c>
      <c r="K817" s="6">
        <v>585154631.72415805</v>
      </c>
      <c r="L817" s="6" t="s">
        <v>1676</v>
      </c>
      <c r="M817" s="6" t="s">
        <v>3899</v>
      </c>
      <c r="N817" s="6" t="s">
        <v>63</v>
      </c>
      <c r="O817" s="6" t="s">
        <v>224</v>
      </c>
      <c r="P817" s="6"/>
      <c r="Q817" s="6" t="str">
        <f>VLOOKUP(G817,seznampsc!A:B,2,FALSE)</f>
        <v>Olomouc</v>
      </c>
      <c r="R817" s="6" t="str">
        <f>VLOOKUP(G817,seznampsc!A:C,3,FALSE)</f>
        <v>Olomoucký kraj</v>
      </c>
      <c r="U817" s="29">
        <v>0.05</v>
      </c>
      <c r="AB817" s="3" t="s">
        <v>3935</v>
      </c>
      <c r="AC817" s="3" t="s">
        <v>3935</v>
      </c>
      <c r="AV817" s="3">
        <v>30000</v>
      </c>
    </row>
    <row r="818" spans="1:48" ht="24" customHeight="1" x14ac:dyDescent="0.3">
      <c r="A818" s="6" t="s">
        <v>53</v>
      </c>
      <c r="B818" s="6" t="s">
        <v>65</v>
      </c>
      <c r="C818" s="6" t="s">
        <v>4581</v>
      </c>
      <c r="D818" s="16">
        <v>16271602</v>
      </c>
      <c r="E818" s="6" t="s">
        <v>4582</v>
      </c>
      <c r="F818" s="6" t="s">
        <v>4583</v>
      </c>
      <c r="G818" s="6">
        <v>54341</v>
      </c>
      <c r="H818" s="6" t="s">
        <v>4584</v>
      </c>
      <c r="I818" s="6" t="s">
        <v>4585</v>
      </c>
      <c r="J818" s="6" t="s">
        <v>4586</v>
      </c>
      <c r="K818" s="6">
        <v>731068616.77722204</v>
      </c>
      <c r="L818" s="6" t="s">
        <v>1676</v>
      </c>
      <c r="M818" s="6" t="s">
        <v>3899</v>
      </c>
      <c r="N818" s="6" t="s">
        <v>63</v>
      </c>
      <c r="O818" s="6" t="s">
        <v>224</v>
      </c>
      <c r="P818" s="6"/>
      <c r="Q818" s="6" t="str">
        <f>VLOOKUP(G818,seznampsc!A:B,2,FALSE)</f>
        <v>Trutnov</v>
      </c>
      <c r="R818" s="6" t="str">
        <f>VLOOKUP(G818,seznampsc!A:C,3,FALSE)</f>
        <v>Královéhradecký kraj</v>
      </c>
      <c r="U818" s="29">
        <v>0.05</v>
      </c>
      <c r="AV818" s="3">
        <v>30000</v>
      </c>
    </row>
    <row r="819" spans="1:48" ht="24" customHeight="1" x14ac:dyDescent="0.3">
      <c r="A819" s="6" t="s">
        <v>53</v>
      </c>
      <c r="B819" s="6" t="s">
        <v>65</v>
      </c>
      <c r="C819" s="6" t="s">
        <v>4587</v>
      </c>
      <c r="D819" s="16">
        <v>45486743</v>
      </c>
      <c r="E819" s="6" t="s">
        <v>4588</v>
      </c>
      <c r="F819" s="6" t="s">
        <v>4589</v>
      </c>
      <c r="G819" s="6">
        <v>66902</v>
      </c>
      <c r="H819" s="6" t="s">
        <v>291</v>
      </c>
      <c r="I819" s="6" t="s">
        <v>4588</v>
      </c>
      <c r="J819" s="6" t="s">
        <v>4590</v>
      </c>
      <c r="K819" s="6">
        <v>608032111</v>
      </c>
      <c r="L819" s="6" t="s">
        <v>1676</v>
      </c>
      <c r="M819" s="6" t="s">
        <v>3899</v>
      </c>
      <c r="N819" s="6" t="s">
        <v>63</v>
      </c>
      <c r="O819" s="6" t="s">
        <v>4591</v>
      </c>
      <c r="P819" s="6"/>
      <c r="Q819" s="6" t="str">
        <f>VLOOKUP(G819,seznampsc!A:B,2,FALSE)</f>
        <v>Znojmo</v>
      </c>
      <c r="R819" s="6" t="str">
        <f>VLOOKUP(G819,seznampsc!A:C,3,FALSE)</f>
        <v>Jihomoravský kraj</v>
      </c>
      <c r="U819" s="29">
        <v>0.05</v>
      </c>
      <c r="AV819" s="3">
        <v>30000</v>
      </c>
    </row>
    <row r="820" spans="1:48" ht="24" customHeight="1" x14ac:dyDescent="0.3">
      <c r="A820" s="6" t="s">
        <v>53</v>
      </c>
      <c r="B820" s="6" t="s">
        <v>65</v>
      </c>
      <c r="C820" s="6" t="s">
        <v>4592</v>
      </c>
      <c r="D820" s="16">
        <v>26073374</v>
      </c>
      <c r="E820" s="6" t="s">
        <v>4593</v>
      </c>
      <c r="F820" s="6" t="s">
        <v>4594</v>
      </c>
      <c r="G820" s="6">
        <v>37001</v>
      </c>
      <c r="H820" s="6" t="s">
        <v>460</v>
      </c>
      <c r="I820" s="6" t="s">
        <v>4595</v>
      </c>
      <c r="J820" s="6" t="s">
        <v>4596</v>
      </c>
      <c r="K820" s="6">
        <v>777829275</v>
      </c>
      <c r="L820" s="6" t="s">
        <v>1676</v>
      </c>
      <c r="M820" s="6" t="s">
        <v>3899</v>
      </c>
      <c r="N820" s="6" t="s">
        <v>63</v>
      </c>
      <c r="O820" s="6" t="s">
        <v>4597</v>
      </c>
      <c r="P820" s="6"/>
      <c r="Q820" s="6" t="str">
        <f>VLOOKUP(G820,seznampsc!A:B,2,FALSE)</f>
        <v>České Budějovice</v>
      </c>
      <c r="R820" s="6" t="str">
        <f>VLOOKUP(G820,seznampsc!A:C,3,FALSE)</f>
        <v>Jihočeský kraj</v>
      </c>
      <c r="U820" s="29">
        <v>0.05</v>
      </c>
      <c r="AB820" s="3" t="s">
        <v>3935</v>
      </c>
      <c r="AC820" s="3" t="s">
        <v>3935</v>
      </c>
      <c r="AV820" s="3">
        <v>30000</v>
      </c>
    </row>
    <row r="821" spans="1:48" ht="24" customHeight="1" x14ac:dyDescent="0.3">
      <c r="A821" s="6" t="s">
        <v>53</v>
      </c>
      <c r="B821" s="6" t="s">
        <v>65</v>
      </c>
      <c r="C821" s="6" t="s">
        <v>4592</v>
      </c>
      <c r="D821" s="16">
        <v>26073374</v>
      </c>
      <c r="E821" s="6" t="s">
        <v>4593</v>
      </c>
      <c r="F821" s="6" t="s">
        <v>4598</v>
      </c>
      <c r="G821" s="6">
        <v>38301</v>
      </c>
      <c r="H821" s="6" t="s">
        <v>2167</v>
      </c>
      <c r="I821" s="6" t="s">
        <v>4599</v>
      </c>
      <c r="J821" s="6" t="s">
        <v>4596</v>
      </c>
      <c r="K821" s="6">
        <v>774129275</v>
      </c>
      <c r="L821" s="6" t="s">
        <v>1676</v>
      </c>
      <c r="M821" s="6" t="s">
        <v>3899</v>
      </c>
      <c r="N821" s="6" t="s">
        <v>63</v>
      </c>
      <c r="O821" s="6" t="s">
        <v>4600</v>
      </c>
      <c r="P821" s="6"/>
      <c r="Q821" s="6" t="str">
        <f>VLOOKUP(G821,seznampsc!A:B,2,FALSE)</f>
        <v>Prachatice</v>
      </c>
      <c r="R821" s="6" t="str">
        <f>VLOOKUP(G821,seznampsc!A:C,3,FALSE)</f>
        <v>Jihočeský kraj</v>
      </c>
      <c r="U821" s="29">
        <v>0.05</v>
      </c>
      <c r="AB821" s="3" t="s">
        <v>3935</v>
      </c>
      <c r="AC821" s="3" t="s">
        <v>3935</v>
      </c>
      <c r="AV821" s="3">
        <v>30000</v>
      </c>
    </row>
    <row r="822" spans="1:48" ht="24" customHeight="1" x14ac:dyDescent="0.3">
      <c r="A822" s="1" t="s">
        <v>381</v>
      </c>
      <c r="B822" s="1" t="s">
        <v>65</v>
      </c>
      <c r="C822" s="1" t="s">
        <v>4601</v>
      </c>
      <c r="D822" s="18" t="s">
        <v>4602</v>
      </c>
      <c r="E822" s="1" t="s">
        <v>4603</v>
      </c>
      <c r="F822" s="1" t="s">
        <v>4604</v>
      </c>
      <c r="G822" s="1">
        <v>27601</v>
      </c>
      <c r="H822" s="1" t="s">
        <v>237</v>
      </c>
      <c r="I822" s="1" t="s">
        <v>4605</v>
      </c>
      <c r="J822" s="1" t="s">
        <v>4606</v>
      </c>
      <c r="K822" s="1" t="s">
        <v>4607</v>
      </c>
      <c r="L822" s="1" t="s">
        <v>3911</v>
      </c>
      <c r="M822" s="1" t="s">
        <v>3912</v>
      </c>
      <c r="N822" s="1" t="s">
        <v>63</v>
      </c>
      <c r="O822" s="1" t="s">
        <v>4608</v>
      </c>
      <c r="P822" s="1"/>
      <c r="Q822" s="1"/>
      <c r="R822" s="1"/>
      <c r="AU822" s="4" t="s">
        <v>4609</v>
      </c>
    </row>
    <row r="823" spans="1:48" ht="24" customHeight="1" x14ac:dyDescent="0.3">
      <c r="A823" s="6" t="s">
        <v>53</v>
      </c>
      <c r="B823" s="6" t="s">
        <v>65</v>
      </c>
      <c r="C823" s="6" t="s">
        <v>4610</v>
      </c>
      <c r="D823" s="16">
        <v>49869418</v>
      </c>
      <c r="E823" s="6" t="s">
        <v>4611</v>
      </c>
      <c r="F823" s="6" t="s">
        <v>4612</v>
      </c>
      <c r="G823" s="6">
        <v>47001</v>
      </c>
      <c r="H823" s="6" t="s">
        <v>221</v>
      </c>
      <c r="I823" s="6" t="s">
        <v>4613</v>
      </c>
      <c r="J823" s="6"/>
      <c r="K823" s="6">
        <v>776118197</v>
      </c>
      <c r="L823" s="6" t="s">
        <v>1676</v>
      </c>
      <c r="M823" s="6" t="s">
        <v>62</v>
      </c>
      <c r="N823" s="6" t="s">
        <v>63</v>
      </c>
      <c r="O823" s="6" t="s">
        <v>198</v>
      </c>
      <c r="P823" s="6"/>
      <c r="Q823" s="6" t="str">
        <f>VLOOKUP(G823,seznampsc!A:B,2,FALSE)</f>
        <v>Česká Lípa</v>
      </c>
      <c r="R823" s="6" t="str">
        <f>VLOOKUP(G823,seznampsc!A:C,3,FALSE)</f>
        <v>Liberecký kraj</v>
      </c>
      <c r="U823" s="29">
        <v>0.05</v>
      </c>
      <c r="AB823" s="3" t="s">
        <v>3935</v>
      </c>
      <c r="AC823" s="3" t="s">
        <v>3935</v>
      </c>
      <c r="AV823" s="3">
        <v>30000</v>
      </c>
    </row>
    <row r="824" spans="1:48" ht="24" customHeight="1" x14ac:dyDescent="0.3">
      <c r="A824" s="6" t="s">
        <v>53</v>
      </c>
      <c r="B824" s="6" t="s">
        <v>65</v>
      </c>
      <c r="C824" s="6" t="s">
        <v>4614</v>
      </c>
      <c r="D824" s="16">
        <v>28653840</v>
      </c>
      <c r="E824" s="6" t="s">
        <v>4615</v>
      </c>
      <c r="F824" s="6" t="s">
        <v>4616</v>
      </c>
      <c r="G824" s="6">
        <v>75301</v>
      </c>
      <c r="H824" s="6" t="s">
        <v>1769</v>
      </c>
      <c r="I824" s="6" t="s">
        <v>4617</v>
      </c>
      <c r="J824" s="6" t="s">
        <v>4618</v>
      </c>
      <c r="K824" s="6">
        <v>605294721.58161402</v>
      </c>
      <c r="L824" s="6" t="s">
        <v>1676</v>
      </c>
      <c r="M824" s="6" t="s">
        <v>3899</v>
      </c>
      <c r="N824" s="6" t="s">
        <v>63</v>
      </c>
      <c r="O824" s="6" t="s">
        <v>4619</v>
      </c>
      <c r="P824" s="6"/>
      <c r="Q824" s="6" t="str">
        <f>VLOOKUP(G824,seznampsc!A:B,2,FALSE)</f>
        <v>Přerov</v>
      </c>
      <c r="R824" s="6" t="str">
        <f>VLOOKUP(G824,seznampsc!A:C,3,FALSE)</f>
        <v>Olomoucký kraj</v>
      </c>
      <c r="U824" s="29">
        <v>0.05</v>
      </c>
      <c r="AV824" s="3">
        <v>30000</v>
      </c>
    </row>
    <row r="825" spans="1:48" ht="24" customHeight="1" x14ac:dyDescent="0.3">
      <c r="A825" s="6" t="s">
        <v>53</v>
      </c>
      <c r="B825" s="6" t="s">
        <v>65</v>
      </c>
      <c r="C825" s="6" t="s">
        <v>4620</v>
      </c>
      <c r="D825" s="16">
        <v>25269992</v>
      </c>
      <c r="E825" s="6" t="s">
        <v>4621</v>
      </c>
      <c r="F825" s="6" t="s">
        <v>4622</v>
      </c>
      <c r="G825" s="6">
        <v>51601</v>
      </c>
      <c r="H825" s="6" t="s">
        <v>4623</v>
      </c>
      <c r="I825" s="6" t="s">
        <v>4624</v>
      </c>
      <c r="J825" s="6" t="s">
        <v>4625</v>
      </c>
      <c r="K825" s="6">
        <v>603532303.49453497</v>
      </c>
      <c r="L825" s="6" t="s">
        <v>1676</v>
      </c>
      <c r="M825" s="6" t="s">
        <v>3899</v>
      </c>
      <c r="N825" s="6" t="s">
        <v>63</v>
      </c>
      <c r="O825" s="6" t="s">
        <v>588</v>
      </c>
      <c r="P825" s="6"/>
      <c r="Q825" s="6" t="str">
        <f>VLOOKUP(G825,seznampsc!A:B,2,FALSE)</f>
        <v>Rychnov nad Kněžnou</v>
      </c>
      <c r="R825" s="6" t="str">
        <f>VLOOKUP(G825,seznampsc!A:C,3,FALSE)</f>
        <v>Královéhradecký kraj</v>
      </c>
      <c r="U825" s="29">
        <v>0.05</v>
      </c>
      <c r="AV825" s="3">
        <v>30000</v>
      </c>
    </row>
    <row r="826" spans="1:48" ht="24" customHeight="1" x14ac:dyDescent="0.3">
      <c r="A826" s="6" t="s">
        <v>53</v>
      </c>
      <c r="B826" s="6" t="s">
        <v>65</v>
      </c>
      <c r="C826" s="6" t="s">
        <v>4626</v>
      </c>
      <c r="D826" s="16">
        <v>28096665</v>
      </c>
      <c r="E826" s="6" t="s">
        <v>4627</v>
      </c>
      <c r="F826" s="6" t="s">
        <v>4628</v>
      </c>
      <c r="G826" s="6">
        <v>37001</v>
      </c>
      <c r="H826" s="6" t="s">
        <v>460</v>
      </c>
      <c r="I826" s="6" t="s">
        <v>917</v>
      </c>
      <c r="J826" s="6" t="s">
        <v>4629</v>
      </c>
      <c r="K826" s="6">
        <v>800400250.38699996</v>
      </c>
      <c r="L826" s="6" t="s">
        <v>1676</v>
      </c>
      <c r="M826" s="6" t="s">
        <v>3899</v>
      </c>
      <c r="N826" s="6" t="s">
        <v>63</v>
      </c>
      <c r="O826" s="6" t="s">
        <v>680</v>
      </c>
      <c r="P826" s="6"/>
      <c r="Q826" s="6" t="str">
        <f>VLOOKUP(G826,seznampsc!A:B,2,FALSE)</f>
        <v>České Budějovice</v>
      </c>
      <c r="R826" s="6" t="str">
        <f>VLOOKUP(G826,seznampsc!A:C,3,FALSE)</f>
        <v>Jihočeský kraj</v>
      </c>
      <c r="U826" s="29">
        <v>0.1</v>
      </c>
      <c r="AB826" s="3" t="s">
        <v>3935</v>
      </c>
      <c r="AC826" s="3" t="s">
        <v>3935</v>
      </c>
      <c r="AU826" s="3" t="s">
        <v>4246</v>
      </c>
      <c r="AV826" s="3">
        <v>50000</v>
      </c>
    </row>
    <row r="827" spans="1:48" ht="24" customHeight="1" x14ac:dyDescent="0.3">
      <c r="A827" s="6" t="s">
        <v>53</v>
      </c>
      <c r="B827" s="6" t="s">
        <v>65</v>
      </c>
      <c r="C827" s="6" t="s">
        <v>4626</v>
      </c>
      <c r="D827" s="16">
        <v>28096665</v>
      </c>
      <c r="E827" s="6" t="s">
        <v>4627</v>
      </c>
      <c r="F827" s="6" t="s">
        <v>4630</v>
      </c>
      <c r="G827" s="6">
        <v>39002</v>
      </c>
      <c r="H827" s="6" t="s">
        <v>106</v>
      </c>
      <c r="I827" s="6" t="s">
        <v>917</v>
      </c>
      <c r="J827" s="6" t="s">
        <v>4629</v>
      </c>
      <c r="K827" s="6">
        <v>800400250.38699996</v>
      </c>
      <c r="L827" s="6" t="s">
        <v>1676</v>
      </c>
      <c r="M827" s="6" t="s">
        <v>3899</v>
      </c>
      <c r="N827" s="6" t="s">
        <v>63</v>
      </c>
      <c r="O827" s="6" t="s">
        <v>241</v>
      </c>
      <c r="P827" s="6"/>
      <c r="Q827" s="6" t="str">
        <f>VLOOKUP(G827,seznampsc!A:B,2,FALSE)</f>
        <v>Tábor</v>
      </c>
      <c r="R827" s="6" t="str">
        <f>VLOOKUP(G827,seznampsc!A:C,3,FALSE)</f>
        <v>Jihočeský kraj</v>
      </c>
      <c r="U827" s="29">
        <v>0.1</v>
      </c>
      <c r="AB827" s="3" t="s">
        <v>3935</v>
      </c>
      <c r="AC827" s="3" t="s">
        <v>3935</v>
      </c>
      <c r="AU827" s="3" t="s">
        <v>4246</v>
      </c>
      <c r="AV827" s="3">
        <v>50000</v>
      </c>
    </row>
    <row r="828" spans="1:48" ht="24" customHeight="1" x14ac:dyDescent="0.3">
      <c r="A828" s="6" t="s">
        <v>53</v>
      </c>
      <c r="B828" s="6" t="s">
        <v>65</v>
      </c>
      <c r="C828" s="6" t="s">
        <v>4626</v>
      </c>
      <c r="D828" s="16">
        <v>28096665</v>
      </c>
      <c r="E828" s="6" t="s">
        <v>4627</v>
      </c>
      <c r="F828" s="6" t="s">
        <v>4631</v>
      </c>
      <c r="G828" s="6">
        <v>10200</v>
      </c>
      <c r="H828" s="6" t="s">
        <v>80</v>
      </c>
      <c r="I828" s="6" t="s">
        <v>917</v>
      </c>
      <c r="J828" s="6" t="s">
        <v>4629</v>
      </c>
      <c r="K828" s="6">
        <v>800400250.38699996</v>
      </c>
      <c r="L828" s="6" t="s">
        <v>1676</v>
      </c>
      <c r="M828" s="6" t="s">
        <v>3899</v>
      </c>
      <c r="N828" s="6" t="s">
        <v>63</v>
      </c>
      <c r="O828" s="6" t="s">
        <v>241</v>
      </c>
      <c r="P828" s="6"/>
      <c r="Q828" s="6" t="str">
        <f>VLOOKUP(G828,seznampsc!A:B,2,FALSE)</f>
        <v>Hlavní město Praha</v>
      </c>
      <c r="R828" s="6" t="str">
        <f>VLOOKUP(G828,seznampsc!A:C,3,FALSE)</f>
        <v>Hlavní město Praha</v>
      </c>
      <c r="U828" s="29">
        <v>0.1</v>
      </c>
      <c r="AB828" s="3" t="s">
        <v>3935</v>
      </c>
      <c r="AC828" s="3" t="s">
        <v>3935</v>
      </c>
      <c r="AU828" s="3" t="s">
        <v>4246</v>
      </c>
      <c r="AV828" s="3">
        <v>50000</v>
      </c>
    </row>
    <row r="829" spans="1:48" ht="24" customHeight="1" x14ac:dyDescent="0.3">
      <c r="A829" s="6" t="s">
        <v>53</v>
      </c>
      <c r="B829" s="6" t="s">
        <v>65</v>
      </c>
      <c r="C829" s="6" t="s">
        <v>4241</v>
      </c>
      <c r="D829" s="16">
        <v>44004362</v>
      </c>
      <c r="E829" s="6" t="s">
        <v>4242</v>
      </c>
      <c r="F829" s="6" t="s">
        <v>4632</v>
      </c>
      <c r="G829" s="6">
        <v>75501</v>
      </c>
      <c r="H829" s="6" t="s">
        <v>4633</v>
      </c>
      <c r="I829" s="6" t="s">
        <v>4244</v>
      </c>
      <c r="J829" s="6" t="s">
        <v>4245</v>
      </c>
      <c r="K829" s="6">
        <v>608700287.60870004</v>
      </c>
      <c r="L829" s="6" t="s">
        <v>1676</v>
      </c>
      <c r="M829" s="6" t="s">
        <v>3899</v>
      </c>
      <c r="N829" s="6" t="s">
        <v>63</v>
      </c>
      <c r="O829" s="6" t="s">
        <v>4634</v>
      </c>
      <c r="P829" s="6"/>
      <c r="Q829" s="6" t="str">
        <f>VLOOKUP(G829,seznampsc!A:B,2,FALSE)</f>
        <v>Vsetín</v>
      </c>
      <c r="R829" s="6" t="str">
        <f>VLOOKUP(G829,seznampsc!A:C,3,FALSE)</f>
        <v>Zlínský kraj</v>
      </c>
      <c r="U829" s="29">
        <v>0.08</v>
      </c>
      <c r="AU829" s="3" t="s">
        <v>4246</v>
      </c>
      <c r="AV829" s="3">
        <v>50000</v>
      </c>
    </row>
    <row r="830" spans="1:48" ht="24" customHeight="1" x14ac:dyDescent="0.3">
      <c r="A830" s="6" t="s">
        <v>53</v>
      </c>
      <c r="B830" s="6" t="s">
        <v>65</v>
      </c>
      <c r="C830" s="6" t="s">
        <v>4626</v>
      </c>
      <c r="D830" s="16">
        <v>28096665</v>
      </c>
      <c r="E830" s="6" t="s">
        <v>4627</v>
      </c>
      <c r="F830" s="6" t="s">
        <v>4635</v>
      </c>
      <c r="G830" s="6">
        <v>58601</v>
      </c>
      <c r="H830" s="6" t="s">
        <v>286</v>
      </c>
      <c r="I830" s="6" t="s">
        <v>917</v>
      </c>
      <c r="J830" s="6" t="s">
        <v>4629</v>
      </c>
      <c r="K830" s="6">
        <v>800400250.38699996</v>
      </c>
      <c r="L830" s="6" t="s">
        <v>1676</v>
      </c>
      <c r="M830" s="6" t="s">
        <v>3899</v>
      </c>
      <c r="N830" s="6" t="s">
        <v>63</v>
      </c>
      <c r="O830" s="6" t="s">
        <v>241</v>
      </c>
      <c r="P830" s="6"/>
      <c r="Q830" s="6" t="str">
        <f>VLOOKUP(G830,seznampsc!A:B,2,FALSE)</f>
        <v>Jihlava</v>
      </c>
      <c r="R830" s="6" t="str">
        <f>VLOOKUP(G830,seznampsc!A:C,3,FALSE)</f>
        <v>Kraj Vysočina</v>
      </c>
      <c r="U830" s="29">
        <v>0.1</v>
      </c>
      <c r="AB830" s="3" t="s">
        <v>3935</v>
      </c>
      <c r="AC830" s="3" t="s">
        <v>3935</v>
      </c>
      <c r="AU830" s="3" t="s">
        <v>4246</v>
      </c>
      <c r="AV830" s="3">
        <v>50000</v>
      </c>
    </row>
    <row r="831" spans="1:48" ht="24" customHeight="1" x14ac:dyDescent="0.3">
      <c r="A831" s="6" t="s">
        <v>53</v>
      </c>
      <c r="B831" s="6" t="s">
        <v>65</v>
      </c>
      <c r="C831" s="6" t="s">
        <v>4626</v>
      </c>
      <c r="D831" s="16">
        <v>28096665</v>
      </c>
      <c r="E831" s="6" t="s">
        <v>4627</v>
      </c>
      <c r="F831" s="6" t="s">
        <v>4636</v>
      </c>
      <c r="G831" s="6">
        <v>60200</v>
      </c>
      <c r="H831" s="6" t="s">
        <v>272</v>
      </c>
      <c r="I831" s="6" t="s">
        <v>917</v>
      </c>
      <c r="J831" s="6" t="s">
        <v>4629</v>
      </c>
      <c r="K831" s="6">
        <v>800400250.38699996</v>
      </c>
      <c r="L831" s="6" t="s">
        <v>1676</v>
      </c>
      <c r="M831" s="6" t="s">
        <v>3899</v>
      </c>
      <c r="N831" s="6" t="s">
        <v>63</v>
      </c>
      <c r="O831" s="6" t="s">
        <v>241</v>
      </c>
      <c r="P831" s="6"/>
      <c r="Q831" s="6" t="str">
        <f>VLOOKUP(G831,seznampsc!A:B,2,FALSE)</f>
        <v>Brno-město</v>
      </c>
      <c r="R831" s="6" t="str">
        <f>VLOOKUP(G831,seznampsc!A:C,3,FALSE)</f>
        <v>Jihomoravský kraj</v>
      </c>
      <c r="U831" s="29">
        <v>0.1</v>
      </c>
      <c r="AB831" s="3" t="s">
        <v>3935</v>
      </c>
      <c r="AC831" s="3" t="s">
        <v>3935</v>
      </c>
      <c r="AU831" s="3" t="s">
        <v>4246</v>
      </c>
      <c r="AV831" s="3">
        <v>50000</v>
      </c>
    </row>
    <row r="832" spans="1:48" ht="24" customHeight="1" x14ac:dyDescent="0.3">
      <c r="A832" s="6" t="s">
        <v>53</v>
      </c>
      <c r="B832" s="6" t="s">
        <v>65</v>
      </c>
      <c r="C832" s="6" t="s">
        <v>4626</v>
      </c>
      <c r="D832" s="16">
        <v>28096665</v>
      </c>
      <c r="E832" s="6" t="s">
        <v>4627</v>
      </c>
      <c r="F832" s="6" t="s">
        <v>4637</v>
      </c>
      <c r="G832" s="6">
        <v>75701</v>
      </c>
      <c r="H832" s="6" t="s">
        <v>3054</v>
      </c>
      <c r="I832" s="6" t="s">
        <v>917</v>
      </c>
      <c r="J832" s="6" t="s">
        <v>4629</v>
      </c>
      <c r="K832" s="6">
        <v>800400250.38699996</v>
      </c>
      <c r="L832" s="6" t="s">
        <v>1676</v>
      </c>
      <c r="M832" s="6" t="s">
        <v>3899</v>
      </c>
      <c r="N832" s="6" t="s">
        <v>63</v>
      </c>
      <c r="O832" s="6" t="s">
        <v>224</v>
      </c>
      <c r="P832" s="6"/>
      <c r="Q832" s="6" t="str">
        <f>VLOOKUP(G832,seznampsc!A:B,2,FALSE)</f>
        <v>Vsetín</v>
      </c>
      <c r="R832" s="6" t="str">
        <f>VLOOKUP(G832,seznampsc!A:C,3,FALSE)</f>
        <v>Zlínský kraj</v>
      </c>
      <c r="U832" s="29">
        <v>0.1</v>
      </c>
      <c r="AB832" s="3" t="s">
        <v>3935</v>
      </c>
      <c r="AC832" s="3" t="s">
        <v>3935</v>
      </c>
      <c r="AU832" s="3" t="s">
        <v>4246</v>
      </c>
      <c r="AV832" s="3">
        <v>50000</v>
      </c>
    </row>
    <row r="833" spans="1:48" ht="24" customHeight="1" x14ac:dyDescent="0.3">
      <c r="A833" s="6" t="s">
        <v>53</v>
      </c>
      <c r="B833" s="6" t="s">
        <v>65</v>
      </c>
      <c r="C833" s="6" t="s">
        <v>4626</v>
      </c>
      <c r="D833" s="16">
        <v>28096665</v>
      </c>
      <c r="E833" s="6" t="s">
        <v>4627</v>
      </c>
      <c r="F833" s="6" t="s">
        <v>4638</v>
      </c>
      <c r="G833" s="6">
        <v>70300</v>
      </c>
      <c r="H833" s="6" t="s">
        <v>574</v>
      </c>
      <c r="I833" s="6" t="s">
        <v>917</v>
      </c>
      <c r="J833" s="7" t="s">
        <v>4629</v>
      </c>
      <c r="K833" s="6">
        <v>800400250.38699996</v>
      </c>
      <c r="L833" s="6" t="s">
        <v>1676</v>
      </c>
      <c r="M833" s="6" t="s">
        <v>3899</v>
      </c>
      <c r="N833" s="6" t="s">
        <v>63</v>
      </c>
      <c r="O833" s="6" t="s">
        <v>241</v>
      </c>
      <c r="P833" s="6"/>
      <c r="Q833" s="6" t="str">
        <f>VLOOKUP(G833,seznampsc!A:B,2,FALSE)</f>
        <v>Ostrava-město</v>
      </c>
      <c r="R833" s="6" t="str">
        <f>VLOOKUP(G833,seznampsc!A:C,3,FALSE)</f>
        <v>Moravskoslezský kraj</v>
      </c>
      <c r="U833" s="29">
        <v>0.1</v>
      </c>
      <c r="AB833" s="3" t="s">
        <v>3935</v>
      </c>
      <c r="AC833" s="3" t="s">
        <v>3935</v>
      </c>
      <c r="AU833" s="3" t="s">
        <v>4246</v>
      </c>
      <c r="AV833" s="3">
        <v>50000</v>
      </c>
    </row>
    <row r="834" spans="1:48" ht="24" customHeight="1" x14ac:dyDescent="0.3">
      <c r="A834" s="6" t="s">
        <v>53</v>
      </c>
      <c r="B834" s="6" t="s">
        <v>65</v>
      </c>
      <c r="C834" s="6" t="s">
        <v>4626</v>
      </c>
      <c r="D834" s="16">
        <v>28096665</v>
      </c>
      <c r="E834" s="6" t="s">
        <v>4627</v>
      </c>
      <c r="F834" s="6" t="s">
        <v>4639</v>
      </c>
      <c r="G834" s="6">
        <v>13000</v>
      </c>
      <c r="H834" s="6" t="s">
        <v>4252</v>
      </c>
      <c r="I834" s="6"/>
      <c r="J834" s="7"/>
      <c r="K834" s="6"/>
      <c r="L834" s="6" t="s">
        <v>1676</v>
      </c>
      <c r="M834" s="6" t="s">
        <v>3899</v>
      </c>
      <c r="N834" s="6" t="s">
        <v>63</v>
      </c>
      <c r="O834" s="6" t="s">
        <v>4640</v>
      </c>
      <c r="P834" s="6"/>
      <c r="Q834" s="6" t="str">
        <f>VLOOKUP(G834,seznampsc!A:B,2,FALSE)</f>
        <v>Hlavní město Praha</v>
      </c>
      <c r="R834" s="6" t="str">
        <f>VLOOKUP(G834,seznampsc!A:C,3,FALSE)</f>
        <v>Hlavní město Praha</v>
      </c>
      <c r="U834" s="29">
        <v>0.1</v>
      </c>
      <c r="AB834" s="3" t="s">
        <v>3935</v>
      </c>
      <c r="AC834" s="3" t="s">
        <v>3935</v>
      </c>
      <c r="AU834" s="3" t="s">
        <v>4246</v>
      </c>
      <c r="AV834" s="3">
        <v>50000</v>
      </c>
    </row>
    <row r="835" spans="1:48" ht="24" customHeight="1" x14ac:dyDescent="0.3">
      <c r="A835" s="1" t="s">
        <v>381</v>
      </c>
      <c r="B835" s="1" t="s">
        <v>65</v>
      </c>
      <c r="C835" s="1" t="s">
        <v>4641</v>
      </c>
      <c r="D835" s="18" t="s">
        <v>4642</v>
      </c>
      <c r="E835" s="1" t="s">
        <v>4643</v>
      </c>
      <c r="F835" s="1" t="s">
        <v>4495</v>
      </c>
      <c r="G835" s="1">
        <v>59101</v>
      </c>
      <c r="H835" s="1" t="s">
        <v>4496</v>
      </c>
      <c r="I835" s="1" t="s">
        <v>4644</v>
      </c>
      <c r="J835" s="1" t="s">
        <v>4645</v>
      </c>
      <c r="K835" s="1">
        <v>566625834</v>
      </c>
      <c r="L835" s="1" t="s">
        <v>3911</v>
      </c>
      <c r="M835" s="1" t="s">
        <v>3912</v>
      </c>
      <c r="N835" s="1" t="s">
        <v>63</v>
      </c>
      <c r="O835" s="1" t="s">
        <v>224</v>
      </c>
      <c r="P835" s="1"/>
      <c r="Q835" s="1"/>
      <c r="R835" s="1"/>
      <c r="U835" s="3">
        <v>5</v>
      </c>
      <c r="X835" s="3">
        <v>1500</v>
      </c>
      <c r="Y835" s="3">
        <v>800</v>
      </c>
      <c r="Z835" s="3">
        <v>1200</v>
      </c>
      <c r="AU835" s="3" t="s">
        <v>4646</v>
      </c>
    </row>
    <row r="836" spans="1:48" ht="24" customHeight="1" x14ac:dyDescent="0.3">
      <c r="A836" s="6" t="s">
        <v>53</v>
      </c>
      <c r="B836" s="6" t="s">
        <v>65</v>
      </c>
      <c r="C836" s="6" t="s">
        <v>4647</v>
      </c>
      <c r="D836" s="16">
        <v>41556844</v>
      </c>
      <c r="E836" s="6" t="s">
        <v>4648</v>
      </c>
      <c r="F836" s="6" t="s">
        <v>4649</v>
      </c>
      <c r="G836" s="6">
        <v>67801</v>
      </c>
      <c r="H836" s="6" t="s">
        <v>124</v>
      </c>
      <c r="I836" s="6" t="s">
        <v>4650</v>
      </c>
      <c r="J836" s="6" t="s">
        <v>4651</v>
      </c>
      <c r="K836" s="6">
        <v>602764674</v>
      </c>
      <c r="L836" s="6" t="s">
        <v>1676</v>
      </c>
      <c r="M836" s="6" t="s">
        <v>3899</v>
      </c>
      <c r="N836" s="6" t="s">
        <v>63</v>
      </c>
      <c r="O836" s="6" t="s">
        <v>4652</v>
      </c>
      <c r="P836" s="6"/>
      <c r="Q836" s="6" t="str">
        <f>VLOOKUP(G836,seznampsc!A:B,2,FALSE)</f>
        <v>Blansko</v>
      </c>
      <c r="R836" s="6" t="str">
        <f>VLOOKUP(G836,seznampsc!A:C,3,FALSE)</f>
        <v>Jihomoravský kraj</v>
      </c>
      <c r="U836" s="29">
        <v>0.05</v>
      </c>
      <c r="AV836" s="3">
        <v>30000</v>
      </c>
    </row>
    <row r="837" spans="1:48" ht="24" customHeight="1" x14ac:dyDescent="0.3">
      <c r="A837" s="6" t="s">
        <v>53</v>
      </c>
      <c r="B837" s="6" t="s">
        <v>65</v>
      </c>
      <c r="C837" s="6" t="s">
        <v>4653</v>
      </c>
      <c r="D837" s="16">
        <v>64753751</v>
      </c>
      <c r="E837" s="6" t="s">
        <v>4654</v>
      </c>
      <c r="F837" s="6" t="s">
        <v>4655</v>
      </c>
      <c r="G837" s="6">
        <v>27201</v>
      </c>
      <c r="H837" s="6" t="s">
        <v>916</v>
      </c>
      <c r="I837" s="6" t="s">
        <v>4656</v>
      </c>
      <c r="J837" s="6" t="s">
        <v>4657</v>
      </c>
      <c r="K837" s="6">
        <v>777242242</v>
      </c>
      <c r="L837" s="6" t="s">
        <v>1676</v>
      </c>
      <c r="M837" s="6" t="s">
        <v>3899</v>
      </c>
      <c r="N837" s="6" t="s">
        <v>63</v>
      </c>
      <c r="O837" s="6" t="s">
        <v>4284</v>
      </c>
      <c r="P837" s="6"/>
      <c r="Q837" s="6" t="str">
        <f>VLOOKUP(G837,seznampsc!A:B,2,FALSE)</f>
        <v>Kladno</v>
      </c>
      <c r="R837" s="6" t="str">
        <f>VLOOKUP(G837,seznampsc!A:C,3,FALSE)</f>
        <v>Středočeský kraj</v>
      </c>
      <c r="U837" s="29">
        <v>0.05</v>
      </c>
      <c r="AB837" s="3" t="s">
        <v>3935</v>
      </c>
      <c r="AC837" s="3" t="s">
        <v>3935</v>
      </c>
      <c r="AV837" s="3">
        <v>30000</v>
      </c>
    </row>
    <row r="838" spans="1:48" ht="24" customHeight="1" x14ac:dyDescent="0.3">
      <c r="A838" s="6" t="s">
        <v>53</v>
      </c>
      <c r="B838" s="6" t="s">
        <v>65</v>
      </c>
      <c r="C838" s="6" t="s">
        <v>4658</v>
      </c>
      <c r="D838" s="16">
        <v>46199471</v>
      </c>
      <c r="E838" s="6" t="s">
        <v>4659</v>
      </c>
      <c r="F838" s="6" t="s">
        <v>4660</v>
      </c>
      <c r="G838" s="6">
        <v>68604</v>
      </c>
      <c r="H838" s="6" t="s">
        <v>4661</v>
      </c>
      <c r="I838" s="6" t="s">
        <v>4662</v>
      </c>
      <c r="J838" s="6" t="s">
        <v>4663</v>
      </c>
      <c r="K838" s="6">
        <v>775777500</v>
      </c>
      <c r="L838" s="6" t="s">
        <v>1676</v>
      </c>
      <c r="M838" s="6" t="s">
        <v>3899</v>
      </c>
      <c r="N838" s="6" t="s">
        <v>63</v>
      </c>
      <c r="O838" s="6" t="s">
        <v>224</v>
      </c>
      <c r="P838" s="6"/>
      <c r="Q838" s="6" t="str">
        <f>VLOOKUP(G838,seznampsc!A:B,2,FALSE)</f>
        <v>Uherské Hradiště</v>
      </c>
      <c r="R838" s="6" t="str">
        <f>VLOOKUP(G838,seznampsc!A:C,3,FALSE)</f>
        <v>Zlínský kraj</v>
      </c>
      <c r="U838" s="29">
        <v>0.05</v>
      </c>
      <c r="AV838" s="3">
        <v>30000</v>
      </c>
    </row>
    <row r="839" spans="1:48" ht="24" customHeight="1" x14ac:dyDescent="0.3">
      <c r="A839" s="6" t="s">
        <v>53</v>
      </c>
      <c r="B839" s="6" t="s">
        <v>65</v>
      </c>
      <c r="C839" s="6" t="s">
        <v>4664</v>
      </c>
      <c r="D839" s="16">
        <v>28135903</v>
      </c>
      <c r="E839" s="6" t="s">
        <v>3159</v>
      </c>
      <c r="F839" s="6" t="s">
        <v>4665</v>
      </c>
      <c r="G839" s="6">
        <v>39301</v>
      </c>
      <c r="H839" s="6" t="s">
        <v>899</v>
      </c>
      <c r="I839" s="6" t="s">
        <v>3162</v>
      </c>
      <c r="J839" s="6" t="s">
        <v>1097</v>
      </c>
      <c r="K839" s="6">
        <v>777829106.72795701</v>
      </c>
      <c r="L839" s="6" t="s">
        <v>1676</v>
      </c>
      <c r="M839" s="6" t="s">
        <v>3899</v>
      </c>
      <c r="N839" s="6" t="s">
        <v>63</v>
      </c>
      <c r="O839" s="6" t="s">
        <v>1234</v>
      </c>
      <c r="P839" s="32" t="s">
        <v>3163</v>
      </c>
      <c r="Q839" s="6" t="str">
        <f>VLOOKUP(G839,seznampsc!A:B,2,FALSE)</f>
        <v>Pelhřimov</v>
      </c>
      <c r="R839" s="6" t="str">
        <f>VLOOKUP(G839,seznampsc!A:C,3,FALSE)</f>
        <v>Kraj Vysočina</v>
      </c>
      <c r="S839" s="6" t="s">
        <v>3164</v>
      </c>
      <c r="T839" s="6" t="s">
        <v>3165</v>
      </c>
      <c r="U839" s="29">
        <v>0.05</v>
      </c>
      <c r="AV839" s="3">
        <v>50000</v>
      </c>
    </row>
    <row r="840" spans="1:48" ht="24" customHeight="1" x14ac:dyDescent="0.3">
      <c r="A840" s="6" t="s">
        <v>53</v>
      </c>
      <c r="B840" s="6" t="s">
        <v>65</v>
      </c>
      <c r="C840" s="6" t="s">
        <v>4666</v>
      </c>
      <c r="D840" s="16">
        <v>27800814</v>
      </c>
      <c r="E840" s="6" t="s">
        <v>906</v>
      </c>
      <c r="F840" s="6" t="s">
        <v>907</v>
      </c>
      <c r="G840" s="6">
        <v>73911</v>
      </c>
      <c r="H840" s="6" t="s">
        <v>908</v>
      </c>
      <c r="I840" s="6" t="s">
        <v>909</v>
      </c>
      <c r="J840" s="6" t="s">
        <v>910</v>
      </c>
      <c r="K840" s="6">
        <v>608741043</v>
      </c>
      <c r="L840" s="6" t="s">
        <v>1676</v>
      </c>
      <c r="M840" s="6" t="s">
        <v>62</v>
      </c>
      <c r="N840" s="6" t="s">
        <v>63</v>
      </c>
      <c r="O840" s="6" t="s">
        <v>911</v>
      </c>
      <c r="P840" s="6"/>
      <c r="Q840" s="6" t="str">
        <f>VLOOKUP(G840,seznampsc!A:B,2,FALSE)</f>
        <v>Frýdek-Místek</v>
      </c>
      <c r="R840" s="6" t="str">
        <f>VLOOKUP(G840,seznampsc!A:C,3,FALSE)</f>
        <v>Moravskoslezský kraj</v>
      </c>
      <c r="S840" s="6">
        <v>49.582833000000001</v>
      </c>
      <c r="T840" s="6">
        <v>18.360087799999999</v>
      </c>
      <c r="U840" s="29">
        <v>0.05</v>
      </c>
      <c r="AV840" s="3">
        <v>50000</v>
      </c>
    </row>
    <row r="841" spans="1:48" ht="24" customHeight="1" x14ac:dyDescent="0.3">
      <c r="A841" s="6" t="s">
        <v>53</v>
      </c>
      <c r="B841" s="6" t="s">
        <v>65</v>
      </c>
      <c r="C841" s="6" t="s">
        <v>4667</v>
      </c>
      <c r="D841" s="16">
        <v>62942841</v>
      </c>
      <c r="E841" s="6" t="s">
        <v>4668</v>
      </c>
      <c r="F841" s="6" t="s">
        <v>4669</v>
      </c>
      <c r="G841" s="6">
        <v>26701</v>
      </c>
      <c r="H841" s="6" t="s">
        <v>4670</v>
      </c>
      <c r="I841" s="6" t="s">
        <v>4671</v>
      </c>
      <c r="J841" s="6" t="s">
        <v>4672</v>
      </c>
      <c r="K841" s="6">
        <v>608336936</v>
      </c>
      <c r="L841" s="6" t="s">
        <v>1676</v>
      </c>
      <c r="M841" s="6" t="s">
        <v>62</v>
      </c>
      <c r="N841" s="6" t="s">
        <v>63</v>
      </c>
      <c r="O841" s="6" t="s">
        <v>4673</v>
      </c>
      <c r="P841" s="6"/>
      <c r="Q841" s="6" t="str">
        <f>VLOOKUP(G841,seznampsc!A:B,2,FALSE)</f>
        <v>Beroun</v>
      </c>
      <c r="R841" s="6" t="str">
        <f>VLOOKUP(G841,seznampsc!A:C,3,FALSE)</f>
        <v>Středočeský kraj</v>
      </c>
      <c r="U841" s="29">
        <v>0.05</v>
      </c>
      <c r="AB841" s="3" t="s">
        <v>3935</v>
      </c>
      <c r="AC841" s="3" t="s">
        <v>3935</v>
      </c>
      <c r="AV841" s="3">
        <v>30000</v>
      </c>
    </row>
    <row r="842" spans="1:48" ht="24" customHeight="1" x14ac:dyDescent="0.3">
      <c r="A842" s="3" t="s">
        <v>53</v>
      </c>
      <c r="B842" s="3" t="s">
        <v>4350</v>
      </c>
      <c r="C842" s="3" t="s">
        <v>4351</v>
      </c>
      <c r="D842" s="3">
        <v>3664279</v>
      </c>
      <c r="E842" s="3" t="s">
        <v>4674</v>
      </c>
      <c r="F842" s="3" t="s">
        <v>4675</v>
      </c>
      <c r="G842" s="3">
        <v>46001</v>
      </c>
      <c r="H842" s="3" t="s">
        <v>1220</v>
      </c>
      <c r="I842" s="3" t="s">
        <v>4354</v>
      </c>
      <c r="J842" s="7" t="s">
        <v>4355</v>
      </c>
      <c r="K842" s="3">
        <v>800900860</v>
      </c>
      <c r="L842" s="6" t="s">
        <v>1676</v>
      </c>
      <c r="M842" s="3" t="s">
        <v>3899</v>
      </c>
      <c r="N842" s="3" t="s">
        <v>63</v>
      </c>
      <c r="O842" s="3" t="s">
        <v>787</v>
      </c>
      <c r="Q842" s="6" t="str">
        <f>VLOOKUP(G842,seznampsc!A:B,2,FALSE)</f>
        <v>Liberec</v>
      </c>
      <c r="R842" s="6" t="str">
        <f>VLOOKUP(G842,seznampsc!A:C,3,FALSE)</f>
        <v>Liberecký kraj</v>
      </c>
      <c r="S842" s="3">
        <v>50.741637799999999</v>
      </c>
      <c r="T842" s="3">
        <v>15.0490861</v>
      </c>
      <c r="AV842" s="3">
        <v>100000</v>
      </c>
    </row>
    <row r="843" spans="1:48" ht="24" customHeight="1" x14ac:dyDescent="0.3">
      <c r="A843" s="6" t="s">
        <v>53</v>
      </c>
      <c r="B843" s="6" t="s">
        <v>65</v>
      </c>
      <c r="C843" s="6" t="s">
        <v>4667</v>
      </c>
      <c r="D843" s="16">
        <v>62942841</v>
      </c>
      <c r="E843" s="6" t="s">
        <v>4668</v>
      </c>
      <c r="F843" s="6" t="s">
        <v>4676</v>
      </c>
      <c r="G843" s="6">
        <v>26203</v>
      </c>
      <c r="H843" s="6" t="s">
        <v>4677</v>
      </c>
      <c r="I843" s="6" t="s">
        <v>4671</v>
      </c>
      <c r="J843" s="6" t="s">
        <v>4672</v>
      </c>
      <c r="K843" s="6">
        <v>608336936</v>
      </c>
      <c r="L843" s="6" t="s">
        <v>1676</v>
      </c>
      <c r="M843" s="6" t="s">
        <v>62</v>
      </c>
      <c r="N843" s="6" t="s">
        <v>63</v>
      </c>
      <c r="O843" s="6" t="s">
        <v>4673</v>
      </c>
      <c r="P843" s="6"/>
      <c r="Q843" s="6" t="str">
        <f>VLOOKUP(G843,seznampsc!A:B,2,FALSE)</f>
        <v>Příbram</v>
      </c>
      <c r="R843" s="6" t="str">
        <f>VLOOKUP(G843,seznampsc!A:C,3,FALSE)</f>
        <v>Středočeský kraj</v>
      </c>
      <c r="U843" s="29">
        <v>0.05</v>
      </c>
      <c r="AB843" s="3" t="s">
        <v>3935</v>
      </c>
      <c r="AC843" s="3" t="s">
        <v>3935</v>
      </c>
      <c r="AV843" s="3">
        <v>30000</v>
      </c>
    </row>
    <row r="844" spans="1:48" ht="24" customHeight="1" x14ac:dyDescent="0.3">
      <c r="A844" s="6" t="s">
        <v>53</v>
      </c>
      <c r="B844" s="6" t="s">
        <v>65</v>
      </c>
      <c r="C844" s="6" t="s">
        <v>4667</v>
      </c>
      <c r="D844" s="16">
        <v>62942841</v>
      </c>
      <c r="E844" s="6" t="s">
        <v>4668</v>
      </c>
      <c r="F844" s="6" t="s">
        <v>4678</v>
      </c>
      <c r="G844" s="6">
        <v>26718</v>
      </c>
      <c r="H844" s="6" t="s">
        <v>4679</v>
      </c>
      <c r="I844" s="6" t="s">
        <v>4671</v>
      </c>
      <c r="J844" s="6" t="s">
        <v>4672</v>
      </c>
      <c r="K844" s="6">
        <v>608336936</v>
      </c>
      <c r="L844" s="6" t="s">
        <v>1676</v>
      </c>
      <c r="M844" s="6" t="s">
        <v>62</v>
      </c>
      <c r="N844" s="6" t="s">
        <v>63</v>
      </c>
      <c r="O844" s="6" t="s">
        <v>4673</v>
      </c>
      <c r="P844" s="6"/>
      <c r="Q844" s="6" t="str">
        <f>VLOOKUP(G844,seznampsc!A:B,2,FALSE)</f>
        <v>Beroun</v>
      </c>
      <c r="R844" s="6" t="str">
        <f>VLOOKUP(G844,seznampsc!A:C,3,FALSE)</f>
        <v>Středočeský kraj</v>
      </c>
      <c r="U844" s="29">
        <v>0.05</v>
      </c>
      <c r="AB844" s="3" t="s">
        <v>3935</v>
      </c>
      <c r="AC844" s="3" t="s">
        <v>3935</v>
      </c>
      <c r="AV844" s="3">
        <v>30000</v>
      </c>
    </row>
    <row r="845" spans="1:48" ht="24" customHeight="1" x14ac:dyDescent="0.3">
      <c r="A845" s="6" t="s">
        <v>53</v>
      </c>
      <c r="B845" s="6" t="s">
        <v>65</v>
      </c>
      <c r="C845" s="6" t="s">
        <v>4680</v>
      </c>
      <c r="D845" s="16">
        <v>68913699</v>
      </c>
      <c r="E845" s="6" t="s">
        <v>4681</v>
      </c>
      <c r="F845" s="6" t="s">
        <v>4682</v>
      </c>
      <c r="G845" s="6">
        <v>73514</v>
      </c>
      <c r="H845" s="6" t="s">
        <v>1171</v>
      </c>
      <c r="I845" s="6" t="s">
        <v>4683</v>
      </c>
      <c r="J845" s="6" t="s">
        <v>4684</v>
      </c>
      <c r="K845" s="6">
        <v>603274565</v>
      </c>
      <c r="L845" s="6" t="s">
        <v>1676</v>
      </c>
      <c r="M845" s="6" t="s">
        <v>3899</v>
      </c>
      <c r="N845" s="6" t="s">
        <v>63</v>
      </c>
      <c r="O845" s="6" t="s">
        <v>4685</v>
      </c>
      <c r="P845" s="6"/>
      <c r="Q845" s="6" t="str">
        <f>VLOOKUP(G845,seznampsc!A:B,2,FALSE)</f>
        <v>Karviná</v>
      </c>
      <c r="R845" s="6" t="str">
        <f>VLOOKUP(G845,seznampsc!A:C,3,FALSE)</f>
        <v>Moravskoslezský kraj</v>
      </c>
      <c r="U845" s="29">
        <v>0.05</v>
      </c>
      <c r="W845" s="29">
        <v>0.05</v>
      </c>
      <c r="AV845" s="3">
        <v>100000</v>
      </c>
    </row>
    <row r="846" spans="1:48" ht="24" customHeight="1" x14ac:dyDescent="0.3">
      <c r="A846" s="6" t="s">
        <v>53</v>
      </c>
      <c r="B846" s="6" t="s">
        <v>65</v>
      </c>
      <c r="C846" s="6" t="s">
        <v>4686</v>
      </c>
      <c r="D846" s="16">
        <v>25355660</v>
      </c>
      <c r="E846" s="6" t="s">
        <v>4687</v>
      </c>
      <c r="F846" s="6" t="s">
        <v>4688</v>
      </c>
      <c r="G846" s="6">
        <v>77200</v>
      </c>
      <c r="H846" s="6" t="s">
        <v>265</v>
      </c>
      <c r="I846" s="6" t="s">
        <v>4689</v>
      </c>
      <c r="J846" s="6" t="s">
        <v>4690</v>
      </c>
      <c r="K846" s="6">
        <v>731543210</v>
      </c>
      <c r="L846" s="6" t="s">
        <v>1676</v>
      </c>
      <c r="M846" s="6" t="s">
        <v>3899</v>
      </c>
      <c r="N846" s="6" t="s">
        <v>63</v>
      </c>
      <c r="O846" s="6" t="s">
        <v>4691</v>
      </c>
      <c r="P846" s="6"/>
      <c r="Q846" s="6" t="str">
        <f>VLOOKUP(G846,seznampsc!A:B,2,FALSE)</f>
        <v>Olomouc</v>
      </c>
      <c r="R846" s="6" t="str">
        <f>VLOOKUP(G846,seznampsc!A:C,3,FALSE)</f>
        <v>Olomoucký kraj</v>
      </c>
      <c r="U846" s="29">
        <v>0.05</v>
      </c>
      <c r="AV846" s="3">
        <v>30000</v>
      </c>
    </row>
    <row r="847" spans="1:48" ht="24" customHeight="1" x14ac:dyDescent="0.3">
      <c r="A847" s="6" t="s">
        <v>53</v>
      </c>
      <c r="B847" s="6" t="s">
        <v>65</v>
      </c>
      <c r="C847" s="6" t="s">
        <v>4692</v>
      </c>
      <c r="D847" s="16">
        <v>72899573</v>
      </c>
      <c r="E847" s="6" t="s">
        <v>4693</v>
      </c>
      <c r="F847" s="6" t="s">
        <v>4694</v>
      </c>
      <c r="G847" s="6">
        <v>57101</v>
      </c>
      <c r="H847" s="6" t="s">
        <v>4695</v>
      </c>
      <c r="I847" s="6" t="s">
        <v>4696</v>
      </c>
      <c r="J847" s="7" t="s">
        <v>4697</v>
      </c>
      <c r="K847" s="6">
        <v>608832939</v>
      </c>
      <c r="L847" s="6" t="s">
        <v>1676</v>
      </c>
      <c r="M847" s="6" t="s">
        <v>62</v>
      </c>
      <c r="N847" s="6" t="s">
        <v>63</v>
      </c>
      <c r="O847" s="6" t="s">
        <v>198</v>
      </c>
      <c r="P847" s="6"/>
      <c r="Q847" s="6" t="str">
        <f>VLOOKUP(G847,seznampsc!A:B,2,FALSE)</f>
        <v>Svitavy</v>
      </c>
      <c r="R847" s="6" t="str">
        <f>VLOOKUP(G847,seznampsc!A:C,3,FALSE)</f>
        <v>Pardubický kraj</v>
      </c>
      <c r="U847" s="29">
        <v>0.05</v>
      </c>
      <c r="X847" s="3">
        <v>1500</v>
      </c>
      <c r="Y847" s="3">
        <v>800</v>
      </c>
      <c r="Z847" s="3">
        <v>1200</v>
      </c>
      <c r="AV847" s="3">
        <v>100000</v>
      </c>
    </row>
    <row r="848" spans="1:48" ht="24" customHeight="1" x14ac:dyDescent="0.3">
      <c r="A848" s="6" t="s">
        <v>53</v>
      </c>
      <c r="B848" s="6" t="s">
        <v>65</v>
      </c>
      <c r="C848" s="6" t="s">
        <v>4692</v>
      </c>
      <c r="D848" s="16">
        <v>72999573</v>
      </c>
      <c r="E848" s="6" t="s">
        <v>4693</v>
      </c>
      <c r="F848" s="6" t="s">
        <v>4698</v>
      </c>
      <c r="G848" s="6">
        <v>56802</v>
      </c>
      <c r="H848" s="6" t="s">
        <v>2584</v>
      </c>
      <c r="I848" s="6" t="s">
        <v>4696</v>
      </c>
      <c r="J848" s="7" t="s">
        <v>4697</v>
      </c>
      <c r="K848" s="6">
        <v>608832939</v>
      </c>
      <c r="L848" s="6" t="s">
        <v>1676</v>
      </c>
      <c r="M848" s="6" t="s">
        <v>62</v>
      </c>
      <c r="N848" s="6" t="s">
        <v>63</v>
      </c>
      <c r="O848" s="6" t="s">
        <v>198</v>
      </c>
      <c r="P848" s="6"/>
      <c r="Q848" s="6" t="str">
        <f>VLOOKUP(G848,seznampsc!A:B,2,FALSE)</f>
        <v>Svitavy</v>
      </c>
      <c r="R848" s="6" t="str">
        <f>VLOOKUP(G848,seznampsc!A:C,3,FALSE)</f>
        <v>Pardubický kraj</v>
      </c>
      <c r="U848" s="29">
        <v>0.05</v>
      </c>
      <c r="X848" s="3">
        <v>1500</v>
      </c>
      <c r="Y848" s="3">
        <v>800</v>
      </c>
      <c r="Z848" s="3">
        <v>1200</v>
      </c>
      <c r="AV848" s="3">
        <v>100000</v>
      </c>
    </row>
    <row r="849" spans="1:48" ht="24" customHeight="1" x14ac:dyDescent="0.3">
      <c r="A849" s="6" t="s">
        <v>53</v>
      </c>
      <c r="B849" s="6" t="s">
        <v>65</v>
      </c>
      <c r="C849" s="6" t="s">
        <v>4692</v>
      </c>
      <c r="D849" s="16">
        <v>73099573</v>
      </c>
      <c r="E849" s="6" t="s">
        <v>4693</v>
      </c>
      <c r="F849" s="6" t="s">
        <v>4699</v>
      </c>
      <c r="G849" s="6">
        <v>56124</v>
      </c>
      <c r="H849" s="6" t="s">
        <v>4700</v>
      </c>
      <c r="I849" s="6" t="s">
        <v>4696</v>
      </c>
      <c r="J849" s="7" t="s">
        <v>4697</v>
      </c>
      <c r="K849" s="6">
        <v>608832939</v>
      </c>
      <c r="L849" s="6" t="s">
        <v>1676</v>
      </c>
      <c r="M849" s="6" t="s">
        <v>62</v>
      </c>
      <c r="N849" s="6" t="s">
        <v>63</v>
      </c>
      <c r="O849" s="6" t="s">
        <v>198</v>
      </c>
      <c r="P849" s="6"/>
      <c r="Q849" s="6" t="str">
        <f>VLOOKUP(G849,seznampsc!A:B,2,FALSE)</f>
        <v>Ústí nad Orlicí</v>
      </c>
      <c r="R849" s="6" t="str">
        <f>VLOOKUP(G849,seznampsc!A:C,3,FALSE)</f>
        <v>Pardubický kraj</v>
      </c>
      <c r="AV849" s="3">
        <v>100000</v>
      </c>
    </row>
    <row r="850" spans="1:48" ht="24" customHeight="1" x14ac:dyDescent="0.3">
      <c r="A850" s="3" t="s">
        <v>53</v>
      </c>
      <c r="B850" s="3" t="s">
        <v>4701</v>
      </c>
      <c r="C850" s="3" t="s">
        <v>4702</v>
      </c>
      <c r="D850" s="3">
        <v>9047123</v>
      </c>
      <c r="E850" s="3" t="s">
        <v>4703</v>
      </c>
      <c r="F850" s="3" t="s">
        <v>4704</v>
      </c>
      <c r="G850" s="3">
        <v>14700</v>
      </c>
      <c r="H850" s="3" t="s">
        <v>299</v>
      </c>
      <c r="J850" s="7" t="s">
        <v>4705</v>
      </c>
      <c r="K850" s="3">
        <v>737306080</v>
      </c>
      <c r="L850" s="6" t="s">
        <v>1676</v>
      </c>
      <c r="M850" s="3" t="s">
        <v>4706</v>
      </c>
      <c r="N850" s="3" t="s">
        <v>63</v>
      </c>
      <c r="O850" s="3" t="s">
        <v>4707</v>
      </c>
      <c r="P850" s="6"/>
      <c r="Q850" s="6" t="str">
        <f>VLOOKUP(G850,seznampsc!A:B,2,FALSE)</f>
        <v>Hlavní město Praha</v>
      </c>
      <c r="R850" s="6" t="str">
        <f>VLOOKUP(G850,seznampsc!A:C,3,FALSE)</f>
        <v>Hlavní město Praha</v>
      </c>
      <c r="S850" s="3" t="s">
        <v>4708</v>
      </c>
      <c r="T850" s="3" t="s">
        <v>4709</v>
      </c>
      <c r="U850" s="29">
        <v>0.14000000000000001</v>
      </c>
      <c r="V850" s="29">
        <v>0.14000000000000001</v>
      </c>
      <c r="W850" s="29"/>
      <c r="X850" s="3">
        <v>1500</v>
      </c>
      <c r="Y850" s="3">
        <v>800</v>
      </c>
      <c r="Z850" s="3">
        <v>1200</v>
      </c>
      <c r="AB850" s="3" t="s">
        <v>3935</v>
      </c>
      <c r="AU850" s="3" t="s">
        <v>4710</v>
      </c>
      <c r="AV850" s="3">
        <v>100000</v>
      </c>
    </row>
    <row r="851" spans="1:48" ht="24" customHeight="1" x14ac:dyDescent="0.3">
      <c r="A851" s="3" t="s">
        <v>53</v>
      </c>
      <c r="B851" s="3" t="s">
        <v>4701</v>
      </c>
      <c r="C851" s="3" t="s">
        <v>4702</v>
      </c>
      <c r="D851" s="3">
        <v>9047123</v>
      </c>
      <c r="E851" s="3" t="s">
        <v>4703</v>
      </c>
      <c r="F851" s="3" t="s">
        <v>4711</v>
      </c>
      <c r="G851" s="3">
        <v>61700</v>
      </c>
      <c r="H851" s="3" t="s">
        <v>272</v>
      </c>
      <c r="J851" s="7" t="s">
        <v>4705</v>
      </c>
      <c r="K851" s="3">
        <v>737306080</v>
      </c>
      <c r="L851" s="6" t="s">
        <v>1676</v>
      </c>
      <c r="M851" s="3" t="s">
        <v>4706</v>
      </c>
      <c r="N851" s="3" t="s">
        <v>63</v>
      </c>
      <c r="O851" s="3" t="s">
        <v>4707</v>
      </c>
      <c r="P851" s="6"/>
      <c r="Q851" s="6" t="str">
        <f>VLOOKUP(G851,seznampsc!A:B,2,FALSE)</f>
        <v>Brno-město</v>
      </c>
      <c r="R851" s="6" t="str">
        <f>VLOOKUP(G851,seznampsc!A:C,3,FALSE)</f>
        <v>Jihomoravský kraj</v>
      </c>
      <c r="S851" s="3">
        <v>49.179549999999999</v>
      </c>
      <c r="T851" s="3">
        <v>16.62153</v>
      </c>
      <c r="U851" s="29">
        <v>0.14000000000000001</v>
      </c>
      <c r="V851" s="29">
        <v>0.14000000000000001</v>
      </c>
      <c r="W851" s="29"/>
      <c r="X851" s="3">
        <v>1500</v>
      </c>
      <c r="Y851" s="3">
        <v>800</v>
      </c>
      <c r="Z851" s="3">
        <v>1200</v>
      </c>
      <c r="AB851" s="3" t="s">
        <v>3935</v>
      </c>
      <c r="AU851" s="3" t="s">
        <v>4712</v>
      </c>
      <c r="AV851" s="3">
        <v>100000</v>
      </c>
    </row>
    <row r="852" spans="1:48" ht="24" customHeight="1" x14ac:dyDescent="0.3">
      <c r="A852" s="3" t="s">
        <v>53</v>
      </c>
      <c r="B852" s="3" t="s">
        <v>4701</v>
      </c>
      <c r="C852" s="3" t="s">
        <v>4702</v>
      </c>
      <c r="D852" s="3">
        <v>9047123</v>
      </c>
      <c r="E852" s="3" t="s">
        <v>4703</v>
      </c>
      <c r="F852" s="3" t="s">
        <v>4713</v>
      </c>
      <c r="G852" s="3">
        <v>41501</v>
      </c>
      <c r="H852" s="3" t="s">
        <v>2648</v>
      </c>
      <c r="J852" s="3" t="s">
        <v>4705</v>
      </c>
      <c r="K852" s="3">
        <v>737306080</v>
      </c>
      <c r="L852" s="6" t="s">
        <v>1676</v>
      </c>
      <c r="M852" s="3" t="s">
        <v>4706</v>
      </c>
      <c r="N852" s="3" t="s">
        <v>63</v>
      </c>
      <c r="O852" s="3" t="s">
        <v>4707</v>
      </c>
      <c r="P852" s="6"/>
      <c r="Q852" s="6" t="str">
        <f>VLOOKUP(G852,seznampsc!A:B,2,FALSE)</f>
        <v>Teplice</v>
      </c>
      <c r="R852" s="6" t="str">
        <f>VLOOKUP(G852,seznampsc!A:C,3,FALSE)</f>
        <v>Ústecký kraj</v>
      </c>
      <c r="S852" s="3">
        <v>50.647829999999999</v>
      </c>
      <c r="T852" s="3">
        <v>13.83376</v>
      </c>
      <c r="U852" s="29">
        <v>0.14000000000000001</v>
      </c>
      <c r="V852" s="29">
        <v>0.14000000000000001</v>
      </c>
      <c r="W852" s="29"/>
      <c r="X852" s="3">
        <v>1500</v>
      </c>
      <c r="Y852" s="3">
        <v>800</v>
      </c>
      <c r="Z852" s="3">
        <v>1200</v>
      </c>
      <c r="AB852" s="3" t="s">
        <v>3935</v>
      </c>
      <c r="AU852" s="3" t="s">
        <v>4712</v>
      </c>
      <c r="AV852" s="3">
        <v>100000</v>
      </c>
    </row>
    <row r="853" spans="1:48" ht="24" customHeight="1" x14ac:dyDescent="0.3">
      <c r="A853" s="3" t="s">
        <v>53</v>
      </c>
      <c r="B853" s="3" t="s">
        <v>4701</v>
      </c>
      <c r="C853" s="3" t="s">
        <v>4702</v>
      </c>
      <c r="D853" s="3">
        <v>9047123</v>
      </c>
      <c r="E853" s="3" t="s">
        <v>4703</v>
      </c>
      <c r="F853" s="3" t="s">
        <v>4714</v>
      </c>
      <c r="G853" s="3">
        <v>36005</v>
      </c>
      <c r="H853" s="3" t="s">
        <v>1408</v>
      </c>
      <c r="J853" s="3" t="s">
        <v>4705</v>
      </c>
      <c r="K853" s="3">
        <v>737306080</v>
      </c>
      <c r="L853" s="6" t="s">
        <v>1676</v>
      </c>
      <c r="M853" s="3" t="s">
        <v>4706</v>
      </c>
      <c r="N853" s="3" t="s">
        <v>63</v>
      </c>
      <c r="O853" s="3" t="s">
        <v>4707</v>
      </c>
      <c r="P853" s="6"/>
      <c r="Q853" s="6" t="str">
        <f>VLOOKUP(G853,seznampsc!A:B,2,FALSE)</f>
        <v>Karlovy Vary</v>
      </c>
      <c r="R853" s="6" t="str">
        <f>VLOOKUP(G853,seznampsc!A:C,3,FALSE)</f>
        <v>Karlovarský kraj</v>
      </c>
      <c r="S853" s="3">
        <v>50.234400000000001</v>
      </c>
      <c r="T853" s="3">
        <v>12.847329999999999</v>
      </c>
      <c r="U853" s="29">
        <v>0.14000000000000001</v>
      </c>
      <c r="V853" s="29">
        <v>0.14000000000000001</v>
      </c>
      <c r="W853" s="29"/>
      <c r="X853" s="3">
        <v>1500</v>
      </c>
      <c r="Y853" s="3">
        <v>800</v>
      </c>
      <c r="Z853" s="3">
        <v>1200</v>
      </c>
      <c r="AB853" s="3" t="s">
        <v>3935</v>
      </c>
      <c r="AU853" s="3" t="s">
        <v>4712</v>
      </c>
      <c r="AV853" s="3">
        <v>100000</v>
      </c>
    </row>
    <row r="854" spans="1:48" ht="24" customHeight="1" x14ac:dyDescent="0.3">
      <c r="A854" s="3" t="s">
        <v>53</v>
      </c>
      <c r="B854" s="3" t="s">
        <v>4701</v>
      </c>
      <c r="C854" s="3" t="s">
        <v>4702</v>
      </c>
      <c r="D854" s="3">
        <v>9047123</v>
      </c>
      <c r="E854" s="3" t="s">
        <v>4703</v>
      </c>
      <c r="F854" s="3" t="s">
        <v>4715</v>
      </c>
      <c r="G854" s="3">
        <v>19300</v>
      </c>
      <c r="H854" s="3" t="s">
        <v>4716</v>
      </c>
      <c r="J854" s="3" t="s">
        <v>4705</v>
      </c>
      <c r="K854" s="3">
        <v>737306080</v>
      </c>
      <c r="L854" s="6" t="s">
        <v>1676</v>
      </c>
      <c r="M854" s="3" t="s">
        <v>4706</v>
      </c>
      <c r="N854" s="3" t="s">
        <v>63</v>
      </c>
      <c r="O854" s="3" t="s">
        <v>4707</v>
      </c>
      <c r="P854" s="6"/>
      <c r="Q854" s="6" t="str">
        <f>VLOOKUP(G854,seznampsc!A:B,2,FALSE)</f>
        <v>Hlavní město Praha</v>
      </c>
      <c r="R854" s="6" t="str">
        <f>VLOOKUP(G854,seznampsc!A:C,3,FALSE)</f>
        <v>Hlavní město Praha</v>
      </c>
      <c r="U854" s="29">
        <v>0.14000000000000001</v>
      </c>
      <c r="V854" s="29">
        <v>0.14000000000000001</v>
      </c>
      <c r="W854" s="29"/>
      <c r="X854" s="3">
        <v>1500</v>
      </c>
      <c r="Y854" s="3">
        <v>800</v>
      </c>
      <c r="Z854" s="3">
        <v>1200</v>
      </c>
      <c r="AB854" s="3" t="s">
        <v>3935</v>
      </c>
      <c r="AU854" s="3" t="s">
        <v>4712</v>
      </c>
      <c r="AV854" s="3">
        <v>100000</v>
      </c>
    </row>
    <row r="855" spans="1:48" ht="24" customHeight="1" x14ac:dyDescent="0.3">
      <c r="A855" s="3" t="s">
        <v>53</v>
      </c>
      <c r="B855" s="3" t="s">
        <v>4701</v>
      </c>
      <c r="C855" s="3" t="s">
        <v>4702</v>
      </c>
      <c r="D855" s="3">
        <v>9047123</v>
      </c>
      <c r="E855" s="3" t="s">
        <v>4703</v>
      </c>
      <c r="F855" s="3" t="s">
        <v>4717</v>
      </c>
      <c r="G855" s="3">
        <v>33901</v>
      </c>
      <c r="H855" s="3" t="s">
        <v>527</v>
      </c>
      <c r="J855" s="3" t="s">
        <v>4705</v>
      </c>
      <c r="K855" s="3">
        <v>737306080</v>
      </c>
      <c r="L855" s="6" t="s">
        <v>1676</v>
      </c>
      <c r="M855" s="3" t="s">
        <v>4706</v>
      </c>
      <c r="N855" s="3" t="s">
        <v>63</v>
      </c>
      <c r="O855" s="3" t="s">
        <v>4707</v>
      </c>
      <c r="P855" s="6"/>
      <c r="Q855" s="6" t="str">
        <f>VLOOKUP(G855,seznampsc!A:B,2,FALSE)</f>
        <v>Klatovy</v>
      </c>
      <c r="R855" s="6" t="str">
        <f>VLOOKUP(G855,seznampsc!A:C,3,FALSE)</f>
        <v>Plzeňský kraj</v>
      </c>
      <c r="U855" s="29">
        <v>0.14000000000000001</v>
      </c>
      <c r="V855" s="29">
        <v>0.14000000000000001</v>
      </c>
      <c r="W855" s="29"/>
      <c r="X855" s="3">
        <v>1500</v>
      </c>
      <c r="Y855" s="3">
        <v>800</v>
      </c>
      <c r="Z855" s="3">
        <v>1200</v>
      </c>
      <c r="AB855" s="3" t="s">
        <v>3935</v>
      </c>
      <c r="AU855" s="3" t="s">
        <v>4712</v>
      </c>
      <c r="AV855" s="3">
        <v>100000</v>
      </c>
    </row>
    <row r="856" spans="1:48" ht="24" customHeight="1" x14ac:dyDescent="0.3">
      <c r="A856" s="3" t="s">
        <v>53</v>
      </c>
      <c r="B856" s="3" t="s">
        <v>4701</v>
      </c>
      <c r="C856" s="3" t="s">
        <v>4702</v>
      </c>
      <c r="D856" s="3">
        <v>9047123</v>
      </c>
      <c r="E856" s="3" t="s">
        <v>4703</v>
      </c>
      <c r="F856" s="3" t="s">
        <v>4718</v>
      </c>
      <c r="G856" s="3">
        <v>28002</v>
      </c>
      <c r="H856" s="3" t="s">
        <v>1025</v>
      </c>
      <c r="J856" s="3" t="s">
        <v>4705</v>
      </c>
      <c r="K856" s="3">
        <v>737306080</v>
      </c>
      <c r="L856" s="6" t="s">
        <v>1676</v>
      </c>
      <c r="M856" s="3" t="s">
        <v>4706</v>
      </c>
      <c r="N856" s="3" t="s">
        <v>63</v>
      </c>
      <c r="O856" s="3" t="s">
        <v>4707</v>
      </c>
      <c r="P856" s="6"/>
      <c r="Q856" s="6" t="str">
        <f>VLOOKUP(G856,seznampsc!A:B,2,FALSE)</f>
        <v>Kolín</v>
      </c>
      <c r="R856" s="6" t="str">
        <f>VLOOKUP(G856,seznampsc!A:C,3,FALSE)</f>
        <v>Středočeský kraj</v>
      </c>
      <c r="U856" s="29">
        <v>0.14000000000000001</v>
      </c>
      <c r="V856" s="29">
        <v>0.14000000000000001</v>
      </c>
      <c r="W856" s="29"/>
      <c r="X856" s="3">
        <v>1500</v>
      </c>
      <c r="Y856" s="3">
        <v>800</v>
      </c>
      <c r="Z856" s="3">
        <v>1200</v>
      </c>
      <c r="AB856" s="3" t="s">
        <v>3935</v>
      </c>
      <c r="AU856" s="3" t="s">
        <v>4712</v>
      </c>
      <c r="AV856" s="3">
        <v>100000</v>
      </c>
    </row>
    <row r="857" spans="1:48" ht="24" customHeight="1" x14ac:dyDescent="0.3">
      <c r="A857" s="3" t="s">
        <v>53</v>
      </c>
      <c r="B857" s="3" t="s">
        <v>4701</v>
      </c>
      <c r="C857" s="3" t="s">
        <v>4702</v>
      </c>
      <c r="D857" s="3">
        <v>9047123</v>
      </c>
      <c r="E857" s="3" t="s">
        <v>4703</v>
      </c>
      <c r="F857" s="3" t="s">
        <v>4719</v>
      </c>
      <c r="G857" s="3">
        <v>58601</v>
      </c>
      <c r="H857" s="3" t="s">
        <v>286</v>
      </c>
      <c r="J857" s="3" t="s">
        <v>4705</v>
      </c>
      <c r="K857" s="3">
        <v>737306080</v>
      </c>
      <c r="L857" s="6" t="s">
        <v>1676</v>
      </c>
      <c r="M857" s="3" t="s">
        <v>4706</v>
      </c>
      <c r="N857" s="3" t="s">
        <v>63</v>
      </c>
      <c r="O857" s="3" t="s">
        <v>4707</v>
      </c>
      <c r="P857" s="6"/>
      <c r="Q857" s="6" t="str">
        <f>VLOOKUP(G857,seznampsc!A:B,2,FALSE)</f>
        <v>Jihlava</v>
      </c>
      <c r="R857" s="6" t="str">
        <f>VLOOKUP(G857,seznampsc!A:C,3,FALSE)</f>
        <v>Kraj Vysočina</v>
      </c>
      <c r="S857" s="3" t="s">
        <v>4720</v>
      </c>
      <c r="T857" s="3" t="s">
        <v>4721</v>
      </c>
      <c r="U857" s="29">
        <v>0.14000000000000001</v>
      </c>
      <c r="V857" s="29">
        <v>0.14000000000000001</v>
      </c>
      <c r="W857" s="29"/>
      <c r="X857" s="3">
        <v>1500</v>
      </c>
      <c r="Y857" s="3">
        <v>800</v>
      </c>
      <c r="Z857" s="3">
        <v>1200</v>
      </c>
      <c r="AB857" s="3" t="s">
        <v>3935</v>
      </c>
      <c r="AU857" s="3" t="s">
        <v>4712</v>
      </c>
      <c r="AV857" s="3">
        <v>100000</v>
      </c>
    </row>
    <row r="858" spans="1:48" ht="24" customHeight="1" x14ac:dyDescent="0.3">
      <c r="A858" s="3" t="s">
        <v>53</v>
      </c>
      <c r="B858" s="3" t="s">
        <v>4701</v>
      </c>
      <c r="C858" s="3" t="s">
        <v>4702</v>
      </c>
      <c r="D858" s="3">
        <v>9047123</v>
      </c>
      <c r="E858" s="3" t="s">
        <v>4703</v>
      </c>
      <c r="F858" s="3" t="s">
        <v>4722</v>
      </c>
      <c r="G858" s="3">
        <v>67401</v>
      </c>
      <c r="H858" s="3" t="s">
        <v>4723</v>
      </c>
      <c r="J858" s="3" t="s">
        <v>4705</v>
      </c>
      <c r="K858" s="3">
        <v>737306080</v>
      </c>
      <c r="L858" s="6" t="s">
        <v>1676</v>
      </c>
      <c r="M858" s="3" t="s">
        <v>4706</v>
      </c>
      <c r="N858" s="3" t="s">
        <v>63</v>
      </c>
      <c r="O858" s="3" t="s">
        <v>4707</v>
      </c>
      <c r="P858" s="6"/>
      <c r="Q858" s="6" t="str">
        <f>VLOOKUP(G858,seznampsc!A:B,2,FALSE)</f>
        <v>Třebíč</v>
      </c>
      <c r="R858" s="6" t="str">
        <f>VLOOKUP(G858,seznampsc!A:C,3,FALSE)</f>
        <v>Kraj Vysočina</v>
      </c>
      <c r="S858" s="3" t="s">
        <v>4724</v>
      </c>
      <c r="T858" s="3" t="s">
        <v>4725</v>
      </c>
      <c r="U858" s="29">
        <v>0.14000000000000001</v>
      </c>
      <c r="V858" s="29">
        <v>0.14000000000000001</v>
      </c>
      <c r="W858" s="29"/>
      <c r="X858" s="3">
        <v>1500</v>
      </c>
      <c r="Y858" s="3">
        <v>800</v>
      </c>
      <c r="Z858" s="3">
        <v>1200</v>
      </c>
      <c r="AB858" s="3" t="s">
        <v>3935</v>
      </c>
      <c r="AU858" s="3" t="s">
        <v>4712</v>
      </c>
      <c r="AV858" s="3">
        <v>100000</v>
      </c>
    </row>
    <row r="859" spans="1:48" ht="24" customHeight="1" x14ac:dyDescent="0.3">
      <c r="A859" s="3" t="s">
        <v>53</v>
      </c>
      <c r="B859" s="3" t="s">
        <v>4701</v>
      </c>
      <c r="C859" s="3" t="s">
        <v>4702</v>
      </c>
      <c r="D859" s="3">
        <v>9047123</v>
      </c>
      <c r="E859" s="3" t="s">
        <v>4703</v>
      </c>
      <c r="F859" s="3" t="s">
        <v>4726</v>
      </c>
      <c r="G859" s="3">
        <v>53002</v>
      </c>
      <c r="H859" s="3" t="s">
        <v>2071</v>
      </c>
      <c r="J859" s="3" t="s">
        <v>4705</v>
      </c>
      <c r="K859" s="3">
        <v>737306080</v>
      </c>
      <c r="L859" s="6" t="s">
        <v>1676</v>
      </c>
      <c r="M859" s="3" t="s">
        <v>4706</v>
      </c>
      <c r="N859" s="3" t="s">
        <v>63</v>
      </c>
      <c r="O859" s="3" t="s">
        <v>4707</v>
      </c>
      <c r="P859" s="6"/>
      <c r="Q859" s="6" t="str">
        <f>VLOOKUP(G859,seznampsc!A:B,2,FALSE)</f>
        <v>Pardubice</v>
      </c>
      <c r="R859" s="6" t="str">
        <f>VLOOKUP(G859,seznampsc!A:C,3,FALSE)</f>
        <v>Pardubický kraj</v>
      </c>
      <c r="S859" s="3" t="s">
        <v>4727</v>
      </c>
      <c r="T859" s="3" t="s">
        <v>4728</v>
      </c>
      <c r="U859" s="29">
        <v>0.14000000000000001</v>
      </c>
      <c r="V859" s="29">
        <v>0.14000000000000001</v>
      </c>
      <c r="W859" s="29"/>
      <c r="X859" s="3">
        <v>1500</v>
      </c>
      <c r="Y859" s="3">
        <v>800</v>
      </c>
      <c r="Z859" s="3">
        <v>1200</v>
      </c>
      <c r="AB859" s="3" t="s">
        <v>3935</v>
      </c>
      <c r="AU859" s="3" t="s">
        <v>4712</v>
      </c>
      <c r="AV859" s="3">
        <v>100000</v>
      </c>
    </row>
    <row r="860" spans="1:48" ht="24" customHeight="1" x14ac:dyDescent="0.3">
      <c r="A860" s="3" t="s">
        <v>53</v>
      </c>
      <c r="B860" s="3" t="s">
        <v>4701</v>
      </c>
      <c r="C860" s="3" t="s">
        <v>4702</v>
      </c>
      <c r="D860" s="3">
        <v>9047123</v>
      </c>
      <c r="E860" s="3" t="s">
        <v>4703</v>
      </c>
      <c r="F860" s="3" t="s">
        <v>4729</v>
      </c>
      <c r="G860" s="3">
        <v>71600</v>
      </c>
      <c r="H860" s="3" t="s">
        <v>4730</v>
      </c>
      <c r="J860" s="3" t="s">
        <v>4705</v>
      </c>
      <c r="K860" s="3">
        <v>737306080</v>
      </c>
      <c r="L860" s="6" t="s">
        <v>1676</v>
      </c>
      <c r="M860" s="3" t="s">
        <v>4706</v>
      </c>
      <c r="N860" s="3" t="s">
        <v>63</v>
      </c>
      <c r="O860" s="3" t="s">
        <v>4707</v>
      </c>
      <c r="P860" s="6"/>
      <c r="Q860" s="6" t="str">
        <f>VLOOKUP(G860,seznampsc!A:B,2,FALSE)</f>
        <v>Ostrava-město</v>
      </c>
      <c r="R860" s="6" t="str">
        <f>VLOOKUP(G860,seznampsc!A:C,3,FALSE)</f>
        <v>Moravskoslezský kraj</v>
      </c>
      <c r="U860" s="29">
        <v>0.14000000000000001</v>
      </c>
      <c r="V860" s="29">
        <v>0.14000000000000001</v>
      </c>
      <c r="W860" s="29"/>
      <c r="X860" s="3">
        <v>1500</v>
      </c>
      <c r="Y860" s="3">
        <v>800</v>
      </c>
      <c r="Z860" s="3">
        <v>1200</v>
      </c>
      <c r="AB860" s="3" t="s">
        <v>3935</v>
      </c>
      <c r="AU860" s="3" t="s">
        <v>4731</v>
      </c>
      <c r="AV860" s="3">
        <v>100000</v>
      </c>
    </row>
    <row r="861" spans="1:48" ht="24" customHeight="1" x14ac:dyDescent="0.3">
      <c r="A861" s="3" t="s">
        <v>53</v>
      </c>
      <c r="B861" s="3" t="s">
        <v>4701</v>
      </c>
      <c r="C861" s="3" t="s">
        <v>4702</v>
      </c>
      <c r="D861" s="3">
        <v>9047123</v>
      </c>
      <c r="E861" s="3" t="s">
        <v>4703</v>
      </c>
      <c r="F861" s="3" t="s">
        <v>4732</v>
      </c>
      <c r="G861" s="3">
        <v>50003</v>
      </c>
      <c r="H861" s="3" t="s">
        <v>330</v>
      </c>
      <c r="J861" s="3" t="s">
        <v>4705</v>
      </c>
      <c r="K861" s="3">
        <v>737306080</v>
      </c>
      <c r="L861" s="6" t="s">
        <v>1676</v>
      </c>
      <c r="M861" s="3" t="s">
        <v>4706</v>
      </c>
      <c r="N861" s="3" t="s">
        <v>63</v>
      </c>
      <c r="O861" s="3" t="s">
        <v>4707</v>
      </c>
      <c r="P861" s="6"/>
      <c r="Q861" s="6" t="str">
        <f>VLOOKUP(G861,seznampsc!A:B,2,FALSE)</f>
        <v>Hradec Králové</v>
      </c>
      <c r="R861" s="6" t="str">
        <f>VLOOKUP(G861,seznampsc!A:C,3,FALSE)</f>
        <v>Královéhradecký kraj</v>
      </c>
      <c r="S861" s="3" t="s">
        <v>4733</v>
      </c>
      <c r="T861" s="3" t="s">
        <v>4734</v>
      </c>
      <c r="U861" s="29">
        <v>0.14000000000000001</v>
      </c>
      <c r="V861" s="29">
        <v>0.14000000000000001</v>
      </c>
      <c r="W861" s="29"/>
      <c r="X861" s="3">
        <v>1500</v>
      </c>
      <c r="Y861" s="3">
        <v>800</v>
      </c>
      <c r="Z861" s="3">
        <v>1200</v>
      </c>
      <c r="AB861" s="3" t="s">
        <v>3935</v>
      </c>
      <c r="AU861" s="3" t="s">
        <v>4712</v>
      </c>
      <c r="AV861" s="3">
        <v>100000</v>
      </c>
    </row>
    <row r="862" spans="1:48" ht="24" customHeight="1" x14ac:dyDescent="0.3">
      <c r="A862" s="3" t="s">
        <v>53</v>
      </c>
      <c r="B862" s="3" t="s">
        <v>4701</v>
      </c>
      <c r="C862" s="3" t="s">
        <v>4702</v>
      </c>
      <c r="D862" s="3">
        <v>9047123</v>
      </c>
      <c r="E862" s="3" t="s">
        <v>4703</v>
      </c>
      <c r="F862" s="3" t="s">
        <v>4735</v>
      </c>
      <c r="G862" s="3">
        <v>46311</v>
      </c>
      <c r="H862" s="3" t="s">
        <v>1220</v>
      </c>
      <c r="J862" s="3" t="s">
        <v>4705</v>
      </c>
      <c r="K862" s="3">
        <v>737306080</v>
      </c>
      <c r="L862" s="6" t="s">
        <v>1676</v>
      </c>
      <c r="M862" s="3" t="s">
        <v>4706</v>
      </c>
      <c r="N862" s="3" t="s">
        <v>63</v>
      </c>
      <c r="O862" s="3" t="s">
        <v>4707</v>
      </c>
      <c r="P862" s="6"/>
      <c r="Q862" s="6" t="str">
        <f>VLOOKUP(G862,seznampsc!A:B,2,FALSE)</f>
        <v>Liberec</v>
      </c>
      <c r="R862" s="6" t="str">
        <f>VLOOKUP(G862,seznampsc!A:C,3,FALSE)</f>
        <v>Liberecký kraj</v>
      </c>
      <c r="U862" s="29">
        <v>0.14000000000000001</v>
      </c>
      <c r="V862" s="29">
        <v>0.14000000000000001</v>
      </c>
      <c r="W862" s="29"/>
      <c r="X862" s="3">
        <v>1500</v>
      </c>
      <c r="Y862" s="3">
        <v>800</v>
      </c>
      <c r="Z862" s="3">
        <v>1200</v>
      </c>
      <c r="AB862" s="3" t="s">
        <v>3935</v>
      </c>
      <c r="AU862" s="3" t="s">
        <v>4712</v>
      </c>
      <c r="AV862" s="3">
        <v>100000</v>
      </c>
    </row>
    <row r="863" spans="1:48" ht="24" customHeight="1" x14ac:dyDescent="0.3">
      <c r="A863" s="6" t="s">
        <v>53</v>
      </c>
      <c r="B863" s="6" t="s">
        <v>65</v>
      </c>
      <c r="C863" s="6" t="s">
        <v>4626</v>
      </c>
      <c r="D863" s="16">
        <v>28096665</v>
      </c>
      <c r="E863" s="6" t="s">
        <v>4627</v>
      </c>
      <c r="F863" s="6" t="s">
        <v>4736</v>
      </c>
      <c r="G863" s="6">
        <v>53002</v>
      </c>
      <c r="H863" s="6" t="s">
        <v>2071</v>
      </c>
      <c r="I863" s="6" t="s">
        <v>917</v>
      </c>
      <c r="J863" s="6" t="s">
        <v>4629</v>
      </c>
      <c r="K863" s="6">
        <v>800400250.38699996</v>
      </c>
      <c r="L863" s="6" t="s">
        <v>1676</v>
      </c>
      <c r="M863" s="6" t="s">
        <v>3899</v>
      </c>
      <c r="N863" s="6" t="s">
        <v>63</v>
      </c>
      <c r="O863" s="6" t="s">
        <v>224</v>
      </c>
      <c r="P863" s="6"/>
      <c r="Q863" s="6" t="str">
        <f>VLOOKUP(G863,seznampsc!A:B,2,FALSE)</f>
        <v>Pardubice</v>
      </c>
      <c r="R863" s="6" t="str">
        <f>VLOOKUP(G863,seznampsc!A:C,3,FALSE)</f>
        <v>Pardubický kraj</v>
      </c>
      <c r="U863" s="29">
        <v>0.1</v>
      </c>
      <c r="AB863" s="3" t="s">
        <v>3935</v>
      </c>
      <c r="AC863" s="3" t="s">
        <v>3935</v>
      </c>
      <c r="AU863" s="3" t="s">
        <v>4246</v>
      </c>
      <c r="AV863" s="3">
        <v>50000</v>
      </c>
    </row>
    <row r="864" spans="1:48" ht="24" customHeight="1" x14ac:dyDescent="0.3">
      <c r="A864" s="6" t="s">
        <v>53</v>
      </c>
      <c r="B864" s="6" t="s">
        <v>65</v>
      </c>
      <c r="C864" s="6" t="s">
        <v>4667</v>
      </c>
      <c r="D864" s="16">
        <v>62942841</v>
      </c>
      <c r="E864" s="6" t="s">
        <v>4668</v>
      </c>
      <c r="F864" s="6" t="s">
        <v>759</v>
      </c>
      <c r="G864" s="6">
        <v>26101</v>
      </c>
      <c r="H864" s="6" t="s">
        <v>4737</v>
      </c>
      <c r="I864" s="6" t="s">
        <v>4671</v>
      </c>
      <c r="J864" s="6" t="s">
        <v>4672</v>
      </c>
      <c r="K864" s="6">
        <v>608336936</v>
      </c>
      <c r="L864" s="6" t="s">
        <v>1676</v>
      </c>
      <c r="M864" s="6" t="s">
        <v>62</v>
      </c>
      <c r="N864" s="6" t="s">
        <v>63</v>
      </c>
      <c r="O864" s="6" t="s">
        <v>4591</v>
      </c>
      <c r="P864" s="6"/>
      <c r="Q864" s="6" t="str">
        <f>VLOOKUP(G864,seznampsc!A:B,2,FALSE)</f>
        <v>Příbram</v>
      </c>
      <c r="R864" s="6" t="str">
        <f>VLOOKUP(G864,seznampsc!A:C,3,FALSE)</f>
        <v>Středočeský kraj</v>
      </c>
      <c r="U864" s="29">
        <v>0.05</v>
      </c>
      <c r="AB864" s="3" t="s">
        <v>3935</v>
      </c>
      <c r="AC864" s="3" t="s">
        <v>3935</v>
      </c>
      <c r="AV864" s="3">
        <v>30000</v>
      </c>
    </row>
    <row r="865" spans="1:48" ht="24" customHeight="1" x14ac:dyDescent="0.3">
      <c r="A865" s="6" t="s">
        <v>53</v>
      </c>
      <c r="B865" s="6" t="s">
        <v>65</v>
      </c>
      <c r="C865" s="6" t="s">
        <v>4738</v>
      </c>
      <c r="D865" s="16">
        <v>64824969</v>
      </c>
      <c r="E865" s="6" t="s">
        <v>4739</v>
      </c>
      <c r="F865" s="6" t="s">
        <v>4740</v>
      </c>
      <c r="G865" s="6">
        <v>53009</v>
      </c>
      <c r="H865" s="6" t="s">
        <v>2071</v>
      </c>
      <c r="I865" s="6"/>
      <c r="J865" s="6" t="s">
        <v>4741</v>
      </c>
      <c r="K865" s="6">
        <v>723487130.72594094</v>
      </c>
      <c r="L865" s="6" t="s">
        <v>1676</v>
      </c>
      <c r="M865" s="6" t="s">
        <v>62</v>
      </c>
      <c r="N865" s="6" t="s">
        <v>63</v>
      </c>
      <c r="O865" s="6" t="s">
        <v>787</v>
      </c>
      <c r="P865" s="6"/>
      <c r="Q865" s="6" t="str">
        <f>VLOOKUP(G865,seznampsc!A:B,2,FALSE)</f>
        <v>Pardubice</v>
      </c>
      <c r="R865" s="6" t="str">
        <f>VLOOKUP(G865,seznampsc!A:C,3,FALSE)</f>
        <v>Pardubický kraj</v>
      </c>
      <c r="U865" s="29">
        <v>0.05</v>
      </c>
      <c r="X865" s="3">
        <v>1500</v>
      </c>
      <c r="Y865" s="3">
        <v>800</v>
      </c>
      <c r="Z865" s="3">
        <v>1200</v>
      </c>
      <c r="AV865" s="3">
        <v>50000</v>
      </c>
    </row>
    <row r="866" spans="1:48" ht="24" customHeight="1" x14ac:dyDescent="0.3">
      <c r="A866" s="6" t="s">
        <v>53</v>
      </c>
      <c r="B866" s="6" t="s">
        <v>65</v>
      </c>
      <c r="C866" s="6" t="s">
        <v>4738</v>
      </c>
      <c r="D866" s="16">
        <v>64824969</v>
      </c>
      <c r="E866" s="6" t="s">
        <v>4739</v>
      </c>
      <c r="F866" s="6" t="s">
        <v>4742</v>
      </c>
      <c r="G866" s="6">
        <v>50301</v>
      </c>
      <c r="H866" s="6" t="s">
        <v>330</v>
      </c>
      <c r="I866" s="6"/>
      <c r="J866" s="6" t="s">
        <v>4743</v>
      </c>
      <c r="K866" s="6">
        <v>602173435</v>
      </c>
      <c r="L866" s="6" t="s">
        <v>1676</v>
      </c>
      <c r="M866" s="6" t="s">
        <v>62</v>
      </c>
      <c r="N866" s="6" t="s">
        <v>63</v>
      </c>
      <c r="O866" s="6" t="s">
        <v>787</v>
      </c>
      <c r="P866" s="6"/>
      <c r="Q866" s="6" t="str">
        <f>VLOOKUP(G866,seznampsc!A:B,2,FALSE)</f>
        <v>Hradec Králové</v>
      </c>
      <c r="R866" s="6" t="str">
        <f>VLOOKUP(G866,seznampsc!A:C,3,FALSE)</f>
        <v>Královéhradecký kraj</v>
      </c>
      <c r="U866" s="29">
        <v>0.05</v>
      </c>
      <c r="X866" s="3">
        <v>1500</v>
      </c>
      <c r="Y866" s="3">
        <v>800</v>
      </c>
      <c r="Z866" s="3">
        <v>1200</v>
      </c>
      <c r="AV866" s="3">
        <v>50000</v>
      </c>
    </row>
    <row r="867" spans="1:48" ht="24" customHeight="1" x14ac:dyDescent="0.3">
      <c r="A867" s="6" t="s">
        <v>53</v>
      </c>
      <c r="B867" s="6" t="s">
        <v>65</v>
      </c>
      <c r="C867" s="6" t="s">
        <v>4738</v>
      </c>
      <c r="D867" s="16">
        <v>64824969</v>
      </c>
      <c r="E867" s="6" t="s">
        <v>4739</v>
      </c>
      <c r="F867" s="6" t="s">
        <v>3557</v>
      </c>
      <c r="G867" s="6">
        <v>53701</v>
      </c>
      <c r="H867" s="6" t="s">
        <v>3448</v>
      </c>
      <c r="I867" s="6"/>
      <c r="J867" s="6" t="s">
        <v>4744</v>
      </c>
      <c r="K867" s="6">
        <v>602463457</v>
      </c>
      <c r="L867" s="6" t="s">
        <v>1676</v>
      </c>
      <c r="M867" s="6" t="s">
        <v>62</v>
      </c>
      <c r="N867" s="6" t="s">
        <v>63</v>
      </c>
      <c r="O867" s="6" t="s">
        <v>787</v>
      </c>
      <c r="P867" s="6"/>
      <c r="Q867" s="6" t="str">
        <f>VLOOKUP(G867,seznampsc!A:B,2,FALSE)</f>
        <v>Chrudim</v>
      </c>
      <c r="R867" s="6" t="str">
        <f>VLOOKUP(G867,seznampsc!A:C,3,FALSE)</f>
        <v>Pardubický kraj</v>
      </c>
      <c r="U867" s="29">
        <v>0.05</v>
      </c>
      <c r="X867" s="3">
        <v>1500</v>
      </c>
      <c r="Y867" s="3">
        <v>800</v>
      </c>
      <c r="Z867" s="3">
        <v>1200</v>
      </c>
      <c r="AV867" s="3">
        <v>50000</v>
      </c>
    </row>
    <row r="868" spans="1:48" ht="24" customHeight="1" x14ac:dyDescent="0.3">
      <c r="A868" s="6" t="s">
        <v>53</v>
      </c>
      <c r="B868" s="6" t="s">
        <v>65</v>
      </c>
      <c r="C868" s="6" t="s">
        <v>4738</v>
      </c>
      <c r="D868" s="16">
        <v>64824969</v>
      </c>
      <c r="E868" s="6" t="s">
        <v>4739</v>
      </c>
      <c r="F868" s="6" t="s">
        <v>4745</v>
      </c>
      <c r="G868" s="6">
        <v>57001</v>
      </c>
      <c r="H868" s="6" t="s">
        <v>2336</v>
      </c>
      <c r="I868" s="6"/>
      <c r="J868" s="6" t="s">
        <v>4746</v>
      </c>
      <c r="K868" s="6">
        <v>602185600</v>
      </c>
      <c r="L868" s="6" t="s">
        <v>1676</v>
      </c>
      <c r="M868" s="6" t="s">
        <v>62</v>
      </c>
      <c r="N868" s="6" t="s">
        <v>63</v>
      </c>
      <c r="O868" s="6" t="s">
        <v>787</v>
      </c>
      <c r="P868" s="6"/>
      <c r="Q868" s="6" t="str">
        <f>VLOOKUP(G868,seznampsc!A:B,2,FALSE)</f>
        <v>Svitavy</v>
      </c>
      <c r="R868" s="6" t="str">
        <f>VLOOKUP(G868,seznampsc!A:C,3,FALSE)</f>
        <v>Pardubický kraj</v>
      </c>
      <c r="U868" s="29">
        <v>0.05</v>
      </c>
      <c r="X868" s="3">
        <v>1500</v>
      </c>
      <c r="Y868" s="3">
        <v>800</v>
      </c>
      <c r="Z868" s="3">
        <v>1200</v>
      </c>
      <c r="AV868" s="3">
        <v>50000</v>
      </c>
    </row>
    <row r="869" spans="1:48" ht="24" customHeight="1" x14ac:dyDescent="0.3">
      <c r="A869" s="6" t="s">
        <v>53</v>
      </c>
      <c r="B869" s="6" t="s">
        <v>65</v>
      </c>
      <c r="C869" s="6" t="s">
        <v>4738</v>
      </c>
      <c r="D869" s="16">
        <v>64824969</v>
      </c>
      <c r="E869" s="6" t="s">
        <v>4739</v>
      </c>
      <c r="F869" s="6" t="s">
        <v>4747</v>
      </c>
      <c r="G869" s="6">
        <v>56802</v>
      </c>
      <c r="H869" s="6" t="s">
        <v>2584</v>
      </c>
      <c r="I869" s="6"/>
      <c r="J869" s="6" t="s">
        <v>4748</v>
      </c>
      <c r="K869" s="6">
        <v>723719596</v>
      </c>
      <c r="L869" s="6" t="s">
        <v>1676</v>
      </c>
      <c r="M869" s="6" t="s">
        <v>62</v>
      </c>
      <c r="N869" s="6" t="s">
        <v>63</v>
      </c>
      <c r="O869" s="6" t="s">
        <v>787</v>
      </c>
      <c r="P869" s="6"/>
      <c r="Q869" s="6" t="str">
        <f>VLOOKUP(G869,seznampsc!A:B,2,FALSE)</f>
        <v>Svitavy</v>
      </c>
      <c r="R869" s="6" t="str">
        <f>VLOOKUP(G869,seznampsc!A:C,3,FALSE)</f>
        <v>Pardubický kraj</v>
      </c>
      <c r="U869" s="29">
        <v>0.05</v>
      </c>
      <c r="X869" s="3">
        <v>1500</v>
      </c>
      <c r="Y869" s="3">
        <v>800</v>
      </c>
      <c r="Z869" s="3">
        <v>1200</v>
      </c>
      <c r="AV869" s="3">
        <v>50000</v>
      </c>
    </row>
    <row r="870" spans="1:48" ht="24" customHeight="1" x14ac:dyDescent="0.3">
      <c r="A870" s="6" t="s">
        <v>53</v>
      </c>
      <c r="B870" s="6" t="s">
        <v>65</v>
      </c>
      <c r="C870" s="6" t="s">
        <v>4738</v>
      </c>
      <c r="D870" s="16">
        <v>64824969</v>
      </c>
      <c r="E870" s="6" t="s">
        <v>4739</v>
      </c>
      <c r="F870" s="6" t="s">
        <v>4749</v>
      </c>
      <c r="G870" s="6">
        <v>56601</v>
      </c>
      <c r="H870" s="6" t="s">
        <v>1982</v>
      </c>
      <c r="I870" s="6"/>
      <c r="J870" s="6" t="s">
        <v>4750</v>
      </c>
      <c r="K870" s="6" t="s">
        <v>4751</v>
      </c>
      <c r="L870" s="6" t="s">
        <v>1676</v>
      </c>
      <c r="M870" s="6" t="s">
        <v>62</v>
      </c>
      <c r="N870" s="6" t="s">
        <v>63</v>
      </c>
      <c r="O870" s="6" t="s">
        <v>787</v>
      </c>
      <c r="P870" s="6"/>
      <c r="Q870" s="6" t="str">
        <f>VLOOKUP(G870,seznampsc!A:B,2,FALSE)</f>
        <v>Ústí nad Orlicí</v>
      </c>
      <c r="R870" s="6" t="str">
        <f>VLOOKUP(G870,seznampsc!A:C,3,FALSE)</f>
        <v>Pardubický kraj</v>
      </c>
      <c r="U870" s="29">
        <v>0.05</v>
      </c>
      <c r="X870" s="3">
        <v>1500</v>
      </c>
      <c r="Y870" s="3">
        <v>800</v>
      </c>
      <c r="Z870" s="3">
        <v>1200</v>
      </c>
      <c r="AV870" s="3">
        <v>50000</v>
      </c>
    </row>
    <row r="871" spans="1:48" ht="24" customHeight="1" x14ac:dyDescent="0.3">
      <c r="A871" s="6" t="s">
        <v>53</v>
      </c>
      <c r="B871" s="6" t="s">
        <v>65</v>
      </c>
      <c r="C871" s="6" t="s">
        <v>4752</v>
      </c>
      <c r="D871" s="16">
        <v>8186634</v>
      </c>
      <c r="E871" s="6" t="s">
        <v>4753</v>
      </c>
      <c r="F871" s="6" t="s">
        <v>4754</v>
      </c>
      <c r="G871" s="6">
        <v>19900</v>
      </c>
      <c r="H871" s="6" t="s">
        <v>1553</v>
      </c>
      <c r="I871" s="6" t="s">
        <v>4755</v>
      </c>
      <c r="J871" s="6" t="s">
        <v>4756</v>
      </c>
      <c r="K871" s="6" t="s">
        <v>4757</v>
      </c>
      <c r="L871" s="6" t="s">
        <v>1676</v>
      </c>
      <c r="M871" s="6" t="s">
        <v>62</v>
      </c>
      <c r="N871" s="6" t="s">
        <v>63</v>
      </c>
      <c r="O871" s="6" t="s">
        <v>198</v>
      </c>
      <c r="P871" s="6"/>
      <c r="Q871" s="6" t="str">
        <f>VLOOKUP(G871,seznampsc!A:B,2,FALSE)</f>
        <v>Hlavní město Praha</v>
      </c>
      <c r="R871" s="6" t="str">
        <f>VLOOKUP(G871,seznampsc!A:C,3,FALSE)</f>
        <v>Hlavní město Praha</v>
      </c>
      <c r="U871" s="29">
        <v>0.05</v>
      </c>
      <c r="W871" s="29">
        <v>0.05</v>
      </c>
      <c r="X871" s="3">
        <v>1500</v>
      </c>
      <c r="Y871" s="3">
        <v>800</v>
      </c>
      <c r="Z871" s="3">
        <v>1200</v>
      </c>
      <c r="AV871" s="3">
        <v>50000</v>
      </c>
    </row>
    <row r="872" spans="1:48" ht="24" customHeight="1" x14ac:dyDescent="0.3">
      <c r="A872" s="3" t="s">
        <v>53</v>
      </c>
      <c r="B872" s="3" t="s">
        <v>4701</v>
      </c>
      <c r="C872" s="3" t="s">
        <v>4702</v>
      </c>
      <c r="D872" s="3">
        <v>9047123</v>
      </c>
      <c r="E872" s="3" t="s">
        <v>4703</v>
      </c>
      <c r="F872" s="3" t="s">
        <v>80</v>
      </c>
      <c r="G872" s="3">
        <v>19000</v>
      </c>
      <c r="J872" s="3" t="s">
        <v>4705</v>
      </c>
      <c r="K872" s="3">
        <v>737306080</v>
      </c>
      <c r="L872" s="6" t="s">
        <v>1676</v>
      </c>
      <c r="M872" s="3" t="s">
        <v>4706</v>
      </c>
      <c r="N872" s="3" t="s">
        <v>63</v>
      </c>
      <c r="P872" s="6"/>
      <c r="Q872" s="6" t="str">
        <f>VLOOKUP(G872,seznampsc!A:B,2,FALSE)</f>
        <v>Hlavní město Praha</v>
      </c>
      <c r="R872" s="6" t="str">
        <f>VLOOKUP(G872,seznampsc!A:C,3,FALSE)</f>
        <v>Hlavní město Praha</v>
      </c>
      <c r="U872" s="29">
        <v>0.14000000000000001</v>
      </c>
      <c r="V872" s="29">
        <v>0.14000000000000001</v>
      </c>
      <c r="W872" s="29"/>
      <c r="X872" s="3">
        <v>1500</v>
      </c>
      <c r="Y872" s="3">
        <v>800</v>
      </c>
      <c r="Z872" s="3">
        <v>1200</v>
      </c>
      <c r="AB872" s="3" t="s">
        <v>3935</v>
      </c>
      <c r="AU872" s="3" t="s">
        <v>4712</v>
      </c>
      <c r="AV872" s="3">
        <v>100000</v>
      </c>
    </row>
    <row r="873" spans="1:48" ht="24" customHeight="1" x14ac:dyDescent="0.3">
      <c r="A873" s="6" t="s">
        <v>53</v>
      </c>
      <c r="B873" s="6" t="s">
        <v>65</v>
      </c>
      <c r="C873" s="6" t="s">
        <v>4758</v>
      </c>
      <c r="D873" s="16">
        <v>47165995</v>
      </c>
      <c r="E873" s="6" t="s">
        <v>4759</v>
      </c>
      <c r="F873" s="6" t="s">
        <v>4760</v>
      </c>
      <c r="G873" s="6">
        <v>70900</v>
      </c>
      <c r="H873" s="6" t="s">
        <v>2426</v>
      </c>
      <c r="I873" s="6" t="s">
        <v>4761</v>
      </c>
      <c r="J873" s="7" t="s">
        <v>4762</v>
      </c>
      <c r="K873" s="6">
        <v>603429998</v>
      </c>
      <c r="L873" s="6" t="s">
        <v>1676</v>
      </c>
      <c r="M873" s="6" t="s">
        <v>62</v>
      </c>
      <c r="N873" s="6" t="s">
        <v>63</v>
      </c>
      <c r="O873" s="6" t="s">
        <v>787</v>
      </c>
      <c r="P873" s="6"/>
      <c r="Q873" s="6" t="str">
        <f>VLOOKUP(G873,seznampsc!A:B,2,FALSE)</f>
        <v>Ostrava-město</v>
      </c>
      <c r="R873" s="6" t="str">
        <f>VLOOKUP(G873,seznampsc!A:C,3,FALSE)</f>
        <v>Moravskoslezský kraj</v>
      </c>
      <c r="U873" s="29">
        <v>0.05</v>
      </c>
      <c r="V873" s="29">
        <v>0.05</v>
      </c>
      <c r="W873" s="29">
        <v>0.05</v>
      </c>
      <c r="X873" s="3">
        <v>1500</v>
      </c>
      <c r="Y873" s="3">
        <v>800</v>
      </c>
      <c r="Z873" s="3">
        <v>1200</v>
      </c>
      <c r="AB873" s="3" t="s">
        <v>3935</v>
      </c>
      <c r="AV873" s="3">
        <v>50000</v>
      </c>
    </row>
    <row r="874" spans="1:48" ht="24" customHeight="1" x14ac:dyDescent="0.3">
      <c r="A874" s="6"/>
      <c r="B874" s="6" t="s">
        <v>65</v>
      </c>
      <c r="C874" s="6" t="s">
        <v>4763</v>
      </c>
      <c r="D874" s="16">
        <v>68339313</v>
      </c>
      <c r="E874" s="6" t="s">
        <v>4764</v>
      </c>
      <c r="F874" s="6" t="s">
        <v>4765</v>
      </c>
      <c r="G874" s="6">
        <v>75301</v>
      </c>
      <c r="H874" s="6" t="s">
        <v>1769</v>
      </c>
      <c r="I874" s="6" t="s">
        <v>4766</v>
      </c>
      <c r="J874" s="6" t="s">
        <v>4767</v>
      </c>
      <c r="K874" s="6">
        <v>602528842</v>
      </c>
      <c r="L874" s="6" t="s">
        <v>1676</v>
      </c>
      <c r="M874" s="6" t="s">
        <v>62</v>
      </c>
      <c r="N874" s="6" t="s">
        <v>63</v>
      </c>
      <c r="O874" s="6" t="s">
        <v>787</v>
      </c>
      <c r="P874" s="6"/>
      <c r="Q874" s="6" t="str">
        <f>VLOOKUP(G874,seznampsc!A:B,2,FALSE)</f>
        <v>Přerov</v>
      </c>
      <c r="R874" s="6" t="str">
        <f>VLOOKUP(G874,seznampsc!A:C,3,FALSE)</f>
        <v>Olomoucký kraj</v>
      </c>
    </row>
    <row r="875" spans="1:48" ht="24" customHeight="1" x14ac:dyDescent="0.3">
      <c r="A875" s="6"/>
      <c r="B875" s="6" t="s">
        <v>65</v>
      </c>
      <c r="C875" s="6" t="s">
        <v>4763</v>
      </c>
      <c r="D875" s="16">
        <v>68339313</v>
      </c>
      <c r="E875" s="6" t="s">
        <v>4764</v>
      </c>
      <c r="F875" s="6" t="s">
        <v>4768</v>
      </c>
      <c r="G875" s="6">
        <v>75124</v>
      </c>
      <c r="H875" s="6" t="s">
        <v>4769</v>
      </c>
      <c r="I875" s="6" t="s">
        <v>4766</v>
      </c>
      <c r="J875" s="6" t="s">
        <v>4767</v>
      </c>
      <c r="K875" s="6">
        <v>602528842</v>
      </c>
      <c r="L875" s="6" t="s">
        <v>1676</v>
      </c>
      <c r="M875" s="6" t="s">
        <v>62</v>
      </c>
      <c r="N875" s="6" t="s">
        <v>63</v>
      </c>
      <c r="O875" s="6" t="s">
        <v>787</v>
      </c>
      <c r="P875" s="6"/>
      <c r="Q875" s="6" t="str">
        <f>VLOOKUP(G875,seznampsc!A:B,2,FALSE)</f>
        <v>Přerov</v>
      </c>
      <c r="R875" s="6" t="str">
        <f>VLOOKUP(G875,seznampsc!A:C,3,FALSE)</f>
        <v>Olomoucký kraj</v>
      </c>
      <c r="AU875" s="3" t="s">
        <v>4770</v>
      </c>
    </row>
    <row r="876" spans="1:48" ht="24" customHeight="1" x14ac:dyDescent="0.3">
      <c r="A876" s="6" t="s">
        <v>53</v>
      </c>
      <c r="B876" s="6" t="s">
        <v>65</v>
      </c>
      <c r="C876" s="6" t="s">
        <v>4771</v>
      </c>
      <c r="D876" s="16">
        <v>28573358</v>
      </c>
      <c r="E876" s="6" t="s">
        <v>4772</v>
      </c>
      <c r="F876" s="6" t="s">
        <v>4773</v>
      </c>
      <c r="G876" s="6">
        <v>73401</v>
      </c>
      <c r="H876" s="6" t="s">
        <v>4774</v>
      </c>
      <c r="I876" s="6" t="s">
        <v>4775</v>
      </c>
      <c r="J876" s="6" t="s">
        <v>4776</v>
      </c>
      <c r="K876" s="6" t="s">
        <v>4777</v>
      </c>
      <c r="L876" s="6" t="s">
        <v>1676</v>
      </c>
      <c r="M876" s="6" t="s">
        <v>62</v>
      </c>
      <c r="N876" s="6" t="s">
        <v>63</v>
      </c>
      <c r="O876" s="6" t="s">
        <v>787</v>
      </c>
      <c r="P876" s="6"/>
      <c r="Q876" s="6" t="str">
        <f>VLOOKUP(G876,seznampsc!A:B,2,FALSE)</f>
        <v>Karviná</v>
      </c>
      <c r="R876" s="6" t="str">
        <f>VLOOKUP(G876,seznampsc!A:C,3,FALSE)</f>
        <v>Moravskoslezský kraj</v>
      </c>
      <c r="U876" s="29">
        <v>0.05</v>
      </c>
      <c r="V876" s="29">
        <v>0.05</v>
      </c>
      <c r="W876" s="29">
        <v>0.05</v>
      </c>
      <c r="X876" s="3">
        <v>1500</v>
      </c>
      <c r="Y876" s="3">
        <v>800</v>
      </c>
      <c r="Z876" s="3">
        <v>1200</v>
      </c>
      <c r="AV876" s="3">
        <v>50000</v>
      </c>
    </row>
    <row r="877" spans="1:48" ht="24" customHeight="1" x14ac:dyDescent="0.3">
      <c r="A877" s="1" t="s">
        <v>381</v>
      </c>
      <c r="B877" s="1" t="s">
        <v>65</v>
      </c>
      <c r="C877" s="1" t="s">
        <v>4778</v>
      </c>
      <c r="D877" s="18">
        <v>72404710</v>
      </c>
      <c r="E877" s="1" t="s">
        <v>4779</v>
      </c>
      <c r="F877" s="1" t="s">
        <v>4780</v>
      </c>
      <c r="G877" s="1">
        <v>61900</v>
      </c>
      <c r="H877" s="1" t="s">
        <v>272</v>
      </c>
      <c r="I877" s="1" t="s">
        <v>4781</v>
      </c>
      <c r="J877" s="1" t="s">
        <v>4782</v>
      </c>
      <c r="K877" s="1">
        <v>777041043</v>
      </c>
      <c r="L877" s="1" t="s">
        <v>3911</v>
      </c>
      <c r="M877" s="1" t="s">
        <v>389</v>
      </c>
      <c r="N877" s="1" t="s">
        <v>63</v>
      </c>
      <c r="O877" s="1" t="s">
        <v>4783</v>
      </c>
      <c r="P877" s="1"/>
      <c r="Q877" s="1"/>
      <c r="R877" s="1"/>
      <c r="AU877" s="4" t="s">
        <v>4784</v>
      </c>
    </row>
    <row r="878" spans="1:48" ht="24" customHeight="1" x14ac:dyDescent="0.3">
      <c r="A878" s="6" t="s">
        <v>53</v>
      </c>
      <c r="B878" s="6" t="s">
        <v>65</v>
      </c>
      <c r="C878" s="6" t="s">
        <v>4785</v>
      </c>
      <c r="D878" s="16">
        <v>61326585</v>
      </c>
      <c r="E878" s="6" t="s">
        <v>4786</v>
      </c>
      <c r="F878" s="6" t="s">
        <v>4787</v>
      </c>
      <c r="G878" s="6">
        <v>41155</v>
      </c>
      <c r="H878" s="6" t="s">
        <v>4788</v>
      </c>
      <c r="I878" s="6"/>
      <c r="J878" s="6" t="s">
        <v>4789</v>
      </c>
      <c r="K878" s="6">
        <v>732147829</v>
      </c>
      <c r="L878" s="6" t="s">
        <v>1676</v>
      </c>
      <c r="M878" s="6" t="s">
        <v>62</v>
      </c>
      <c r="N878" s="6" t="s">
        <v>63</v>
      </c>
      <c r="O878" s="6" t="s">
        <v>787</v>
      </c>
      <c r="P878" s="6"/>
      <c r="Q878" s="6" t="str">
        <f>VLOOKUP(G878,seznampsc!A:B,2,FALSE)</f>
        <v>Litoměřice</v>
      </c>
      <c r="R878" s="6" t="str">
        <f>VLOOKUP(G878,seznampsc!A:C,3,FALSE)</f>
        <v>Ústecký kraj</v>
      </c>
      <c r="U878" s="29">
        <v>0.05</v>
      </c>
      <c r="V878" s="29">
        <v>0.05</v>
      </c>
      <c r="W878" s="29">
        <v>0.05</v>
      </c>
      <c r="X878" s="3">
        <v>1500</v>
      </c>
      <c r="Y878" s="3">
        <v>800</v>
      </c>
      <c r="Z878" s="3">
        <v>1200</v>
      </c>
      <c r="AV878" s="3">
        <v>50000</v>
      </c>
    </row>
    <row r="879" spans="1:48" ht="24" customHeight="1" x14ac:dyDescent="0.3">
      <c r="A879" s="6" t="s">
        <v>53</v>
      </c>
      <c r="B879" s="6" t="s">
        <v>65</v>
      </c>
      <c r="C879" s="6" t="s">
        <v>4790</v>
      </c>
      <c r="D879" s="16">
        <v>13763482</v>
      </c>
      <c r="E879" s="6" t="s">
        <v>4791</v>
      </c>
      <c r="F879" s="6" t="s">
        <v>4792</v>
      </c>
      <c r="G879" s="6">
        <v>25084</v>
      </c>
      <c r="H879" s="6" t="s">
        <v>4456</v>
      </c>
      <c r="I879" s="6" t="s">
        <v>4791</v>
      </c>
      <c r="J879" s="6" t="s">
        <v>4793</v>
      </c>
      <c r="K879" s="6">
        <v>776002357</v>
      </c>
      <c r="L879" s="6" t="s">
        <v>1676</v>
      </c>
      <c r="M879" s="6" t="s">
        <v>62</v>
      </c>
      <c r="N879" s="6" t="s">
        <v>63</v>
      </c>
      <c r="O879" s="6" t="s">
        <v>787</v>
      </c>
      <c r="P879" s="6"/>
      <c r="Q879" s="6" t="str">
        <f>VLOOKUP(G879,seznampsc!A:B,2,FALSE)</f>
        <v>Praha-východ</v>
      </c>
      <c r="R879" s="6" t="str">
        <f>VLOOKUP(G879,seznampsc!A:C,3,FALSE)</f>
        <v>Středočeský kraj</v>
      </c>
      <c r="U879" s="29">
        <v>0.05</v>
      </c>
      <c r="V879" s="29">
        <v>0.05</v>
      </c>
      <c r="W879" s="29">
        <v>0.05</v>
      </c>
      <c r="X879" s="3">
        <v>1500</v>
      </c>
      <c r="Y879" s="3">
        <v>800</v>
      </c>
      <c r="Z879" s="3">
        <v>1200</v>
      </c>
      <c r="AU879" s="6"/>
      <c r="AV879" s="3">
        <v>50000</v>
      </c>
    </row>
    <row r="880" spans="1:48" ht="24" customHeight="1" x14ac:dyDescent="0.3">
      <c r="A880" s="6" t="s">
        <v>53</v>
      </c>
      <c r="B880" s="6" t="s">
        <v>65</v>
      </c>
      <c r="C880" s="6" t="s">
        <v>4794</v>
      </c>
      <c r="D880" s="16">
        <v>26909456</v>
      </c>
      <c r="E880" s="6" t="s">
        <v>4795</v>
      </c>
      <c r="F880" s="6" t="s">
        <v>4796</v>
      </c>
      <c r="G880" s="6">
        <v>69501</v>
      </c>
      <c r="H880" s="6" t="s">
        <v>1207</v>
      </c>
      <c r="I880" s="6" t="s">
        <v>4797</v>
      </c>
      <c r="J880" s="6" t="s">
        <v>4299</v>
      </c>
      <c r="K880" s="6">
        <v>736489574</v>
      </c>
      <c r="L880" s="6" t="s">
        <v>1676</v>
      </c>
      <c r="M880" s="6" t="s">
        <v>62</v>
      </c>
      <c r="N880" s="6" t="s">
        <v>63</v>
      </c>
      <c r="O880" s="6" t="s">
        <v>787</v>
      </c>
      <c r="P880" s="6"/>
      <c r="Q880" s="6" t="str">
        <f>VLOOKUP(G880,seznampsc!A:B,2,FALSE)</f>
        <v>Hodonín</v>
      </c>
      <c r="R880" s="6" t="str">
        <f>VLOOKUP(G880,seznampsc!A:C,3,FALSE)</f>
        <v>Jihomoravský kraj</v>
      </c>
      <c r="U880" s="29">
        <v>0.05</v>
      </c>
      <c r="V880" s="29">
        <v>0.05</v>
      </c>
      <c r="W880" s="29">
        <v>0.05</v>
      </c>
      <c r="X880" s="3">
        <v>1500</v>
      </c>
      <c r="Y880" s="3">
        <v>800</v>
      </c>
      <c r="Z880" s="3">
        <v>1200</v>
      </c>
      <c r="AU880" s="6"/>
      <c r="AV880" s="3">
        <v>50000</v>
      </c>
    </row>
    <row r="881" spans="1:48" ht="24" customHeight="1" x14ac:dyDescent="0.3">
      <c r="A881" s="1" t="s">
        <v>381</v>
      </c>
      <c r="B881" s="1" t="s">
        <v>65</v>
      </c>
      <c r="C881" s="1" t="s">
        <v>4798</v>
      </c>
      <c r="D881" s="18">
        <v>15138313</v>
      </c>
      <c r="E881" s="1" t="s">
        <v>4799</v>
      </c>
      <c r="F881" s="1" t="s">
        <v>4469</v>
      </c>
      <c r="G881" s="1">
        <v>43001</v>
      </c>
      <c r="H881" s="1" t="s">
        <v>2017</v>
      </c>
      <c r="I881" s="1" t="s">
        <v>4800</v>
      </c>
      <c r="J881" s="1" t="s">
        <v>4801</v>
      </c>
      <c r="K881" s="1">
        <v>777048915</v>
      </c>
      <c r="L881" s="1" t="s">
        <v>3911</v>
      </c>
      <c r="M881" s="1" t="s">
        <v>389</v>
      </c>
      <c r="N881" s="1" t="s">
        <v>63</v>
      </c>
      <c r="O881" s="1" t="s">
        <v>4783</v>
      </c>
      <c r="P881" s="1"/>
      <c r="Q881" s="1"/>
      <c r="R881" s="1"/>
      <c r="AU881" s="4" t="s">
        <v>4802</v>
      </c>
    </row>
    <row r="882" spans="1:48" ht="24" customHeight="1" x14ac:dyDescent="0.3">
      <c r="A882" s="3" t="s">
        <v>53</v>
      </c>
      <c r="B882" s="3" t="s">
        <v>4701</v>
      </c>
      <c r="C882" s="3" t="s">
        <v>4702</v>
      </c>
      <c r="D882" s="3">
        <v>9047123</v>
      </c>
      <c r="E882" s="3" t="s">
        <v>4703</v>
      </c>
      <c r="F882" s="3" t="s">
        <v>272</v>
      </c>
      <c r="G882" s="3">
        <v>60200</v>
      </c>
      <c r="J882" s="3" t="s">
        <v>4705</v>
      </c>
      <c r="K882" s="3">
        <v>737306080</v>
      </c>
      <c r="L882" s="6" t="s">
        <v>1676</v>
      </c>
      <c r="M882" s="3" t="s">
        <v>4706</v>
      </c>
      <c r="N882" s="3" t="s">
        <v>63</v>
      </c>
      <c r="P882" s="6"/>
      <c r="Q882" s="6" t="str">
        <f>VLOOKUP(G882,seznampsc!A:B,2,FALSE)</f>
        <v>Brno-město</v>
      </c>
      <c r="R882" s="6" t="str">
        <f>VLOOKUP(G882,seznampsc!A:C,3,FALSE)</f>
        <v>Jihomoravský kraj</v>
      </c>
      <c r="U882" s="29">
        <v>0.14000000000000001</v>
      </c>
      <c r="V882" s="29">
        <v>0.14000000000000001</v>
      </c>
      <c r="W882" s="29"/>
      <c r="X882" s="3">
        <v>1500</v>
      </c>
      <c r="Y882" s="3">
        <v>800</v>
      </c>
      <c r="Z882" s="3">
        <v>1200</v>
      </c>
      <c r="AB882" s="3" t="s">
        <v>3935</v>
      </c>
      <c r="AU882" s="3" t="s">
        <v>4712</v>
      </c>
      <c r="AV882" s="3">
        <v>100000</v>
      </c>
    </row>
    <row r="883" spans="1:48" ht="24" customHeight="1" x14ac:dyDescent="0.3">
      <c r="A883" s="6" t="s">
        <v>53</v>
      </c>
      <c r="B883" s="6" t="s">
        <v>65</v>
      </c>
      <c r="C883" s="6" t="s">
        <v>4803</v>
      </c>
      <c r="D883" s="16">
        <v>1988867</v>
      </c>
      <c r="E883" s="6" t="s">
        <v>4804</v>
      </c>
      <c r="F883" s="6" t="s">
        <v>4805</v>
      </c>
      <c r="G883" s="6">
        <v>39701</v>
      </c>
      <c r="H883" s="6" t="s">
        <v>1180</v>
      </c>
      <c r="I883" s="6"/>
      <c r="J883" s="7" t="s">
        <v>4806</v>
      </c>
      <c r="K883" s="6">
        <v>608707100</v>
      </c>
      <c r="L883" s="6" t="s">
        <v>1676</v>
      </c>
      <c r="M883" s="6" t="s">
        <v>62</v>
      </c>
      <c r="N883" s="6" t="s">
        <v>63</v>
      </c>
      <c r="O883" s="6" t="s">
        <v>787</v>
      </c>
      <c r="P883" s="6"/>
      <c r="Q883" s="6" t="str">
        <f>VLOOKUP(G883,seznampsc!A:B,2,FALSE)</f>
        <v>Písek</v>
      </c>
      <c r="R883" s="6" t="str">
        <f>VLOOKUP(G883,seznampsc!A:C,3,FALSE)</f>
        <v>Jihočeský kraj</v>
      </c>
      <c r="U883" s="29">
        <v>0.05</v>
      </c>
      <c r="V883" s="29">
        <v>0.05</v>
      </c>
      <c r="W883" s="29">
        <v>0.05</v>
      </c>
      <c r="X883" s="3">
        <v>1500</v>
      </c>
      <c r="Y883" s="3">
        <v>800</v>
      </c>
      <c r="Z883" s="3">
        <v>1200</v>
      </c>
      <c r="AU883" s="6"/>
      <c r="AV883" s="3">
        <v>50000</v>
      </c>
    </row>
    <row r="884" spans="1:48" ht="24" customHeight="1" x14ac:dyDescent="0.3">
      <c r="A884" s="6" t="s">
        <v>53</v>
      </c>
      <c r="B884" s="6" t="s">
        <v>65</v>
      </c>
      <c r="C884" s="6" t="s">
        <v>4803</v>
      </c>
      <c r="D884" s="16">
        <v>1988867</v>
      </c>
      <c r="E884" s="6" t="s">
        <v>4804</v>
      </c>
      <c r="F884" s="6" t="s">
        <v>4807</v>
      </c>
      <c r="G884" s="6">
        <v>38601</v>
      </c>
      <c r="H884" s="6" t="s">
        <v>2159</v>
      </c>
      <c r="I884" s="6"/>
      <c r="J884" s="6" t="s">
        <v>4806</v>
      </c>
      <c r="K884" s="6">
        <v>608707100</v>
      </c>
      <c r="L884" s="6" t="s">
        <v>1676</v>
      </c>
      <c r="M884" s="6" t="s">
        <v>62</v>
      </c>
      <c r="N884" s="6" t="s">
        <v>63</v>
      </c>
      <c r="O884" s="6" t="s">
        <v>787</v>
      </c>
      <c r="P884" s="6"/>
      <c r="Q884" s="6" t="str">
        <f>VLOOKUP(G884,seznampsc!A:B,2,FALSE)</f>
        <v>Strakonice</v>
      </c>
      <c r="R884" s="6" t="str">
        <f>VLOOKUP(G884,seznampsc!A:C,3,FALSE)</f>
        <v>Jihočeský kraj</v>
      </c>
      <c r="S884" s="3" t="s">
        <v>4808</v>
      </c>
      <c r="T884" s="3" t="s">
        <v>4809</v>
      </c>
      <c r="U884" s="29">
        <v>0.05</v>
      </c>
      <c r="V884" s="29">
        <v>0.05</v>
      </c>
      <c r="W884" s="29">
        <v>0.05</v>
      </c>
      <c r="X884" s="3">
        <v>1500</v>
      </c>
      <c r="Y884" s="3">
        <v>800</v>
      </c>
      <c r="Z884" s="3">
        <v>1200</v>
      </c>
      <c r="AU884" s="6"/>
      <c r="AV884" s="3">
        <v>50000</v>
      </c>
    </row>
    <row r="885" spans="1:48" ht="24" customHeight="1" x14ac:dyDescent="0.3">
      <c r="A885" s="6" t="s">
        <v>53</v>
      </c>
      <c r="B885" s="6" t="s">
        <v>65</v>
      </c>
      <c r="C885" s="6" t="s">
        <v>4803</v>
      </c>
      <c r="D885" s="16">
        <v>1988867</v>
      </c>
      <c r="E885" s="6" t="s">
        <v>4804</v>
      </c>
      <c r="F885" s="6" t="s">
        <v>4810</v>
      </c>
      <c r="G885" s="6">
        <v>37004</v>
      </c>
      <c r="H885" s="6" t="s">
        <v>460</v>
      </c>
      <c r="I885" s="6"/>
      <c r="J885" s="6" t="s">
        <v>4806</v>
      </c>
      <c r="K885" s="6">
        <v>608707100</v>
      </c>
      <c r="L885" s="6" t="s">
        <v>1676</v>
      </c>
      <c r="M885" s="6" t="s">
        <v>62</v>
      </c>
      <c r="N885" s="6" t="s">
        <v>63</v>
      </c>
      <c r="O885" s="6" t="s">
        <v>787</v>
      </c>
      <c r="P885" s="6"/>
      <c r="Q885" s="6" t="str">
        <f>VLOOKUP(G885,seznampsc!A:B,2,FALSE)</f>
        <v>České Budějovice</v>
      </c>
      <c r="R885" s="6" t="str">
        <f>VLOOKUP(G885,seznampsc!A:C,3,FALSE)</f>
        <v>Jihočeský kraj</v>
      </c>
      <c r="S885" s="3" t="s">
        <v>4811</v>
      </c>
      <c r="T885" s="3" t="s">
        <v>4812</v>
      </c>
      <c r="U885" s="29">
        <v>0.05</v>
      </c>
      <c r="V885" s="29">
        <v>0.05</v>
      </c>
      <c r="W885" s="29">
        <v>0.05</v>
      </c>
      <c r="X885" s="3">
        <v>1500</v>
      </c>
      <c r="Y885" s="3">
        <v>800</v>
      </c>
      <c r="Z885" s="3">
        <v>1200</v>
      </c>
      <c r="AU885" s="6"/>
      <c r="AV885" s="3">
        <v>50000</v>
      </c>
    </row>
    <row r="886" spans="1:48" ht="24" customHeight="1" x14ac:dyDescent="0.3">
      <c r="A886" s="6" t="s">
        <v>53</v>
      </c>
      <c r="B886" s="6" t="s">
        <v>65</v>
      </c>
      <c r="C886" s="6" t="s">
        <v>4803</v>
      </c>
      <c r="D886" s="16">
        <v>1988867</v>
      </c>
      <c r="E886" s="6" t="s">
        <v>4804</v>
      </c>
      <c r="F886" s="6" t="s">
        <v>4813</v>
      </c>
      <c r="G886" s="6">
        <v>37803</v>
      </c>
      <c r="H886" s="6" t="s">
        <v>4814</v>
      </c>
      <c r="I886" s="6"/>
      <c r="J886" s="6" t="s">
        <v>4806</v>
      </c>
      <c r="K886" s="6">
        <v>608707100</v>
      </c>
      <c r="L886" s="6" t="s">
        <v>1676</v>
      </c>
      <c r="M886" s="6" t="s">
        <v>62</v>
      </c>
      <c r="N886" s="6" t="s">
        <v>63</v>
      </c>
      <c r="O886" s="6" t="s">
        <v>787</v>
      </c>
      <c r="P886" s="6"/>
      <c r="Q886" s="6" t="str">
        <f>VLOOKUP(G886,seznampsc!A:B,2,FALSE)</f>
        <v>Jindřichův Hradec</v>
      </c>
      <c r="R886" s="6" t="str">
        <f>VLOOKUP(G886,seznampsc!A:C,3,FALSE)</f>
        <v>Jihočeský kraj</v>
      </c>
      <c r="S886" s="3" t="s">
        <v>4815</v>
      </c>
      <c r="T886" s="3" t="s">
        <v>4816</v>
      </c>
      <c r="U886" s="29">
        <v>0.05</v>
      </c>
      <c r="V886" s="29">
        <v>0.05</v>
      </c>
      <c r="W886" s="29">
        <v>0.05</v>
      </c>
      <c r="X886" s="3">
        <v>1500</v>
      </c>
      <c r="Y886" s="3">
        <v>800</v>
      </c>
      <c r="Z886" s="3">
        <v>1200</v>
      </c>
      <c r="AU886" s="6"/>
      <c r="AV886" s="3">
        <v>50000</v>
      </c>
    </row>
    <row r="887" spans="1:48" ht="24" customHeight="1" x14ac:dyDescent="0.3">
      <c r="A887" s="6" t="s">
        <v>53</v>
      </c>
      <c r="B887" s="6" t="s">
        <v>65</v>
      </c>
      <c r="C887" s="6" t="s">
        <v>4803</v>
      </c>
      <c r="D887" s="16">
        <v>1988867</v>
      </c>
      <c r="E887" s="6" t="s">
        <v>4804</v>
      </c>
      <c r="F887" s="6" t="s">
        <v>4817</v>
      </c>
      <c r="G887" s="6">
        <v>39806</v>
      </c>
      <c r="H887" s="6" t="s">
        <v>4818</v>
      </c>
      <c r="I887" s="6"/>
      <c r="J887" s="6" t="s">
        <v>4806</v>
      </c>
      <c r="K887" s="6">
        <v>608707100</v>
      </c>
      <c r="L887" s="6" t="s">
        <v>1676</v>
      </c>
      <c r="M887" s="6" t="s">
        <v>62</v>
      </c>
      <c r="N887" s="6" t="s">
        <v>63</v>
      </c>
      <c r="O887" s="6" t="s">
        <v>787</v>
      </c>
      <c r="P887" s="6"/>
      <c r="Q887" s="6" t="str">
        <f>VLOOKUP(G887,seznampsc!A:B,2,FALSE)</f>
        <v>Písek</v>
      </c>
      <c r="R887" s="6" t="str">
        <f>VLOOKUP(G887,seznampsc!A:C,3,FALSE)</f>
        <v>Jihočeský kraj</v>
      </c>
      <c r="S887" s="3" t="s">
        <v>4819</v>
      </c>
      <c r="T887" s="3" t="s">
        <v>4820</v>
      </c>
      <c r="U887" s="29">
        <v>0.05</v>
      </c>
      <c r="V887" s="29">
        <v>0.05</v>
      </c>
      <c r="W887" s="29">
        <v>0.05</v>
      </c>
      <c r="X887" s="3">
        <v>1500</v>
      </c>
      <c r="Y887" s="3">
        <v>800</v>
      </c>
      <c r="Z887" s="3">
        <v>1200</v>
      </c>
      <c r="AU887" s="6"/>
      <c r="AV887" s="3">
        <v>50000</v>
      </c>
    </row>
    <row r="888" spans="1:48" ht="24" customHeight="1" x14ac:dyDescent="0.3">
      <c r="A888" s="6" t="s">
        <v>53</v>
      </c>
      <c r="B888" s="6" t="s">
        <v>65</v>
      </c>
      <c r="C888" s="6" t="s">
        <v>4821</v>
      </c>
      <c r="D888" s="16">
        <v>26968541</v>
      </c>
      <c r="E888" s="6" t="s">
        <v>4822</v>
      </c>
      <c r="F888" s="6" t="s">
        <v>4823</v>
      </c>
      <c r="G888" s="6">
        <v>60200</v>
      </c>
      <c r="H888" s="6" t="s">
        <v>272</v>
      </c>
      <c r="I888" s="6" t="s">
        <v>4824</v>
      </c>
      <c r="J888" s="6" t="s">
        <v>4231</v>
      </c>
      <c r="K888" s="6">
        <v>603431104</v>
      </c>
      <c r="L888" s="6" t="s">
        <v>1676</v>
      </c>
      <c r="M888" s="6" t="s">
        <v>62</v>
      </c>
      <c r="N888" s="6" t="s">
        <v>63</v>
      </c>
      <c r="O888" s="6" t="s">
        <v>787</v>
      </c>
      <c r="P888" s="6"/>
      <c r="Q888" s="6" t="str">
        <f>VLOOKUP(G888,seznampsc!A:B,2,FALSE)</f>
        <v>Brno-město</v>
      </c>
      <c r="R888" s="6" t="str">
        <f>VLOOKUP(G888,seznampsc!A:C,3,FALSE)</f>
        <v>Jihomoravský kraj</v>
      </c>
      <c r="S888" s="6" t="s">
        <v>4825</v>
      </c>
      <c r="T888" s="6" t="s">
        <v>4826</v>
      </c>
      <c r="U888" s="29">
        <v>0.05</v>
      </c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6"/>
      <c r="AN888" s="6"/>
      <c r="AO888" s="6"/>
      <c r="AP888" s="6"/>
      <c r="AQ888" s="6"/>
      <c r="AR888" s="6"/>
      <c r="AS888" s="6"/>
      <c r="AT888" s="6"/>
      <c r="AU888" s="6"/>
      <c r="AV888" s="3">
        <v>50000</v>
      </c>
    </row>
    <row r="889" spans="1:48" ht="24" customHeight="1" x14ac:dyDescent="0.3">
      <c r="A889" s="6" t="s">
        <v>53</v>
      </c>
      <c r="B889" s="6" t="s">
        <v>65</v>
      </c>
      <c r="C889" s="6" t="s">
        <v>4827</v>
      </c>
      <c r="D889" s="16">
        <v>19209142</v>
      </c>
      <c r="E889" s="6" t="s">
        <v>4828</v>
      </c>
      <c r="F889" s="6" t="s">
        <v>4829</v>
      </c>
      <c r="G889" s="6">
        <v>51101</v>
      </c>
      <c r="H889" s="6" t="s">
        <v>3627</v>
      </c>
      <c r="I889" s="6" t="s">
        <v>4830</v>
      </c>
      <c r="J889" s="6" t="s">
        <v>4831</v>
      </c>
      <c r="K889" s="6">
        <v>777200082</v>
      </c>
      <c r="L889" s="6" t="s">
        <v>1676</v>
      </c>
      <c r="M889" s="6" t="s">
        <v>62</v>
      </c>
      <c r="N889" s="6" t="s">
        <v>63</v>
      </c>
      <c r="O889" s="6" t="s">
        <v>787</v>
      </c>
      <c r="P889" s="6"/>
      <c r="Q889" s="6" t="str">
        <f>VLOOKUP(G889,seznampsc!A:B,2,FALSE)</f>
        <v>Semily</v>
      </c>
      <c r="R889" s="6" t="str">
        <f>VLOOKUP(G889,seznampsc!A:C,3,FALSE)</f>
        <v>Liberecký kraj</v>
      </c>
      <c r="S889" s="6" t="s">
        <v>4832</v>
      </c>
      <c r="T889" s="6" t="s">
        <v>4833</v>
      </c>
      <c r="U889" s="29">
        <v>0.05</v>
      </c>
      <c r="V889" s="29">
        <v>0.05</v>
      </c>
      <c r="W889" s="29">
        <v>0.05</v>
      </c>
      <c r="X889" s="3">
        <v>1500</v>
      </c>
      <c r="Y889" s="3">
        <v>800</v>
      </c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6"/>
      <c r="AN889" s="6"/>
      <c r="AO889" s="6"/>
      <c r="AP889" s="6"/>
      <c r="AQ889" s="6"/>
      <c r="AR889" s="6"/>
      <c r="AS889" s="6"/>
      <c r="AT889" s="6"/>
      <c r="AU889" s="6" t="s">
        <v>4834</v>
      </c>
    </row>
    <row r="890" spans="1:48" ht="24" customHeight="1" x14ac:dyDescent="0.3">
      <c r="A890" s="6" t="s">
        <v>53</v>
      </c>
      <c r="B890" s="6" t="s">
        <v>65</v>
      </c>
      <c r="C890" s="6" t="s">
        <v>4835</v>
      </c>
      <c r="D890" s="16">
        <v>19753110</v>
      </c>
      <c r="E890" s="6" t="s">
        <v>3005</v>
      </c>
      <c r="F890" s="6" t="s">
        <v>4836</v>
      </c>
      <c r="G890" s="6">
        <v>69617</v>
      </c>
      <c r="H890" s="6" t="s">
        <v>1207</v>
      </c>
      <c r="I890" s="6" t="s">
        <v>772</v>
      </c>
      <c r="J890" s="6" t="s">
        <v>3006</v>
      </c>
      <c r="K890" s="6">
        <v>602745557.51837206</v>
      </c>
      <c r="L890" s="6" t="s">
        <v>1676</v>
      </c>
      <c r="M890" s="6" t="s">
        <v>62</v>
      </c>
      <c r="N890" s="6" t="s">
        <v>63</v>
      </c>
      <c r="O890" s="6" t="s">
        <v>787</v>
      </c>
      <c r="P890" s="6"/>
      <c r="Q890" s="6" t="str">
        <f>VLOOKUP(G890,seznampsc!A:B,2,FALSE)</f>
        <v>Hodonín</v>
      </c>
      <c r="R890" s="6" t="str">
        <f>VLOOKUP(G890,seznampsc!A:C,3,FALSE)</f>
        <v>Jihomoravský kraj</v>
      </c>
      <c r="S890" s="6" t="s">
        <v>4837</v>
      </c>
      <c r="T890" s="6" t="s">
        <v>4838</v>
      </c>
      <c r="U890" s="29">
        <v>0.05</v>
      </c>
      <c r="V890" s="29">
        <v>0.05</v>
      </c>
      <c r="W890" s="29">
        <v>0.05</v>
      </c>
      <c r="X890" s="6">
        <v>1500</v>
      </c>
      <c r="Y890" s="6">
        <v>800</v>
      </c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6"/>
      <c r="AN890" s="6"/>
      <c r="AO890" s="6"/>
      <c r="AP890" s="6"/>
      <c r="AQ890" s="6"/>
      <c r="AR890" s="6"/>
      <c r="AS890" s="6"/>
      <c r="AT890" s="6"/>
      <c r="AU890" s="6"/>
      <c r="AV890" s="3">
        <v>50000</v>
      </c>
    </row>
    <row r="891" spans="1:48" ht="24" customHeight="1" x14ac:dyDescent="0.3">
      <c r="A891" s="6" t="s">
        <v>53</v>
      </c>
      <c r="B891" s="6" t="s">
        <v>65</v>
      </c>
      <c r="C891" s="6" t="s">
        <v>4839</v>
      </c>
      <c r="D891" s="16">
        <v>19048084</v>
      </c>
      <c r="E891" s="6" t="s">
        <v>4840</v>
      </c>
      <c r="F891" s="6" t="s">
        <v>4841</v>
      </c>
      <c r="G891" s="6">
        <v>43001</v>
      </c>
      <c r="H891" s="6" t="s">
        <v>2017</v>
      </c>
      <c r="I891" s="6" t="s">
        <v>4842</v>
      </c>
      <c r="J891" s="7" t="s">
        <v>4801</v>
      </c>
      <c r="K891" s="8">
        <v>777048915</v>
      </c>
      <c r="L891" s="6" t="s">
        <v>1676</v>
      </c>
      <c r="M891" s="6" t="s">
        <v>62</v>
      </c>
      <c r="N891" s="6" t="s">
        <v>63</v>
      </c>
      <c r="O891" s="6" t="s">
        <v>787</v>
      </c>
      <c r="P891" s="6"/>
      <c r="Q891" s="6" t="str">
        <f>VLOOKUP(G891,seznampsc!A:B,2,FALSE)</f>
        <v>Chomutov</v>
      </c>
      <c r="R891" s="6" t="str">
        <f>VLOOKUP(G891,seznampsc!A:C,3,FALSE)</f>
        <v>Ústecký kraj</v>
      </c>
      <c r="S891" s="6" t="s">
        <v>4843</v>
      </c>
      <c r="T891" s="6" t="s">
        <v>4844</v>
      </c>
      <c r="U891" s="29">
        <v>0.05</v>
      </c>
      <c r="V891" s="29">
        <v>0.05</v>
      </c>
      <c r="W891" s="29">
        <v>0.05</v>
      </c>
      <c r="X891" s="6">
        <v>1500</v>
      </c>
      <c r="Y891" s="6">
        <v>800</v>
      </c>
      <c r="Z891" s="6">
        <v>1200</v>
      </c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6"/>
      <c r="AN891" s="6"/>
      <c r="AO891" s="6"/>
      <c r="AP891" s="6"/>
      <c r="AQ891" s="6"/>
      <c r="AR891" s="6"/>
      <c r="AS891" s="6"/>
      <c r="AT891" s="6"/>
      <c r="AU891" s="6"/>
      <c r="AV891" s="3">
        <v>50000</v>
      </c>
    </row>
    <row r="892" spans="1:48" ht="24" customHeight="1" x14ac:dyDescent="0.3">
      <c r="A892" s="6" t="s">
        <v>53</v>
      </c>
      <c r="B892" s="6" t="s">
        <v>65</v>
      </c>
      <c r="C892" s="6" t="s">
        <v>4845</v>
      </c>
      <c r="D892" s="16">
        <v>21860921</v>
      </c>
      <c r="E892" s="6" t="s">
        <v>4846</v>
      </c>
      <c r="F892" s="6" t="s">
        <v>4847</v>
      </c>
      <c r="G892" s="6">
        <v>61900</v>
      </c>
      <c r="H892" s="6" t="s">
        <v>272</v>
      </c>
      <c r="I892" s="6" t="s">
        <v>4848</v>
      </c>
      <c r="J892" s="6" t="s">
        <v>4782</v>
      </c>
      <c r="K892" s="6">
        <v>777041043</v>
      </c>
      <c r="L892" s="6" t="s">
        <v>1676</v>
      </c>
      <c r="M892" s="6" t="s">
        <v>62</v>
      </c>
      <c r="N892" s="6" t="s">
        <v>63</v>
      </c>
      <c r="O892" s="6" t="s">
        <v>787</v>
      </c>
      <c r="P892" s="6"/>
      <c r="Q892" s="6" t="str">
        <f>VLOOKUP(G892,seznampsc!A:B,2,FALSE)</f>
        <v>Brno-město</v>
      </c>
      <c r="R892" s="6" t="str">
        <f>VLOOKUP(G892,seznampsc!A:C,3,FALSE)</f>
        <v>Jihomoravský kraj</v>
      </c>
      <c r="S892" s="6" t="s">
        <v>4849</v>
      </c>
      <c r="T892" s="6" t="s">
        <v>4850</v>
      </c>
      <c r="U892" s="29">
        <v>0.05</v>
      </c>
      <c r="V892" s="30">
        <v>0.05</v>
      </c>
      <c r="W892" s="30">
        <v>0.05</v>
      </c>
      <c r="X892" s="9">
        <v>1500</v>
      </c>
      <c r="Y892" s="9">
        <v>800</v>
      </c>
      <c r="Z892" s="9">
        <v>1200</v>
      </c>
      <c r="AA892" s="9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6"/>
      <c r="AN892" s="6"/>
      <c r="AO892" s="6"/>
      <c r="AP892" s="6"/>
      <c r="AQ892" s="6"/>
      <c r="AR892" s="6"/>
      <c r="AS892" s="6"/>
      <c r="AT892" s="6"/>
      <c r="AU892" s="6"/>
      <c r="AV892" s="3">
        <v>50000</v>
      </c>
    </row>
    <row r="893" spans="1:48" ht="24" customHeight="1" x14ac:dyDescent="0.3">
      <c r="A893" s="6" t="s">
        <v>53</v>
      </c>
      <c r="B893" s="6" t="s">
        <v>65</v>
      </c>
      <c r="C893" s="6" t="s">
        <v>4851</v>
      </c>
      <c r="D893" s="16">
        <v>87989824</v>
      </c>
      <c r="E893" s="6" t="s">
        <v>4852</v>
      </c>
      <c r="F893" s="6" t="s">
        <v>4853</v>
      </c>
      <c r="G893" s="6">
        <v>50601</v>
      </c>
      <c r="H893" s="6" t="s">
        <v>4854</v>
      </c>
      <c r="I893" s="6" t="s">
        <v>4855</v>
      </c>
      <c r="J893" s="6" t="s">
        <v>4856</v>
      </c>
      <c r="K893" s="6">
        <v>739290920</v>
      </c>
      <c r="L893" s="6" t="s">
        <v>1676</v>
      </c>
      <c r="M893" s="6" t="s">
        <v>62</v>
      </c>
      <c r="N893" s="6" t="s">
        <v>63</v>
      </c>
      <c r="O893" s="6" t="s">
        <v>787</v>
      </c>
      <c r="P893" s="6"/>
      <c r="Q893" s="6" t="str">
        <f>VLOOKUP(G893,seznampsc!A:B,2,FALSE)</f>
        <v>Jičín</v>
      </c>
      <c r="R893" s="6" t="str">
        <f>VLOOKUP(G893,seznampsc!A:C,3,FALSE)</f>
        <v>Královéhradecký kraj</v>
      </c>
      <c r="S893" s="6" t="s">
        <v>4857</v>
      </c>
      <c r="T893" s="6" t="s">
        <v>4858</v>
      </c>
      <c r="U893" s="29">
        <v>0.05</v>
      </c>
      <c r="V893" s="29">
        <v>0.05</v>
      </c>
      <c r="W893" s="29">
        <v>0.05</v>
      </c>
      <c r="X893" s="6">
        <v>1900</v>
      </c>
      <c r="Y893" s="6">
        <v>800</v>
      </c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6"/>
      <c r="AN893" s="6"/>
      <c r="AO893" s="6"/>
      <c r="AP893" s="6"/>
      <c r="AQ893" s="6"/>
      <c r="AR893" s="6"/>
      <c r="AS893" s="6"/>
      <c r="AT893" s="6"/>
      <c r="AU893" s="6"/>
      <c r="AV893" s="3">
        <v>50000</v>
      </c>
    </row>
    <row r="894" spans="1:48" ht="24" customHeight="1" x14ac:dyDescent="0.3">
      <c r="A894" s="6" t="s">
        <v>53</v>
      </c>
      <c r="B894" s="6" t="s">
        <v>65</v>
      </c>
      <c r="C894" s="6" t="s">
        <v>4859</v>
      </c>
      <c r="D894" s="16">
        <v>4038452</v>
      </c>
      <c r="E894" s="6" t="s">
        <v>4860</v>
      </c>
      <c r="F894" s="6" t="s">
        <v>4861</v>
      </c>
      <c r="G894" s="6">
        <v>74242</v>
      </c>
      <c r="H894" s="6" t="s">
        <v>1928</v>
      </c>
      <c r="I894" s="6" t="s">
        <v>4862</v>
      </c>
      <c r="J894" s="6" t="s">
        <v>4863</v>
      </c>
      <c r="K894" s="6">
        <v>731053070</v>
      </c>
      <c r="L894" s="6" t="s">
        <v>1676</v>
      </c>
      <c r="M894" s="6" t="s">
        <v>62</v>
      </c>
      <c r="N894" s="6" t="s">
        <v>63</v>
      </c>
      <c r="O894" s="6" t="s">
        <v>787</v>
      </c>
      <c r="P894" s="6"/>
      <c r="Q894" s="6" t="str">
        <f>VLOOKUP(G894,seznampsc!A:B,2,FALSE)</f>
        <v>Nový Jičín</v>
      </c>
      <c r="R894" s="6" t="str">
        <f>VLOOKUP(G894,seznampsc!A:C,3,FALSE)</f>
        <v>Moravskoslezský kraj</v>
      </c>
      <c r="S894" s="6" t="s">
        <v>4864</v>
      </c>
      <c r="T894" s="6" t="s">
        <v>4865</v>
      </c>
      <c r="U894" s="29">
        <v>0.05</v>
      </c>
      <c r="V894" s="29">
        <v>0.05</v>
      </c>
      <c r="X894" s="3">
        <v>1200</v>
      </c>
      <c r="Y894" s="3">
        <v>800</v>
      </c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6"/>
      <c r="AN894" s="6"/>
      <c r="AO894" s="6"/>
      <c r="AP894" s="6"/>
      <c r="AQ894" s="6"/>
      <c r="AR894" s="6"/>
      <c r="AS894" s="6"/>
      <c r="AT894" s="6"/>
      <c r="AU894" s="6" t="s">
        <v>4866</v>
      </c>
      <c r="AV894" s="3">
        <v>50000</v>
      </c>
    </row>
    <row r="895" spans="1:48" ht="24" customHeight="1" x14ac:dyDescent="0.3"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6"/>
      <c r="AN895" s="6"/>
      <c r="AO895" s="6"/>
      <c r="AP895" s="6"/>
      <c r="AQ895" s="6"/>
      <c r="AR895" s="6"/>
      <c r="AS895" s="6"/>
      <c r="AT895" s="6"/>
      <c r="AU895" s="6"/>
      <c r="AV895" s="8"/>
    </row>
  </sheetData>
  <autoFilter ref="A2:AV895" xr:uid="{E07B6A5A-908D-476D-A45B-E759843A68EB}">
    <sortState xmlns:xlrd2="http://schemas.microsoft.com/office/spreadsheetml/2017/richdata2" ref="A3:AV882">
      <sortCondition ref="Q2:Q895"/>
    </sortState>
  </autoFilter>
  <sortState xmlns:xlrd2="http://schemas.microsoft.com/office/spreadsheetml/2017/richdata2" ref="A3:AW895">
    <sortCondition ref="C3:C895"/>
  </sortState>
  <phoneticPr fontId="5" type="noConversion"/>
  <hyperlinks>
    <hyperlink ref="AU191" r:id="rId1" display="info@autotriopraha.cz" xr:uid="{9E49C3E3-436B-4497-8E97-4826D1982DA1}"/>
    <hyperlink ref="J44" r:id="rId2" display="mailto:pojistne.udalosti.brno-vinohrady@direct-auto.cz" xr:uid="{125BAC67-AC8D-4B74-ABA5-2439F06F4FD5}"/>
    <hyperlink ref="J368" r:id="rId3" display="mailto:Info.praha@direct-auto.cz" xr:uid="{CBFD28C9-B6CE-47D5-ABC6-37EF560BEDA5}"/>
    <hyperlink ref="J456" r:id="rId4" display="mailto:info.pribram@direct-auto.cz" xr:uid="{E571C350-C51A-4B23-B9CA-3DEFF16792FF}"/>
    <hyperlink ref="J367" r:id="rId5" display="mailto:nehody.praha-strahov@direct-auto.cz" xr:uid="{7A99A0C0-3714-4FC0-ABF6-1C464E27058A}"/>
    <hyperlink ref="J191" r:id="rId6" xr:uid="{DB35F606-32AF-46A2-AE13-7B07413CA26B}"/>
    <hyperlink ref="J366" r:id="rId7" display="mailto:Info.praha@direct-auto.cz" xr:uid="{1CF3E3B5-8CBB-4BFC-854A-8316D170D6F2}"/>
    <hyperlink ref="J365" r:id="rId8" display="mailto:nehody.praha-strahov@direct-auto.cz" xr:uid="{83B73546-71D4-49C0-BE56-1B4AA231A10A}"/>
    <hyperlink ref="J141" r:id="rId9" xr:uid="{D69744C2-4471-40FC-AA09-AB8718422722}"/>
    <hyperlink ref="J142" r:id="rId10" xr:uid="{B9142C23-4C04-41A3-A653-C24785518DF1}"/>
    <hyperlink ref="J425" r:id="rId11" display="mailto:martin.dosedel@btto.cz" xr:uid="{4C229FB0-F0F7-40C2-9762-BCFA5D24CD16}"/>
    <hyperlink ref="J455" r:id="rId12" display="mailto:info.pribram@direct-auto.cz" xr:uid="{E6CCF9B0-A351-47E6-9B7C-28037F27FD5F}"/>
    <hyperlink ref="J289" r:id="rId13" display="mailto:martin.bartos@autoinzat.cz" xr:uid="{4275C68F-6C79-40CF-828C-88BE9980C0AE}"/>
    <hyperlink ref="J433" r:id="rId14" xr:uid="{F0E67EAE-F220-4919-87D6-72450F0D31D6}"/>
    <hyperlink ref="J434" r:id="rId15" xr:uid="{CCD3016C-7F09-4B9C-BD51-FE357711850C}"/>
    <hyperlink ref="J222" r:id="rId16" xr:uid="{E26B3211-4458-4720-A622-A711E547C3C9}"/>
    <hyperlink ref="K448" r:id="rId17" display="tel:00420703146308" xr:uid="{F02BAFB9-767D-4A77-B83F-DFD8BF3493D8}"/>
    <hyperlink ref="J448" r:id="rId18" display="mailto:servis@autechmoto.cz" xr:uid="{93EA6F79-6368-4D26-A753-FE2BC051DDC4}"/>
    <hyperlink ref="J300" r:id="rId19" xr:uid="{31685C92-493B-42E7-9450-7A6F944E14C3}"/>
    <hyperlink ref="J301" r:id="rId20" xr:uid="{5D6CF1D4-A49B-467E-AE6A-25E5185B23B7}"/>
    <hyperlink ref="J449" r:id="rId21" display="mailto:roman.kaspar@au-tech.cz" xr:uid="{2394B712-78B5-4DEC-9545-23C8E8777365}"/>
    <hyperlink ref="J250" r:id="rId22" display="mailto:autovital@email.cz" xr:uid="{6B09A7DE-37DA-4B64-A0B0-15EDAD55D052}"/>
    <hyperlink ref="J519" r:id="rId23" display="mailto:v.elis@pemotors.cz" xr:uid="{BF64B787-D865-464C-9814-D6941528FD98}"/>
    <hyperlink ref="J180" r:id="rId24" display="nehody@autobobrava.cz" xr:uid="{FD05A575-0985-410F-8604-4D0D2BCF4246}"/>
    <hyperlink ref="J229" r:id="rId25" display="mailto:milan.trcka@seznam.cz" xr:uid="{83278453-9984-4EE5-AE7D-BB99F2E2F38B}"/>
    <hyperlink ref="J43" r:id="rId26" display="mailto:pojistne.udalosti.brno-vinohrady@direct-auto.cz" xr:uid="{A6A60A12-A32D-4FE1-9035-23CE079CAE9D}"/>
    <hyperlink ref="J381" r:id="rId27" xr:uid="{5F3DEEFB-0FD2-4ADC-AF95-52F254017C92}"/>
    <hyperlink ref="J210" r:id="rId28" display="mailto:info@av-autoservis.cz" xr:uid="{C0EEF9C2-EA53-4DB7-B971-298A401B97B1}"/>
    <hyperlink ref="J224" r:id="rId29" xr:uid="{1112F352-3231-4F21-9AE1-AB677707F119}"/>
    <hyperlink ref="J100" r:id="rId30" display="mailto:likvidace@assistcar.cz" xr:uid="{A068B16A-989A-45C0-980B-3A7EFD143355}"/>
    <hyperlink ref="J260" r:id="rId31" xr:uid="{EB6F4C44-A679-4E54-AF3D-FB4AA7CAAB2D}"/>
    <hyperlink ref="J211" r:id="rId32" display="mailto:info@av-autoservis.cz" xr:uid="{B6F21C77-1751-4652-8F9E-554C90AFE5E5}"/>
    <hyperlink ref="J94" r:id="rId33" display="mailto:kora@volny.cz" xr:uid="{6888E71B-B69C-4162-9BF6-F69D6123733D}"/>
    <hyperlink ref="J442" r:id="rId34" xr:uid="{C5BA2D9E-5B84-49F5-8D3D-396783A5151F}"/>
    <hyperlink ref="J395" r:id="rId35" tooltip="tomas.puczok@autodum-vrana.cz" display="mailto:tomas.puczok@autodum-vrana.cz?subject=" xr:uid="{7724BE2B-1ADF-457C-83A8-8313719C8E7F}"/>
    <hyperlink ref="K395" r:id="rId36" display="tel:603 184 638" xr:uid="{890E765E-3A42-481A-90E3-CA14176923E7}"/>
    <hyperlink ref="J388" r:id="rId37" xr:uid="{361ECF2C-8C44-4265-924C-0F864FAACCC1}"/>
    <hyperlink ref="J485" r:id="rId38" xr:uid="{FE48AF0F-D370-41D5-8AA5-CBD95008C187}"/>
    <hyperlink ref="K255" r:id="rId39" display="martin@autofreisler.cz" xr:uid="{49D5D63F-5C3B-463D-AEF3-B0D45E7405D8}"/>
    <hyperlink ref="K472" r:id="rId40" display="tel:723738338" xr:uid="{741A9DAE-518E-485F-BE64-589FA34C3B53}"/>
    <hyperlink ref="J523" r:id="rId41" xr:uid="{DD08A360-0318-4C5F-8384-72A3C73C06FE}"/>
    <hyperlink ref="J520" r:id="rId42" xr:uid="{DA900533-95D6-49B0-85E7-8A5B314FA1DE}"/>
    <hyperlink ref="J546" r:id="rId43" xr:uid="{90223A5A-419F-4F10-AAC4-B92350B789D0}"/>
    <hyperlink ref="J315" r:id="rId44" xr:uid="{136DD1F4-AF8C-4ACF-B278-8B9F50393F95}"/>
    <hyperlink ref="J181" r:id="rId45" display="nehody@autobobrava.cz" xr:uid="{79C44C1C-E8FB-4E1E-9194-97BA332B92EC}"/>
    <hyperlink ref="J119" r:id="rId46" display="mailto:vavricek@autocent.cz" xr:uid="{4B51DE32-3EDF-4737-AE0E-58885E7296A1}"/>
    <hyperlink ref="J238" r:id="rId47" display="mailto:nehody@autogarage.cz" xr:uid="{D79FFFBE-AEB1-421B-B930-53901D447DE3}"/>
    <hyperlink ref="J225" r:id="rId48" xr:uid="{3DC4306E-D09E-48F5-9E20-D5F8F546CE16}"/>
    <hyperlink ref="J232" r:id="rId49" xr:uid="{41785763-E231-4E12-8FFB-0DC1F570E656}"/>
    <hyperlink ref="J24" r:id="rId50" xr:uid="{268F7EE1-472B-4151-AD29-C11EB5CB13EC}"/>
    <hyperlink ref="J248" r:id="rId51" display="mailto:johndee.cz@gmail.com" xr:uid="{623AD504-425C-41E6-81C3-22171A750B30}"/>
    <hyperlink ref="J261" r:id="rId52" xr:uid="{6B82DA4D-B737-4434-9307-D2BA21D42C91}"/>
    <hyperlink ref="J262" r:id="rId53" xr:uid="{E3C47D4B-0C5A-4D33-A644-BD76FF3CA2F9}"/>
    <hyperlink ref="J182" r:id="rId54" display="mailto:kolar@cb-auto.cz" xr:uid="{0B075E3F-22B7-4059-9B43-3CAE7D9312C9}"/>
    <hyperlink ref="J312" r:id="rId55" xr:uid="{55AB1264-7E7F-4D94-9BFB-8A88FB41721A}"/>
    <hyperlink ref="J185" r:id="rId56" xr:uid="{3228C42D-6613-45F5-82D4-DB936FE410A3}"/>
    <hyperlink ref="J280" r:id="rId57" display="mailto:autolakhalala.poj@seznam.cz" xr:uid="{E6E2C0B1-299F-4503-A5B6-CA711EC339EB}"/>
    <hyperlink ref="J233" r:id="rId58" display="mailto:autolakhalala.poj@seznam.cz" xr:uid="{B85D6EE0-7B4A-4D8A-BE6C-0EBCAD26B953}"/>
    <hyperlink ref="J263" r:id="rId59" xr:uid="{02551742-EE07-4F7F-AACC-9B9D9DE1C70A}"/>
    <hyperlink ref="J236" r:id="rId60" xr:uid="{39BB3FCC-6C35-4B11-B446-89171AFC14A2}"/>
    <hyperlink ref="J308" r:id="rId61" xr:uid="{61B14BCD-C5E6-47D2-8CFC-40718857844A}"/>
    <hyperlink ref="J426" r:id="rId62" display="mailto:martin.dosedel@btto.cz" xr:uid="{6F6E8174-7D6A-4992-8B19-CB3E212B3569}"/>
    <hyperlink ref="J51" r:id="rId63" xr:uid="{722EEB03-D4B7-41DF-AFA6-8D038EB5B01D}"/>
    <hyperlink ref="J143" r:id="rId64" xr:uid="{8BD2635A-56FF-4B99-8C8F-8B9FC1FD997E}"/>
    <hyperlink ref="J152" r:id="rId65" xr:uid="{6C01370E-9AC9-4EC1-8AB8-0068F825657E}"/>
    <hyperlink ref="J156" r:id="rId66" xr:uid="{AE5D8E18-359A-4BA2-B860-EAEF6D71A66F}"/>
    <hyperlink ref="J600" r:id="rId67" display="mailto:servis.lodenice@ivecotc.cz" xr:uid="{690EE9FE-BBA9-4788-B624-B14CF66D4B0D}"/>
    <hyperlink ref="J135" r:id="rId68" display="mailto:juracka@agrotec.cz" xr:uid="{BE8317C9-C2C0-4ABB-92CF-6A1C1379D175}"/>
    <hyperlink ref="J7" r:id="rId69" display="mailto:servisP5@domansky.cz" xr:uid="{DA9ABF60-E2FC-4E71-8532-8DBADD0A39F5}"/>
    <hyperlink ref="J91" r:id="rId70" display="mailto:jzajic@auto-dubina.cz" xr:uid="{2FBFD735-EFC3-40BA-9922-3461223EDD3D}"/>
    <hyperlink ref="K18" r:id="rId71" display="tel:+420257213830" xr:uid="{F5B5A34A-B784-462F-8732-8F9A127367ED}"/>
    <hyperlink ref="J18" r:id="rId72" display="mailto:ph.servis@havex.cz" xr:uid="{963A16D0-20C6-4CBB-AA1E-B7715136E40A}"/>
    <hyperlink ref="J80" r:id="rId73" display="mailto:farek@samohylmotor.cz" xr:uid="{E59DAD09-A227-41F6-816A-8348C7A3F383}"/>
    <hyperlink ref="J77" r:id="rId74" xr:uid="{1A740C4A-6887-48A0-BDBF-DBBDD40F12AE}"/>
    <hyperlink ref="J593" r:id="rId75" xr:uid="{72516FF9-980E-4551-AACA-0854A2B60B90}"/>
    <hyperlink ref="J594" r:id="rId76" xr:uid="{46A69FB8-53F4-48C2-9BC2-973E52D5ECF1}"/>
    <hyperlink ref="J595" r:id="rId77" xr:uid="{CB5D2ABB-5869-49FF-87AA-E9530E1B337E}"/>
    <hyperlink ref="J613" r:id="rId78" xr:uid="{D34D6A87-8BAC-4DBB-B7F9-8EEC0D3B84DE}"/>
    <hyperlink ref="J597" r:id="rId79" xr:uid="{12A006F2-770C-4229-8420-422E4DEBA3AF}"/>
    <hyperlink ref="J57" r:id="rId80" display="mailto:tomas.vesely@okim.cz" xr:uid="{F45C7884-9568-43BF-816C-6E4E130CEC68}"/>
    <hyperlink ref="J33" r:id="rId81" display="filip.starostik@auto-hegr.cz ," xr:uid="{3ABB135D-AB26-4837-BA9A-2B397149B590}"/>
    <hyperlink ref="J116" r:id="rId82" xr:uid="{363D535D-AFBB-43C6-A9DE-F469CAD10C59}"/>
    <hyperlink ref="J74" r:id="rId83" display="mailto:jan.peterka@smucler.cz" xr:uid="{DB4D18AE-BE2D-46D7-AAE4-172DDE150A59}"/>
    <hyperlink ref="J23" r:id="rId84" display="mailto:milos.senohrabek@havex.cz" xr:uid="{CC595190-92A4-4C00-9125-EA48BE4874C5}"/>
    <hyperlink ref="J598" r:id="rId85" tooltip="petr.stuchlik@nevagroup.cz" display="mailto:petr.stuchlik@nevagroup.cz" xr:uid="{8ECA211E-BCBD-4AF9-938E-1A40A73EE37B}"/>
    <hyperlink ref="J244" r:id="rId86" tooltip="pavel.chrpa@autoklever.cz" display="mailto:pavel.chrpa@autoklever.cz?subject=" xr:uid="{F37CDA86-5921-4CE9-9378-B292C93C5C6B}"/>
    <hyperlink ref="K244" r:id="rId87" display="tel:605 206 403" xr:uid="{06DD8608-628A-49DE-8419-90F87DD2C99F}"/>
    <hyperlink ref="J226" r:id="rId88" xr:uid="{72528F26-D16F-4510-B689-0FB1B1AA3486}"/>
    <hyperlink ref="K226" r:id="rId89" display="tel:733%C2%A0601 803" xr:uid="{3EE47714-8395-4290-B40D-1F0F0CE6C8C1}"/>
    <hyperlink ref="J276" r:id="rId90" tooltip="tomanek@ppautocentrum.cz" display="mailto:tomanek@ppautocentrum.cz?subject=" xr:uid="{3186E8DD-40C1-4188-90D4-614EE81C76D6}"/>
    <hyperlink ref="K276" r:id="rId91" display="tel:724 810 036" xr:uid="{34B2DDF2-702C-4820-B93D-164B98BF90F2}"/>
    <hyperlink ref="J279" r:id="rId92" display="mailto:petrmasak@autostop-rakovnik.cz" xr:uid="{1D3CA238-CC3D-483E-AD46-A7F5AB27C2BE}"/>
    <hyperlink ref="J21" r:id="rId93" xr:uid="{B7FB1E98-84F4-4FA0-99AF-8B8A6D6E56A2}"/>
    <hyperlink ref="J47" r:id="rId94" display="mailto:frantisek.lokaj@renaultbrno.cz" xr:uid="{195B8F65-2489-4E7E-97D9-2F9C4BC83C7B}"/>
    <hyperlink ref="K73" r:id="rId95" display="tel:+420733167724" xr:uid="{7D67FABC-5B0D-4CB2-90B6-F7A81EDA6BFD}"/>
    <hyperlink ref="J518" r:id="rId96" display="mailto:v.elis@pemotors.cz" xr:uid="{F75CD9F4-D973-4ABE-A565-71BB53F57B91}"/>
    <hyperlink ref="I246" r:id="rId97" display="mailto:servis@autotichy.eu" xr:uid="{9C989D4A-34EA-4FD9-A7DE-29E1847652DF}"/>
    <hyperlink ref="J246" r:id="rId98" display="mailto:servis@autotichy.eu" xr:uid="{704B26C7-42D0-4852-9609-69EBE1EA06B1}"/>
    <hyperlink ref="J247" r:id="rId99" display="mailto:servis@autotichy.com" xr:uid="{79BB4247-FB5C-4FC2-9B78-E26584360791}"/>
    <hyperlink ref="J599" r:id="rId100" xr:uid="{F692A8F1-B099-4C18-97EE-69BBCABF678E}"/>
    <hyperlink ref="J13" r:id="rId101" xr:uid="{770D07AD-DB27-4FC0-BD57-304F4761482D}"/>
    <hyperlink ref="J397" r:id="rId102" xr:uid="{2D1421B5-0571-4DBC-8FA2-3EF14D39DD81}"/>
    <hyperlink ref="J201" r:id="rId103" xr:uid="{48F9321A-18F7-427D-B3A6-1A0D3DCDE373}"/>
    <hyperlink ref="J239" r:id="rId104" display="mailto:servis@ford-autogarage.cz" xr:uid="{C6455FFE-8E67-479C-B35D-7A202E6E151B}"/>
    <hyperlink ref="J257" r:id="rId105" display="mailto:info@autohruska.cz" xr:uid="{9377567C-F61D-44C7-BAB0-61959606757B}"/>
    <hyperlink ref="J254" r:id="rId106" display="mailto:info@autohruska.cz" xr:uid="{C669F4AC-A627-4DD9-A3D1-FF91C5B1D070}"/>
    <hyperlink ref="J218" r:id="rId107" xr:uid="{71D2D7BD-54B6-4B0B-BDFC-B28AEA53673C}"/>
    <hyperlink ref="J217" r:id="rId108" xr:uid="{0CFD96A7-3378-468A-AE64-C949B9E910E3}"/>
    <hyperlink ref="J249" r:id="rId109" xr:uid="{EDBF9B71-2A76-4A69-9419-96AB4E6E607A}"/>
    <hyperlink ref="J288" r:id="rId110" xr:uid="{4A63EF15-90FC-437B-A7FC-82DD4FC29713}"/>
    <hyperlink ref="J241" r:id="rId111" xr:uid="{E5D9500F-C779-428B-8284-74DCD1940DA2}"/>
    <hyperlink ref="K296" r:id="rId112" tooltip="Zavolejte mi na +420 725 025 296 " display="tel:+420725025296" xr:uid="{B72AFF00-DCB5-4D5B-981F-DFDCED84604F}"/>
    <hyperlink ref="J296" r:id="rId113" xr:uid="{2A85EBC3-3D20-4402-956E-E11019CC570F}"/>
    <hyperlink ref="J297" r:id="rId114" xr:uid="{8BDCC1AC-6705-4A76-8CAA-C2BBDBD3C3C6}"/>
    <hyperlink ref="J278" r:id="rId115" xr:uid="{FE074D4F-A54D-41A1-9319-D7AAA85B704A}"/>
    <hyperlink ref="J277" r:id="rId116" xr:uid="{7E4F8187-8552-4B8E-8F56-9976D56440BB}"/>
    <hyperlink ref="J287" r:id="rId117" display="mailto:servis@autocentrumnovotny.cz" xr:uid="{5F151ED3-A2AE-45A1-89ED-FE853529FD98}"/>
    <hyperlink ref="J316" r:id="rId118" xr:uid="{79CC8166-DE4B-4F52-9103-3953B0E87098}"/>
    <hyperlink ref="J293" r:id="rId119" xr:uid="{424E132B-9E00-49EE-B1C0-D12F053283FF}"/>
    <hyperlink ref="J304" r:id="rId120" xr:uid="{2E72C0A4-191E-4BF8-A23D-795D4ECCF7F2}"/>
    <hyperlink ref="J306" r:id="rId121" xr:uid="{73876ADB-A0C0-4841-A501-C09C5BF610D8}"/>
    <hyperlink ref="J305" r:id="rId122" xr:uid="{11AE5EB5-5873-4566-997E-60623BBE7D7A}"/>
    <hyperlink ref="J298" r:id="rId123" xr:uid="{281A0D14-0E40-4750-92AA-7C05DAD49398}"/>
    <hyperlink ref="J541" r:id="rId124" display="mailto:vojtech.tesar@renault-chrudim.cz" xr:uid="{70A43F0D-75E0-4206-93BA-066680EF7ECD}"/>
    <hyperlink ref="J310" r:id="rId125" xr:uid="{E90F038B-62E4-4708-8057-30493150FA02}"/>
    <hyperlink ref="J317" r:id="rId126" xr:uid="{49B389E0-B9C1-4F83-A5AF-A3AD44D2C26F}"/>
    <hyperlink ref="J58" r:id="rId127" xr:uid="{9797D05B-506A-4D17-9023-7390D04FCB99}"/>
    <hyperlink ref="J322" r:id="rId128" xr:uid="{A3E8673F-C848-4825-B784-DD64E7F78BB9}"/>
    <hyperlink ref="J323" r:id="rId129" xr:uid="{77D63AC5-C84A-4BCB-B9CE-5FE4E61CB76C}"/>
    <hyperlink ref="J334" r:id="rId130" xr:uid="{1928AC26-8B89-4339-B746-70F5D2E93512}"/>
    <hyperlink ref="J552" r:id="rId131" display="mailto:lubos.kasak@auta.pb.cz" xr:uid="{C87F3FA0-E8BD-45DA-8F28-4A7271E918F8}"/>
    <hyperlink ref="J32" r:id="rId132" xr:uid="{90C53788-6C23-4450-BBD3-88681A4B01BA}"/>
    <hyperlink ref="J336" r:id="rId133" display="mailto:jan.blecha@jirisoucek.cz" xr:uid="{1F204BB0-A28A-4084-9027-AA6FCB03C088}"/>
    <hyperlink ref="J326" r:id="rId134" xr:uid="{929EC4E6-813E-41EA-B126-D905ECD88D78}"/>
    <hyperlink ref="J333" r:id="rId135" xr:uid="{D535A40D-2361-4BF6-A513-EC31208D4D0D}"/>
    <hyperlink ref="J353" r:id="rId136" xr:uid="{5D100285-A8D3-481E-8A89-A30445453181}"/>
    <hyperlink ref="J78" r:id="rId137" display="mailto:nehodyolomouc@samohylmotor.cz" xr:uid="{BA5D3CF1-D773-4F27-9F83-257B5BFAF56B}"/>
    <hyperlink ref="J591" r:id="rId138" display="mailto:%20servis.klecany@volvo.com" xr:uid="{25D7773C-F7E8-4276-BE37-9330190BEB22}"/>
    <hyperlink ref="J285" r:id="rId139" display="mailto:%20servis.strakonice@volvo.com" xr:uid="{7B9B7648-FBFA-4948-9B34-8EA0A29DF0F1}"/>
    <hyperlink ref="J346" r:id="rId140" display="mailto:radek.danda@dolak.cz" xr:uid="{C9659D30-A402-4ABA-B1A8-75B2C7F871DB}"/>
    <hyperlink ref="J347" r:id="rId141" display="mailto:krystof.pravda@dolak.cz" xr:uid="{15EACFCB-81DA-4F31-AD94-AF73DF41DA20}"/>
    <hyperlink ref="J348" r:id="rId142" display="mailto:pavel.rohlik@dolak.cz" xr:uid="{3B88BF80-179A-4D6B-B362-C50DE4D7883F}"/>
    <hyperlink ref="J349" r:id="rId143" display="bohumil.hrdlicka@dolak.cz                    " xr:uid="{102B30C1-E9A5-41C5-8F15-07F89140629F}"/>
    <hyperlink ref="J350" r:id="rId144" display="mailto:stepan.bednar@dolak.cz" xr:uid="{536686A5-FE19-41D5-8D88-14F066D998D0}"/>
    <hyperlink ref="J637" r:id="rId145" display="mailto:service@truckservice.cz" xr:uid="{1E3344A9-2B2B-406D-B1DD-EB4A75146A77}"/>
    <hyperlink ref="J352" r:id="rId146" display="mailto:jana.krizova@autakriz.cz" xr:uid="{E744A34C-065D-48DA-958F-526DDD3D9DAB}"/>
    <hyperlink ref="J335" r:id="rId147" xr:uid="{337388D7-1C6A-43E6-8839-9A9C178BB8FD}"/>
    <hyperlink ref="J328" r:id="rId148" xr:uid="{76E12537-8071-4963-9157-1BE5FDD6C070}"/>
    <hyperlink ref="J329" r:id="rId149" xr:uid="{48123000-02D5-4084-BFFD-E3A197847A5E}"/>
    <hyperlink ref="J358" r:id="rId150" display="mailto:vladimir.jahoda@hyundailxm.cz" xr:uid="{1CAB628E-66E6-423F-AC5D-4FEF9C5C9F74}"/>
    <hyperlink ref="J359" r:id="rId151" display="mailto:ales.drozd@hyundailxm.cz" xr:uid="{AC841085-2A23-4167-8CDA-0A66A54C3DB5}"/>
    <hyperlink ref="J294" r:id="rId152" display="mailto:zdenek.neubauer@opportunity.cz" xr:uid="{3D8092CC-9E05-4B6E-9482-C80FBE96432C}"/>
    <hyperlink ref="J186" r:id="rId153" display="mailto:pu@honda-fomi.cz" xr:uid="{C57215E9-6CE3-495F-85D4-76026D70C35D}"/>
    <hyperlink ref="J187" r:id="rId154" display="servis@honda-fomi.cz " xr:uid="{AC3C6703-42A4-4A6C-B579-CD397531F8F7}"/>
    <hyperlink ref="J370" r:id="rId155" xr:uid="{AB3B8859-550B-462E-9485-9A2D99AD018D}"/>
    <hyperlink ref="J371" r:id="rId156" xr:uid="{A5E5691B-BB02-481E-AFB5-E138687AC62B}"/>
    <hyperlink ref="J372" r:id="rId157" xr:uid="{B6C1B244-C9CA-4759-ACB0-FAC2BF24BD1C}"/>
    <hyperlink ref="J341" r:id="rId158" display="mailto:riha@autosevcik.cz" xr:uid="{E04EFAE2-E35B-46B9-AC93-89F79ACD20BD}"/>
    <hyperlink ref="J342" r:id="rId159" display="mailto:dub@autosevcik.cz" xr:uid="{EC17D078-4160-4471-AE03-AB420F761716}"/>
    <hyperlink ref="J343" r:id="rId160" display="mailto:janousek@autosevcik.cz" xr:uid="{65116DEA-5025-4CE1-BEF9-866D1DBA7BB2}"/>
    <hyperlink ref="J344" r:id="rId161" display="mailto:kummel@autosevcik.cz" xr:uid="{49408DCF-42B9-47BD-B7AB-BC3B1E5CC481}"/>
    <hyperlink ref="J345" r:id="rId162" display="mailto:sladovnik@autosevcik.cz" xr:uid="{EA977FD8-4716-48E6-AD00-7FAD007BB533}"/>
    <hyperlink ref="J307" r:id="rId163" xr:uid="{ABD68F15-2E9B-4CF1-AB65-E2933C909126}"/>
    <hyperlink ref="J384" r:id="rId164" display="mailto:radek.bielesz@autoset.cz" xr:uid="{1F298CA0-36DC-4687-9423-2415C527782A}"/>
    <hyperlink ref="J385" r:id="rId165" display="mailto:monika.heisigova@autoset.cz" xr:uid="{CCAC2BAA-C9A5-41E1-8A25-2DE39B28620F}"/>
    <hyperlink ref="J387" r:id="rId166" display="mailto:vaclavsiuda@vastoil.cz" xr:uid="{49B3B871-5645-4FEF-A8CC-81331461960C}"/>
    <hyperlink ref="J331" r:id="rId167" display="jan.cejka@klokocka.cz" xr:uid="{01E886F3-8437-456F-8538-F8D500838BB5}"/>
    <hyperlink ref="J392" r:id="rId168" xr:uid="{D8CB0C95-7B3F-42E8-A799-D99475CEDECC}"/>
    <hyperlink ref="J332" r:id="rId169" xr:uid="{E12ACC1A-73F5-4A3A-A341-09E5F11B393C}"/>
    <hyperlink ref="J382" r:id="rId170" xr:uid="{B20619CC-D01F-4BD7-9B09-919E4C708275}"/>
    <hyperlink ref="J383" r:id="rId171" xr:uid="{840BECC2-8CF7-4FC3-9FA6-E4331B752F72}"/>
    <hyperlink ref="J394" r:id="rId172" display="mailto:fromelius@autokudrna.cz" xr:uid="{0B8BB5C8-1062-468E-B4F8-7D0B780761D5}"/>
    <hyperlink ref="J583" r:id="rId173" xr:uid="{68F0CCF2-0B5F-43D8-BABC-03385F710B5C}"/>
    <hyperlink ref="J606" r:id="rId174" xr:uid="{30C6619C-BCC5-491B-933C-2DFC71906096}"/>
    <hyperlink ref="J396" r:id="rId175" tooltip="tomas.puczok@autodum-vrana.cz" display="mailto:tomas.puczok@autodum-vrana.cz?subject=" xr:uid="{EAC4FCA0-833A-4D99-9AE3-0D666C31F80B}"/>
    <hyperlink ref="K396" r:id="rId176" display="tel:603 184 638" xr:uid="{3C47565D-EB9B-4F66-AF35-549F33151A13}"/>
    <hyperlink ref="AU303" r:id="rId177" xr:uid="{591DDCBC-0FF2-4A18-9A29-7DB5A2B81DF7}"/>
    <hyperlink ref="AU302" r:id="rId178" xr:uid="{AB041485-AFF8-4280-8EA1-7B3E91212B51}"/>
    <hyperlink ref="J302" r:id="rId179" xr:uid="{0FB4946E-A83A-48E3-ABCC-A064E361592D}"/>
    <hyperlink ref="J303" r:id="rId180" xr:uid="{ED2CB788-B985-4342-BF75-55B832EBD151}"/>
    <hyperlink ref="J48" r:id="rId181" xr:uid="{A30C9D80-8462-4D5A-A4FD-DF88CE8275E9}"/>
    <hyperlink ref="J45" r:id="rId182" display="mailto:cko@carent.cz" xr:uid="{5C12D697-605B-481E-A903-99C8DBE1A362}"/>
    <hyperlink ref="J398" r:id="rId183" display="mailto:jan.j.vlcek@mercedes-benz.com" xr:uid="{6350D4F4-7D42-4BE2-9DD0-3B25F4C960AC}"/>
    <hyperlink ref="J399" r:id="rId184" display="mailto:vladimir.boev@mercedes-benz.com" xr:uid="{21ABA818-F371-4167-B829-5D849DB9DF5B}"/>
    <hyperlink ref="J405" r:id="rId185" display="mailto:jene@jene.cz" xr:uid="{E5C05453-C4AE-4688-9948-587611E8D75F}"/>
    <hyperlink ref="K405" r:id="rId186" display="tel:541222011" xr:uid="{837A0849-579F-46DC-A98C-8CD26BB80805}"/>
    <hyperlink ref="AU583" r:id="rId187" display="Stanislav.Zachar@TUkas.cz" xr:uid="{8E170060-FAD7-4CEF-86C6-DDF1817D90D9}"/>
    <hyperlink ref="J290" r:id="rId188" display="mailto:martin.bartos@autoinzat.cz" xr:uid="{41F6B826-EA65-45C8-8CFA-182CF4237339}"/>
    <hyperlink ref="J75" r:id="rId189" tooltip="e-mail: tomas.kopa@smucler.cz" display="mailto:tomas.kopa@smucler.cz" xr:uid="{5B1C9D8A-0C64-4F1A-8B47-ACF0B9C262AC}"/>
    <hyperlink ref="J154" r:id="rId190" xr:uid="{1EBC5FA2-C99A-4089-AE22-65C2A7ECAEA8}"/>
    <hyperlink ref="K153" r:id="rId191" display="tel:467071402" xr:uid="{092175BD-CF71-4092-8309-5DF98C73232D}"/>
    <hyperlink ref="J431" r:id="rId192" xr:uid="{BDEF5386-5C5B-4B8F-9CA1-05CAEBFFC5F0}"/>
    <hyperlink ref="J73" r:id="rId193" display="mailto:pojistneudalosti@smucler.cz" xr:uid="{0917E588-5B10-45CD-9468-23B0ABD7D171}"/>
    <hyperlink ref="J354" r:id="rId194" xr:uid="{D8404917-807F-4FFE-A1D8-F4E6D9AD7E3D}"/>
    <hyperlink ref="J400" r:id="rId195" xr:uid="{233DEE47-7D96-481F-9F38-1D2E91E1AB93}"/>
    <hyperlink ref="J406" r:id="rId196" xr:uid="{9356CAC8-A76E-4581-850D-B41990FA9FC5}"/>
    <hyperlink ref="J407" r:id="rId197" xr:uid="{F5741BD5-EA70-4564-AFDC-19AED80DDFF1}"/>
    <hyperlink ref="J408" r:id="rId198" xr:uid="{F23E9D1C-B678-4B30-BE34-ED6FAE3FE31E}"/>
    <hyperlink ref="J409" r:id="rId199" xr:uid="{E0F7AA3C-5A4D-4E11-8FD2-933D712E4B15}"/>
    <hyperlink ref="J411" r:id="rId200" xr:uid="{FA409FDF-82CD-4F78-86B4-FF6D65E0373C}"/>
    <hyperlink ref="J412" r:id="rId201" xr:uid="{23411778-C999-4422-905F-BDDD7253CE05}"/>
    <hyperlink ref="J414" r:id="rId202" xr:uid="{BF496E45-F5B9-48A1-A887-C30C6E1EC039}"/>
    <hyperlink ref="J415" r:id="rId203" xr:uid="{F44A337F-BD93-4ED9-8F6F-EA05C58C9D20}"/>
    <hyperlink ref="J416" r:id="rId204" xr:uid="{68AD8159-0BA1-433D-AF7C-6795556E97AB}"/>
    <hyperlink ref="J417" r:id="rId205" xr:uid="{E16B32EB-8CEE-4D70-86F5-F4B338BCB022}"/>
    <hyperlink ref="J418" r:id="rId206" xr:uid="{A610A28A-D6D6-4F5E-8823-693F39461066}"/>
    <hyperlink ref="J419" r:id="rId207" xr:uid="{98823FCB-22B9-431B-A9B2-C03BBF0A97EA}"/>
    <hyperlink ref="J420" r:id="rId208" xr:uid="{A1818645-F623-4092-9DE1-A3EBD8C7301F}"/>
    <hyperlink ref="J421" r:id="rId209" xr:uid="{52204139-F528-405D-9984-64102E58C020}"/>
    <hyperlink ref="J266" r:id="rId210" display="mailto:pojistneudalosti@araver.cz" xr:uid="{474DFF2E-F4B1-4522-AB47-EC30828ED257}"/>
    <hyperlink ref="J267" r:id="rId211" display="mailto:pojistneudalosti@araver.cz" xr:uid="{0F3805C4-F2C5-449E-9330-B151DC0B9A0E}"/>
    <hyperlink ref="K593" r:id="rId212" display="tel:+420 545 421 242" xr:uid="{B82A8D62-2270-4C2B-9E9D-13C824C822D3}"/>
    <hyperlink ref="K594" r:id="rId213" display="tel:+420 596 499 421" xr:uid="{04E764B8-E6C9-4B6B-834B-2BDCF83C27F6}"/>
    <hyperlink ref="K595" r:id="rId214" display="tel:Prodej: %3cbr/%3e +420 519 402 300 %3cbr/%3e Servis: %3cbr/%3e +420 519 402 351" xr:uid="{D0CB8EBF-195B-48FF-A281-AD2810C573D5}"/>
    <hyperlink ref="K613" r:id="rId215" display="tel:+420 602 549 071" xr:uid="{3EFF96C8-8476-412B-A038-15358952619A}"/>
    <hyperlink ref="K597" r:id="rId216" display="tel:+420 725 980 810" xr:uid="{B4E2C45A-14CD-4FCC-9DCC-6EDEF096E329}"/>
    <hyperlink ref="J612" r:id="rId217" display="mailto:dumek@turbosol.cz" xr:uid="{F4F03837-AF82-4934-AA7B-82DC2080B386}"/>
    <hyperlink ref="J422" r:id="rId218" xr:uid="{0980B393-7ADE-4F2C-B871-BCFEB74BB92F}"/>
    <hyperlink ref="J360" r:id="rId219" display="mailto:radek.wicker@hyundailxm.cz" xr:uid="{4534EDF3-21BF-45E2-878C-9CAC1843937E}"/>
    <hyperlink ref="J83" r:id="rId220" display="mailto:jsteam@email.cz" xr:uid="{DB5F855F-1438-45A7-8370-BA9912D7AC17}"/>
    <hyperlink ref="J50" r:id="rId221" display="mailto:info@autopokorny.cz" xr:uid="{D3343B93-C87C-4764-BB72-F00B2EE1A330}"/>
    <hyperlink ref="K50" r:id="rId222" display="tel:+420515910069" xr:uid="{CC4DD8B3-B341-4C1C-9554-53BBA1D9F827}"/>
    <hyperlink ref="J439" r:id="rId223" xr:uid="{3BE2836B-CEF2-457B-B162-70EAA117B16F}"/>
    <hyperlink ref="J379" r:id="rId224" display="mailto:zbynek.vrana@canocar.cz" xr:uid="{9CBA6783-7592-433F-973C-D259567180D5}"/>
    <hyperlink ref="J467" r:id="rId225" xr:uid="{D6217094-42B6-4832-8E0D-C7B3A3758F73}"/>
    <hyperlink ref="J468" r:id="rId226" xr:uid="{B3F3E91B-204F-4E73-952C-F7A493C4ABEC}"/>
    <hyperlink ref="J458" r:id="rId227" xr:uid="{CF740AE5-4FF5-45A1-A965-C1E4E81BD84E}"/>
    <hyperlink ref="J459" r:id="rId228" xr:uid="{56B6EAE1-C235-4C9D-85C8-B8329134D9C4}"/>
    <hyperlink ref="J460" r:id="rId229" xr:uid="{9FFD0234-959A-4BCA-B125-14AADF3DE845}"/>
    <hyperlink ref="J461" r:id="rId230" xr:uid="{8705423F-1AAC-4147-9D00-C7AFA26E6362}"/>
    <hyperlink ref="J463" r:id="rId231" xr:uid="{AAF333F2-71EB-4799-AAE6-ACA43E803DAB}"/>
    <hyperlink ref="J464" r:id="rId232" xr:uid="{39BC0E97-328A-4E77-BA8A-15B1AB8F74B4}"/>
    <hyperlink ref="J465" r:id="rId233" xr:uid="{DEA3FE91-89F8-4F1A-BB36-EFD86CADB16D}"/>
    <hyperlink ref="J462" r:id="rId234" xr:uid="{65178093-0825-4BC1-BD2E-2A864411B112}"/>
    <hyperlink ref="J590" r:id="rId235" display="mailto:mbservis@icomtransport.cz" xr:uid="{1E4691BF-8929-47DD-96B3-29D62EA262CE}"/>
    <hyperlink ref="J641" r:id="rId236" display="mailto:mbservis@icomtransport.cz" xr:uid="{82815F78-3116-4A77-A0D5-73B0C418884D}"/>
    <hyperlink ref="J614" r:id="rId237" xr:uid="{08A7840B-7F0F-41A0-BEAE-E8819CCEEDA6}"/>
    <hyperlink ref="J473" r:id="rId238" display="mailto:nowicky@kodecar.cz" xr:uid="{FB2DC8FD-B56A-412F-BE26-22A74249F14B}"/>
    <hyperlink ref="J477" r:id="rId239" xr:uid="{A1163C99-4559-45F5-82B9-1381D2E74AF6}"/>
    <hyperlink ref="J362" r:id="rId240" display="mailto:info@vzp.cz" xr:uid="{79D6D098-9864-4610-91C3-D42B21543EF8}"/>
    <hyperlink ref="J410" r:id="rId241" xr:uid="{2E72AA4D-73FB-400F-90EA-A773DA7FAF14}"/>
    <hyperlink ref="J617" r:id="rId242" display="mailto:zdenek.vorlicek@scania.com" xr:uid="{F89109AF-B191-4A76-A984-75DDF5B98E17}"/>
    <hyperlink ref="J618" r:id="rId243" display="mailto:petr.terc@scania.com" xr:uid="{54C739CB-C18B-40E4-BCC0-CC7F0B2071F4}"/>
    <hyperlink ref="J619" r:id="rId244" display="mailto:miloslav.koubek@scania.com" xr:uid="{3DE282A6-5207-43BA-97D6-A686D216EACE}"/>
    <hyperlink ref="J620" r:id="rId245" display="mailto:jan.pokuta@scania.com" xr:uid="{9AF5D64A-B7B8-46C8-AF20-ED3A7D5A358E}"/>
    <hyperlink ref="J621" r:id="rId246" display="mailto:pavel.benes@scania.com" xr:uid="{8FECBFE3-AF47-4258-A354-EEFB61B05E4F}"/>
    <hyperlink ref="J622" r:id="rId247" display="mailto:petr.basta@scania.com" xr:uid="{5A2D000B-6983-4A78-95E7-14972E70DBBC}"/>
    <hyperlink ref="J623" r:id="rId248" display="mailto:zdenek.vach@scania.com" xr:uid="{4CCA00F2-05F1-494A-B57A-51F483AB0102}"/>
    <hyperlink ref="J624" r:id="rId249" display="mailto:michal.silhavy@scania.com" xr:uid="{35EDBAD1-C6B0-494B-A8C3-A9077B604484}"/>
    <hyperlink ref="J625" r:id="rId250" display="mailto:vladimir.vybiral@scania.com" xr:uid="{FC2F549F-3E79-46D8-A516-29AF8C18ECC7}"/>
    <hyperlink ref="J626" r:id="rId251" xr:uid="{3C05B97E-CA35-437C-B148-823B12934C6D}"/>
    <hyperlink ref="J627" r:id="rId252" display="mailto:vladimir.pospisil@scania.com" xr:uid="{6BB43B59-218C-40BB-8676-DEFB521CDD03}"/>
    <hyperlink ref="J628" r:id="rId253" display="mailto:vladimir.pospisil@scania.com" xr:uid="{40CC1A2B-B7BA-4C39-9493-03DBC5B7E6AB}"/>
    <hyperlink ref="J268" r:id="rId254" display="mailto:pojistneudalosti@araver.cz" xr:uid="{B48BE64A-586B-4611-8EE0-234D0FE49C51}"/>
    <hyperlink ref="K482" r:id="rId255" display="tel:737 283 671" xr:uid="{3D1EEF49-2245-436A-A119-B27C50C1BCF0}"/>
    <hyperlink ref="K484" r:id="rId256" display="tel:604 749 655" xr:uid="{6CF007E5-935F-4024-B653-A3EE97F6F55B}"/>
    <hyperlink ref="K483" r:id="rId257" display="tel:605 208 874" xr:uid="{5E3870A0-ED6B-4D12-951F-7E0B9FBAA4F9}"/>
    <hyperlink ref="J441" r:id="rId258" xr:uid="{227D111E-41F2-43B2-B81C-14442BD53927}"/>
    <hyperlink ref="J481" r:id="rId259" xr:uid="{E65F1341-0C3E-4F14-9B90-86AE65A40BBD}"/>
    <hyperlink ref="J330" r:id="rId260" xr:uid="{A7DC0FC7-C320-4A27-A13A-8B9028872013}"/>
    <hyperlink ref="J488" r:id="rId261" display="mailto:karoseriehk@hyundaihk.cz" xr:uid="{E7D61B4D-03E9-4757-97FF-D4DF8E3773BF}"/>
    <hyperlink ref="J486" r:id="rId262" display="mailto:radek.jelinek@francecar.cz" xr:uid="{BCBD6AB9-D683-4117-B14A-DBCAEDF3C529}"/>
    <hyperlink ref="J487" r:id="rId263" display="mailto:frantisek.mazl@francecar.cz" xr:uid="{F3F1233B-2074-4ECB-A93C-DB2363EEB002}"/>
    <hyperlink ref="J314" r:id="rId264" display="mailto:pu@autoservismnuk.cz" xr:uid="{BDB922DA-05ED-4732-BAA3-49123CBA77DC}"/>
    <hyperlink ref="J490" r:id="rId265" xr:uid="{0808F14F-3932-4FE6-B213-314D62F70A65}"/>
    <hyperlink ref="J157" r:id="rId266" xr:uid="{001C54D4-7183-470A-82FA-C30A1770547A}"/>
    <hyperlink ref="J151" r:id="rId267" display="mailto:vaclav.koukal@autobond.cz" xr:uid="{961D09D6-E6CC-4AEB-B490-03A84BDF1977}"/>
    <hyperlink ref="J457" r:id="rId268" xr:uid="{FE74AEDC-8D37-4D49-9CAB-FD415D82646E}"/>
    <hyperlink ref="J466" r:id="rId269" display="mailto:vaclav.koukal@autobond.cz" xr:uid="{4A3B8D77-8C44-4393-ADD8-C45242FB5F42}"/>
    <hyperlink ref="J493" r:id="rId270" xr:uid="{2D1828C8-0219-4151-92FC-FA983F5C6183}"/>
    <hyperlink ref="J494" r:id="rId271" display="mailto:j.horacek@tsusho.cz" xr:uid="{E542D675-9E17-4A75-86A4-3AE7EA660424}"/>
    <hyperlink ref="J495" r:id="rId272" display="mailto:t.suchan@tsusho.cz" xr:uid="{7827247E-059E-446F-A92E-48E4DF5618C6}"/>
    <hyperlink ref="J496" r:id="rId273" display="mailto:m.dolezal@lexuspruhonice.cz" xr:uid="{B467F466-F272-47D2-9713-51400604E27D}"/>
    <hyperlink ref="J497" r:id="rId274" display="mailto:m.stejskal@tsusho.cz" xr:uid="{34118170-7529-487D-8563-52A623C14CF0}"/>
    <hyperlink ref="J505" r:id="rId275" xr:uid="{339EDF45-FA96-465C-A9C8-F929871C67B9}"/>
    <hyperlink ref="J120" r:id="rId276" display="mailto:vavricek@autocent.cz" xr:uid="{3D642619-6848-468F-9CA2-23B68FD5B17C}"/>
    <hyperlink ref="J629" r:id="rId277" display="mailto:chadima@tc-hk.cz" xr:uid="{26B04D44-2978-4D0E-AD6F-504E7B8E8207}"/>
    <hyperlink ref="J501" r:id="rId278" display="mailto:vladimir.mrazek@pyramidapruhonice.cz" xr:uid="{02E1FD97-A073-47C9-BFC9-2F00D74191FF}"/>
    <hyperlink ref="J510" r:id="rId279" display="mailto:servis-yamahaol@motopark.cz" xr:uid="{BEB88E57-F548-44FE-BA10-4E5F3C1840EC}"/>
    <hyperlink ref="J511" r:id="rId280" display="mailto:servis-honda-zlin@motopark.cz" xr:uid="{D1D3E45F-A1C9-4B08-9182-5CE200877DE0}"/>
    <hyperlink ref="J512" r:id="rId281" xr:uid="{A15489DF-7188-4B2E-9475-548FF6B39F2A}"/>
    <hyperlink ref="J504" r:id="rId282" xr:uid="{094E7DB3-59B8-4373-91E9-06413F0E4871}"/>
    <hyperlink ref="J445" r:id="rId283" display="mailto:roman.kaspar@au-tech.cz" xr:uid="{2D6B06B5-7FD7-40F6-B030-E1EB5FCE7C55}"/>
    <hyperlink ref="J514" r:id="rId284" display="mailto:pavel.urban@trendcar.cz" xr:uid="{FC651517-22BA-4779-A485-CCBDDE6BEA95}"/>
    <hyperlink ref="J513" r:id="rId285" display="mailto:ludek.kment@trendcar.cz" xr:uid="{695564A7-0768-4F76-95BC-1D88A4EFBBFE}"/>
    <hyperlink ref="J102" r:id="rId286" display="mailto:bruntal@autocolordesign.cz" xr:uid="{0FEC59C1-67AE-4066-ADF2-6416EEECDE87}"/>
    <hyperlink ref="J515" r:id="rId287" xr:uid="{E1CC6D37-7ABA-405C-846D-6BD2A81DD9F3}"/>
    <hyperlink ref="J339" r:id="rId288" xr:uid="{08E5F49C-2940-4DB7-B572-5F038B0FE01B}"/>
    <hyperlink ref="J521" r:id="rId289" xr:uid="{DFDBEE45-AC2B-4E1D-8780-47663766CCE0}"/>
    <hyperlink ref="J192" r:id="rId290" display="vendula.datlova@invelt.com" xr:uid="{19D3CDB1-85C6-458A-A48B-748FE272AFD1}"/>
    <hyperlink ref="J193" r:id="rId291" xr:uid="{5BBA83BA-1374-4CCB-91EE-7680D71F4735}"/>
    <hyperlink ref="J194" r:id="rId292" xr:uid="{639BEE94-0C94-4A81-906B-E8FA8A08AC0A}"/>
    <hyperlink ref="J195" r:id="rId293" xr:uid="{1B6C56E8-4FE9-46AC-96B8-2E80C97AFB30}"/>
    <hyperlink ref="J196" r:id="rId294" xr:uid="{8823EE6F-0FC1-453B-AB25-58DFE100079F}"/>
    <hyperlink ref="J198" r:id="rId295" xr:uid="{4DA59EDB-7116-422F-BFB4-61C9AB1ADFA4}"/>
    <hyperlink ref="J199" r:id="rId296" xr:uid="{FB15D2F9-E312-404C-8F74-AB09A957E880}"/>
    <hyperlink ref="J200" r:id="rId297" xr:uid="{72ADFE87-2329-43FF-A596-C63C12ECB0A9}"/>
    <hyperlink ref="J274" r:id="rId298" xr:uid="{DBC200FB-F48F-4B7C-BE27-4E30AD1ADBA7}"/>
    <hyperlink ref="J153" r:id="rId299" xr:uid="{B6AD439C-C665-432B-BBB9-3B4519931154}"/>
    <hyperlink ref="J203" r:id="rId300" xr:uid="{78395522-C2C9-466B-8013-F8262E76D229}"/>
    <hyperlink ref="J492" r:id="rId301" display="mailto:nehody.butovice@autopalace.cz" xr:uid="{AFD20975-E5F3-4562-9A60-30484AD2BC92}"/>
    <hyperlink ref="J576" r:id="rId302" xr:uid="{5480CD9B-A966-48D5-A8DD-F00C54618581}"/>
    <hyperlink ref="J575" r:id="rId303" xr:uid="{8F2B64CD-E944-451D-98CC-0E4696D56746}"/>
    <hyperlink ref="J369" r:id="rId304" xr:uid="{5B3D6609-1C2E-4B3C-8981-0AF2AA994A5E}"/>
    <hyperlink ref="J536" r:id="rId305" xr:uid="{84D486E3-3180-4349-85A0-1E6D99C5CDEB}"/>
    <hyperlink ref="J538" r:id="rId306" xr:uid="{BF54B7E5-AC2E-484A-BF6B-3DC75E7ECA07}"/>
    <hyperlink ref="J281" r:id="rId307" xr:uid="{887B52D1-E725-42F4-A06F-A9AE33807477}"/>
    <hyperlink ref="J213" r:id="rId308" xr:uid="{AAD6F678-F844-4F1F-858C-588A60892781}"/>
    <hyperlink ref="J212" r:id="rId309" xr:uid="{A0BE2063-FE03-475B-BCA6-F386C51DC300}"/>
    <hyperlink ref="J543" r:id="rId310" xr:uid="{036F2470-4C15-4259-838E-F0AEDF2723B2}"/>
    <hyperlink ref="J544" r:id="rId311" xr:uid="{4BDBF4E4-D6A3-47AE-A497-4F69692DE183}"/>
    <hyperlink ref="J292" r:id="rId312" xr:uid="{FD29573A-53E1-4BD9-8EE6-CB498072B148}"/>
    <hyperlink ref="J554" r:id="rId313" xr:uid="{95803C9C-D998-492E-9F35-652F2C7974D4}"/>
    <hyperlink ref="J144" r:id="rId314" display="mailto:info@vinicars.cz" xr:uid="{A958F0E3-1090-45BB-954E-D833CB1F8A68}"/>
    <hyperlink ref="J149" r:id="rId315" xr:uid="{7AAFE9CA-E555-4E7B-AD53-327D02509391}"/>
    <hyperlink ref="J150" r:id="rId316" display="mailto:auto.kral@seznam.cz" xr:uid="{A2841F18-D500-419B-AB50-790C52422665}"/>
    <hyperlink ref="J227" r:id="rId317" xr:uid="{30E89307-5FB3-4697-B75F-A9D964953BD1}"/>
    <hyperlink ref="J27" r:id="rId318" xr:uid="{6173BE0B-E847-45B5-87C8-4ECACA58AE04}"/>
    <hyperlink ref="J158" r:id="rId319" xr:uid="{ABD0C992-89D8-4C25-8FD5-D17E5F7516E8}"/>
    <hyperlink ref="J237" r:id="rId320" tooltip="mailto:vladka.pisarikova@erzet.cz" display="mailto:vladka.pisarikova@erzet.cz" xr:uid="{4794698E-053D-4B75-8705-AF7FC617B683}"/>
    <hyperlink ref="J245" r:id="rId321" display="mailto:pu.lucars@gmail.com" xr:uid="{183DB740-AAFE-4D10-AD7B-6C4FE66C43A5}"/>
    <hyperlink ref="J140" r:id="rId322" display="javascript:decodeEmail('zc!ravceb-sivresotua~ravceb')" xr:uid="{C86B1BA1-D54D-43D9-8F53-67D10EBE3D17}"/>
    <hyperlink ref="J556" r:id="rId323" xr:uid="{5D89F2EE-E296-499E-937A-B2D26C9D9024}"/>
    <hyperlink ref="J558" r:id="rId324" xr:uid="{B92AD364-DE86-40F5-92F7-06E1F759912C}"/>
    <hyperlink ref="J557" r:id="rId325" xr:uid="{FD33A1D8-5278-43D4-A2C8-BA5733ADA836}"/>
    <hyperlink ref="J4" r:id="rId326" display="mailto:vogel@autopapousek.cz" xr:uid="{611D3C6C-A8C7-4CE0-825D-B14B2EA9ED34}"/>
    <hyperlink ref="J454" r:id="rId327" display="mailto:tomas.blazek@auto-eli.cz" xr:uid="{73CFD091-E9C2-4A2C-B949-14293BEB0A5A}"/>
    <hyperlink ref="J527" r:id="rId328" display="mailto:Bojanovska@seznam.cz" xr:uid="{69AF17F3-6A57-4086-9385-C01314816300}"/>
    <hyperlink ref="K527" r:id="rId329" display="tel:604" xr:uid="{16534856-A2B7-44A1-92ED-FE2FB07D1062}"/>
    <hyperlink ref="J540" r:id="rId330" display="mailto:petr.mikes@garagemotrio.cz" xr:uid="{8CE08C4D-B98B-4B7F-A8E4-9137ADE19CD5}"/>
    <hyperlink ref="J295" r:id="rId331" xr:uid="{D69E84D2-B228-41C9-85EE-1D7C69F27271}"/>
    <hyperlink ref="J309" r:id="rId332" display="mailto:pavel.svoboda.bsc@seznam.cz" xr:uid="{CCB71127-964D-48CF-B766-2A2CECE5BDCB}"/>
    <hyperlink ref="J545" r:id="rId333" display="mailto:vojtech.tesar@renault-chrudim.cz" xr:uid="{D4A093D3-7925-4F3B-89AC-FFBD76E7DA8F}"/>
    <hyperlink ref="J318" r:id="rId334" xr:uid="{2111D251-FC62-401A-954F-068EC66850BB}"/>
    <hyperlink ref="J319" r:id="rId335" display="mailto:info@kovoworks.cz" xr:uid="{549AA78C-CDAC-4844-80AB-1EF109BF7BE6}"/>
    <hyperlink ref="J320" r:id="rId336" xr:uid="{F829748C-06F7-47EE-B9EB-CDC493FC88EB}"/>
    <hyperlink ref="J573" r:id="rId337" display="mailto:lubos.kasak@auta.pb.cz" xr:uid="{BD2EE85F-8F17-40AC-BE27-D723036694A3}"/>
    <hyperlink ref="J337" r:id="rId338" display="mailto:jan.blecha@jirisoucek.cz" xr:uid="{7989D1E7-F6E1-4C49-A575-166FB40DFF28}"/>
    <hyperlink ref="J327" r:id="rId339" xr:uid="{EB82F291-81A6-4264-B3DA-AB2A4E053559}"/>
    <hyperlink ref="J340" r:id="rId340" xr:uid="{4960C624-019E-4741-809F-C07FA0072D55}"/>
    <hyperlink ref="J338" r:id="rId341" xr:uid="{7E160231-CC38-473C-AA2B-4579D65CC598}"/>
    <hyperlink ref="J356" r:id="rId342" xr:uid="{2BFA6593-E106-4398-A1C3-66509C1C17D0}"/>
    <hyperlink ref="J313" r:id="rId343" xr:uid="{5C4A81A5-7A45-4F80-BAD8-36AA2D3D8D74}"/>
    <hyperlink ref="J355" r:id="rId344" xr:uid="{7FA59EE3-9D18-4EE2-9E67-7C03FC09C08C}"/>
    <hyperlink ref="J602" r:id="rId345" xr:uid="{A762150D-0F1F-4281-93BD-C0EBBA86B1F7}"/>
    <hyperlink ref="J603" r:id="rId346" xr:uid="{1C00087F-FEC3-4CD3-AD75-DF16409CB962}"/>
    <hyperlink ref="J361" r:id="rId347" xr:uid="{2EFA2BFC-4254-4583-8A66-8058372C016B}"/>
    <hyperlink ref="J363" r:id="rId348" xr:uid="{88290ACF-5EFB-4856-B047-3585F39F3013}"/>
    <hyperlink ref="J364" r:id="rId349" xr:uid="{859B8EA4-C500-44CF-ACE5-890F4DFD86DD}"/>
    <hyperlink ref="J604" r:id="rId350" xr:uid="{8CBBDDD5-7823-4CB0-A9E6-727E696EEE7A}"/>
    <hyperlink ref="J374" r:id="rId351" xr:uid="{3A378AD6-0496-43BC-9681-F99CBB905C46}"/>
    <hyperlink ref="J389" r:id="rId352" xr:uid="{9493570F-B1A5-4039-A166-0F5D4FFCFCE6}"/>
    <hyperlink ref="J605" r:id="rId353" xr:uid="{3AC2C1AB-5307-4732-BB5D-62E6DCA474E1}"/>
    <hyperlink ref="J380" r:id="rId354" display="mailto:simak@auto-lovers.cz" xr:uid="{0726A00A-B75B-4EBA-8132-84FEB8C1DDD9}"/>
    <hyperlink ref="K380" r:id="rId355" display="tel:+420773427942" xr:uid="{DA7D4B85-7EB7-470F-8EAA-FE08FCB61E1F}"/>
    <hyperlink ref="J391" r:id="rId356" xr:uid="{32264DDB-0B8C-482F-A692-D21849940B1B}"/>
    <hyperlink ref="J393" r:id="rId357" xr:uid="{5DEED8E5-2BA9-43DA-BECE-EA22D57D4B66}"/>
    <hyperlink ref="J377" r:id="rId358" display="mailto:zak@autokomplex-ol.cz" xr:uid="{69442FDE-0365-4C3F-9960-A6A841B1F96C}"/>
    <hyperlink ref="J378" r:id="rId359" display="mailto:till@autokomplex-ol.cz" xr:uid="{755D989F-1924-4BE6-B17F-3444106D21A5}"/>
    <hyperlink ref="J403" r:id="rId360" xr:uid="{F8376274-C398-48AD-848D-CB7C6FE7F9FF}"/>
    <hyperlink ref="J401" r:id="rId361" xr:uid="{48F94395-17B6-47D8-9A5B-09988D712ECF}"/>
    <hyperlink ref="J607" r:id="rId362" xr:uid="{4092AF17-7EA6-4527-9A83-095EB925E52F}"/>
    <hyperlink ref="J402" r:id="rId363" xr:uid="{3BE0B8FA-6EAC-491A-9633-E0876881039E}"/>
    <hyperlink ref="J424" r:id="rId364" display="mailto:autonoma@autonoma.cz" xr:uid="{2BC195FF-9006-444B-A3FC-6007E4F0B6DC}"/>
    <hyperlink ref="J608" r:id="rId365" xr:uid="{300FF331-FC8F-409B-9C15-1AC8D6CB1E9D}"/>
    <hyperlink ref="J423" r:id="rId366" xr:uid="{C0EE1382-2C1A-43A0-8534-E5E1297C9123}"/>
    <hyperlink ref="J427" r:id="rId367" xr:uid="{CE366094-D122-41DD-8522-079D9F45FB4D}"/>
    <hyperlink ref="K428" r:id="rId368" display="tel:+420771203810" xr:uid="{BA4602B4-EC73-4FA0-8FD2-2583840F7B29}"/>
    <hyperlink ref="J428" r:id="rId369" display="mailto:autocentrumtelnice@seznam.cz" xr:uid="{66E4EFC9-3B67-4CD3-A126-112A38478499}"/>
    <hyperlink ref="J429" r:id="rId370" display="mailto:matena@tomservice.cz" xr:uid="{103F83D2-970C-4F28-BED9-BFB199F4CB96}"/>
    <hyperlink ref="J609" r:id="rId371" display="mailto:matena@tomservice.cz" xr:uid="{5F69ADA9-5E31-4631-B34F-DFAC72AD177C}"/>
    <hyperlink ref="J430" r:id="rId372" display="mailto:info@autosklo-plus.cz" xr:uid="{246D052D-EFFF-4BB2-A21A-03055C6214CA}"/>
    <hyperlink ref="J610" r:id="rId373" xr:uid="{5D1F3463-3878-47FC-8A89-A8F182AA087B}"/>
    <hyperlink ref="J438" r:id="rId374" xr:uid="{9A735696-F107-4091-972C-403F21CA6ADB}"/>
    <hyperlink ref="J376" r:id="rId375" xr:uid="{DD803D08-7E73-42CF-8B83-4CC08758F557}"/>
    <hyperlink ref="J436" r:id="rId376" xr:uid="{2E7AB3A7-9AB8-4594-A2FB-7E48D86984EF}"/>
    <hyperlink ref="J437" r:id="rId377" xr:uid="{5B44072F-B57B-4CC7-870F-B2D6204FEF1D}"/>
    <hyperlink ref="J435" r:id="rId378" xr:uid="{5B048131-09FF-4171-9201-1798F2AAAD70}"/>
    <hyperlink ref="J611" r:id="rId379" xr:uid="{B4B84DB4-8EDD-4760-92DE-8788013A9AD5}"/>
    <hyperlink ref="J444" r:id="rId380" display="mailto:info@kovoworks.cz" xr:uid="{7C6BAEF5-5903-4A81-B9A0-4926D17073E6}"/>
    <hyperlink ref="J443" r:id="rId381" display="mailto:potuzak@atlas.cz" xr:uid="{B51CEE6D-7A2E-4819-8C57-34962DA3A84A}"/>
    <hyperlink ref="J446" r:id="rId382" display="mailto:ales@autonevedel.cz" xr:uid="{5D22D645-3E03-4BE0-BAF2-3DF1BA129896}"/>
    <hyperlink ref="J84" r:id="rId383" display="mailto:jsteam@email.cz" xr:uid="{CCEEEEFC-794F-472E-95B6-DB5E85228E5A}"/>
    <hyperlink ref="J447" r:id="rId384" display="mailto:jan.loskot@volny.cz" xr:uid="{BAF2D3F9-72EB-4BF2-9E02-245428DB6827}"/>
    <hyperlink ref="J321" r:id="rId385" xr:uid="{931CD527-D5A3-44EB-B9F0-035798CFC995}"/>
    <hyperlink ref="J616" r:id="rId386" xr:uid="{9F74016E-BD61-43DC-8772-AD9C7C0296C0}"/>
    <hyperlink ref="J469" r:id="rId387" display="mailto:servis@autoservis-hudousek.cz" xr:uid="{65CBE6A8-1D23-44C4-A7C9-C0D490551D03}"/>
    <hyperlink ref="K469" r:id="rId388" display="tel:+420583440284" xr:uid="{E9E14E17-D872-4679-B052-86F0F787F522}"/>
    <hyperlink ref="J470" r:id="rId389" display="mailto:info@bkpneu.cz" xr:uid="{BAE73BD6-4869-4D3E-86F3-A8AE87A10F1B}"/>
    <hyperlink ref="J476" r:id="rId390" xr:uid="{8E95D8F3-835E-4D3D-B580-EA7BC4AEA7FE}"/>
    <hyperlink ref="J432" r:id="rId391" display="mailto:servis@automima.cz" xr:uid="{76D7F585-5667-4D54-ADC1-B105503A9B53}"/>
    <hyperlink ref="J351" r:id="rId392" display="mailto:nehody@manitech-uh.cz" xr:uid="{1BE8A9BA-F37F-4A44-9E94-9C5DEFB47651}"/>
    <hyperlink ref="J474" r:id="rId393" display="mailto:info@karosarcentrum.cz" xr:uid="{9182B569-9BF8-4F39-90BC-F4EBD9A14908}"/>
    <hyperlink ref="K474" r:id="rId394" display="callto:+420732366101" xr:uid="{3BF8EC7B-4DE8-4E1D-84EE-F46E3C42458F}"/>
    <hyperlink ref="J480" r:id="rId395" xr:uid="{67C4DB13-4B9D-43B1-B35D-BB2B4FD5D326}"/>
    <hyperlink ref="J615" r:id="rId396" display="mailto:lukas.dolezal@malina-vrse.cz" xr:uid="{7BAB7301-B485-44E9-B8D9-2ED47B60DB07}"/>
    <hyperlink ref="J491" r:id="rId397" display="mailto:fratric.servis@gmail.com" xr:uid="{546D3D0F-1EB7-4AF0-ACE3-70914D9E1A63}"/>
    <hyperlink ref="J489" r:id="rId398" display="mailto:p.s.colorextra@seznam.cz" xr:uid="{25FDB35A-02D8-44BA-9E99-310112660853}"/>
    <hyperlink ref="K450" r:id="rId399" display="tel:00420703146308" xr:uid="{49C661E2-178D-494B-B415-20B310AB260B}"/>
    <hyperlink ref="J450" r:id="rId400" display="mailto:servis@autechmoto.cz" xr:uid="{14283049-D1BB-4E96-911C-58CA5613DD0C}"/>
    <hyperlink ref="J451" r:id="rId401" display="mailto:servis@autechmoto.cz" xr:uid="{81E9B4E5-8B79-4239-B3AA-DB75CD952D6E}"/>
    <hyperlink ref="J506" r:id="rId402" display="mailto:karpisek@karpichcar.cz" xr:uid="{D1760901-A3D8-43CB-A38D-AC87A51F0F9B}"/>
    <hyperlink ref="J507" r:id="rId403" display="mailto:prokoplik@seznam.cz" xr:uid="{FB7233F6-57E3-44FB-BDBB-6E005104A296}"/>
    <hyperlink ref="J500" r:id="rId404" display="mailto:chadima@tc-hk.cz" xr:uid="{FFA143E6-6249-48BF-8342-DD63FC5A1D0E}"/>
    <hyperlink ref="J630" r:id="rId405" display="mailto:chadima@tc-hk.cz" xr:uid="{94186366-E984-4803-A01A-C99FF34AFC3E}"/>
    <hyperlink ref="J502" r:id="rId406" display="mailto:vladimir.mrazek@pyramidapruhonice.cz" xr:uid="{87677A7A-4C67-4F02-9D0C-89C7456778DF}"/>
    <hyperlink ref="J498" r:id="rId407" xr:uid="{B0A8E876-4CE9-4F98-BDBB-D54631FD3947}"/>
    <hyperlink ref="J499" r:id="rId408" display="mailto:ValskyZdenek@seznam.cz" xr:uid="{A2F53C1B-FC3E-4238-9AAD-B0EA0A7C82C9}"/>
    <hyperlink ref="J508" r:id="rId409" display="mailto:ZK@autokejval.cz" xr:uid="{3FE84920-B8E8-4A20-BE70-A0483480921D}"/>
    <hyperlink ref="J524" r:id="rId410" xr:uid="{2A2C90E8-CD37-44A5-AFD1-F741A064DBC7}"/>
    <hyperlink ref="J532" r:id="rId411" xr:uid="{3E83B9AF-9B44-4C8C-833C-F1E4513797E3}"/>
    <hyperlink ref="J533" r:id="rId412" xr:uid="{E1215E26-577F-4F2D-9649-EF8061059946}"/>
    <hyperlink ref="J503" r:id="rId413" display="bednar@carset.cz " xr:uid="{C50CC7F6-9B96-4907-9972-8D2B450F3429}"/>
    <hyperlink ref="J207" r:id="rId414" display="mailto:info@nastrikamevamto.cz" xr:uid="{504A1DC0-6091-4074-A5BF-EABDF3BF0F32}"/>
    <hyperlink ref="J535" r:id="rId415" xr:uid="{78A5ADE8-2CB2-412C-9671-AB586D5E811E}"/>
    <hyperlink ref="J547" r:id="rId416" xr:uid="{263B1A0A-221F-42C5-9D29-C89C9EDDE418}"/>
    <hyperlink ref="J534" r:id="rId417" xr:uid="{D0371C29-CD64-460C-AED9-FE05F95294B8}"/>
    <hyperlink ref="J548" r:id="rId418" display="mailto:info@autorepairsystems.cz" xr:uid="{8C509996-953A-46ED-B188-F23DD0B113F6}"/>
    <hyperlink ref="J291" r:id="rId419" xr:uid="{79DEA5AE-ABBA-4394-979B-86E09FF3E987}"/>
    <hyperlink ref="J404" r:id="rId420" xr:uid="{ECB2311B-545B-4955-BC24-46D1B4115CFF}"/>
    <hyperlink ref="K452" r:id="rId421" display="tel:+420608433611" xr:uid="{26BEAE20-84FD-4938-9A6E-101433B78C1D}"/>
    <hyperlink ref="J164" r:id="rId422" xr:uid="{FD6E9671-AD75-40BF-9B5D-5D4AE563B478}"/>
    <hyperlink ref="J265" r:id="rId423" display="mailto:davidsrp@volny.cz" xr:uid="{312E9249-B857-41FF-B2EB-37011C7F9541}"/>
    <hyperlink ref="J525" r:id="rId424" xr:uid="{DCE8809D-3CCF-46BC-8805-124CEEC0D036}"/>
    <hyperlink ref="J167" r:id="rId425" xr:uid="{22DEAEF4-7105-43F9-9839-2F27E1046F1E}"/>
    <hyperlink ref="J275" r:id="rId426" display="mailto:tdg@volny.cz" xr:uid="{02692D7E-0720-4FDA-8E84-589C86A3739C}"/>
    <hyperlink ref="J89" r:id="rId427" xr:uid="{A3A9DC0F-595B-43BE-B53F-0C783AE04B51}"/>
    <hyperlink ref="J357" r:id="rId428" xr:uid="{9CDDC636-FF56-4D35-9747-E1F206D0ECE3}"/>
    <hyperlink ref="J176" r:id="rId429" xr:uid="{37E97546-9A35-43A7-A4FD-13F1C4BFCBAC}"/>
    <hyperlink ref="J526" r:id="rId430" xr:uid="{286FFB74-60C8-40EE-AE96-0D7DAA36DA3A}"/>
    <hyperlink ref="J179" r:id="rId431" xr:uid="{8A7482DD-486D-425B-AA92-8B5BF38DF326}"/>
    <hyperlink ref="J160" r:id="rId432" xr:uid="{73930983-36D5-43CB-B205-E18CF630A236}"/>
    <hyperlink ref="J197" r:id="rId433" xr:uid="{AB330612-B485-4DDE-A92A-6B03A51CC068}"/>
    <hyperlink ref="J228" r:id="rId434" xr:uid="{ED0A3F64-155E-421D-B4EB-A6602A2F1D3C}"/>
    <hyperlink ref="J271" r:id="rId435" xr:uid="{D3EB2592-6D7D-4B1F-A5B2-3751CD123BA4}"/>
    <hyperlink ref="J169" r:id="rId436" xr:uid="{AC9741FC-909C-4B7F-81B1-3664C78AFC4C}"/>
    <hyperlink ref="J174" r:id="rId437" xr:uid="{688D269C-28B4-4F91-B10F-168D06D763C9}"/>
    <hyperlink ref="J175" r:id="rId438" xr:uid="{B50AFC07-F6C0-47A5-8914-1079DCCC2E55}"/>
    <hyperlink ref="J178" r:id="rId439" xr:uid="{265F3382-7EAF-4068-9406-F2045255087B}"/>
    <hyperlink ref="J159" r:id="rId440" xr:uid="{F326797E-363B-4544-A2C3-F4140FA3B48F}"/>
    <hyperlink ref="J299" r:id="rId441" xr:uid="{57F3431C-75E5-499B-B7CD-8559699EBB6F}"/>
    <hyperlink ref="J206" r:id="rId442" xr:uid="{05EB0FF3-872D-4FF8-B777-AA0527F6BEA9}"/>
    <hyperlink ref="J251" r:id="rId443" xr:uid="{5165F7A3-3C9C-4B36-8388-4562AA946C03}"/>
    <hyperlink ref="J183" r:id="rId444" xr:uid="{588B5283-70E9-47D6-B306-29E6298FDF02}"/>
    <hyperlink ref="J204" r:id="rId445" xr:uid="{AF80192E-3F9C-4F75-841C-62655B427802}"/>
    <hyperlink ref="J516" r:id="rId446" xr:uid="{422AE020-D080-4139-BB33-129F561C8609}"/>
    <hyperlink ref="J517" r:id="rId447" xr:uid="{17FF6F23-FEFA-462D-A082-3A7DB2FA80F2}"/>
    <hyperlink ref="J184" r:id="rId448" xr:uid="{87F6EB9E-9375-4413-BA4F-CEB01EE5E957}"/>
    <hyperlink ref="J205" r:id="rId449" xr:uid="{765D750F-E6E8-40F6-B045-226CB9F26B8A}"/>
    <hyperlink ref="J172" r:id="rId450" xr:uid="{F7B364EB-C3BF-4BF1-8034-9ADDC4B55B9D}"/>
    <hyperlink ref="J171" r:id="rId451" xr:uid="{62B6E06C-5C4A-4092-BC0D-B931DEB13620}"/>
    <hyperlink ref="J453" r:id="rId452" xr:uid="{CB693896-97E3-4A83-9AFA-7F64F37A9FCA}"/>
    <hyperlink ref="J221" r:id="rId453" xr:uid="{CAA6A560-787B-4F82-91AD-5E992F2B871E}"/>
    <hyperlink ref="J324" r:id="rId454" display="mailto:j.polata@centrum.cz" xr:uid="{AD4A7BA7-B379-435E-A5A5-509356160AB8}"/>
    <hyperlink ref="J284" r:id="rId455" xr:uid="{6D7DCCCA-9DE0-4151-9296-35FECCB01BC3}"/>
    <hyperlink ref="J272" r:id="rId456" xr:uid="{FC692025-D771-489E-A48B-18FD6B8F1431}"/>
    <hyperlink ref="J264" r:id="rId457" xr:uid="{E02CF45D-4ECD-49BF-8799-7CE4B8600FA8}"/>
    <hyperlink ref="J20" r:id="rId458" xr:uid="{0C1EB78F-A64D-42F8-9728-F60361C361DC}"/>
    <hyperlink ref="J166" r:id="rId459" display="mailto:autoservis.zdenkbambule@seznam.cz" xr:uid="{BA839100-A3AA-4855-9292-681C105CC22D}"/>
    <hyperlink ref="J220" r:id="rId460" xr:uid="{067FA3D9-9DB3-43D7-B8F2-7A6BF97EC034}"/>
    <hyperlink ref="J161" r:id="rId461" display="mailto:info@autozabrana.cz" xr:uid="{ABE116D6-F98C-4928-B701-DB2639C8AFEA}"/>
    <hyperlink ref="J168" r:id="rId462" xr:uid="{629709EB-4A21-4141-B575-F25A2B3B3890}"/>
    <hyperlink ref="J170" r:id="rId463" xr:uid="{F0224393-D79B-47F5-8DFE-C6742BA8E693}"/>
    <hyperlink ref="J243" r:id="rId464" xr:uid="{F9859BFA-6A5F-4194-81EA-07EB0E1B0931}"/>
    <hyperlink ref="J259" r:id="rId465" xr:uid="{AD190250-AF67-4BEE-9F6B-66EDECFF1E37}"/>
    <hyperlink ref="J162" r:id="rId466" xr:uid="{30568341-47BD-4F5D-85DA-5BF8459D1508}"/>
    <hyperlink ref="J188" r:id="rId467" display="mailto:servisklesice@seznam.cz" xr:uid="{1963644B-14BA-463E-822E-8B5548C3DB7D}"/>
    <hyperlink ref="J3" r:id="rId468" xr:uid="{2264D072-4DE0-4152-8068-CC44EAD21C5C}"/>
    <hyperlink ref="J452" r:id="rId469" display="mailto:servis@motor-centrum.cz" xr:uid="{FE24BEF2-A087-4DE4-BA7D-C95289442744}"/>
    <hyperlink ref="J173" r:id="rId470" xr:uid="{28DCDA39-3968-4DEB-AAB6-77A01EAF5502}"/>
    <hyperlink ref="J273" r:id="rId471" xr:uid="{8D2DEE22-418C-4CC7-82EB-702DD3A3627B}"/>
    <hyperlink ref="J189" r:id="rId472" display="mailto:pojistovny@spei.cz" xr:uid="{FEC88F16-7986-497F-9EC5-5E790CBF14B0}"/>
    <hyperlink ref="J240" r:id="rId473" display="mailto:pojistovny@spei.cz" xr:uid="{85F4B90C-518E-4844-BE5D-D0A1670B51BE}"/>
    <hyperlink ref="J177" r:id="rId474" display="mailto:pojistovny@spei.cz" xr:uid="{A45FA0CB-5015-40B3-81DD-438C7F1AECEB}"/>
    <hyperlink ref="J163" r:id="rId475" display="mailto:servis@autorentservis.cz" xr:uid="{FE704F03-FDE1-4B63-95A2-8EE4FD392C31}"/>
    <hyperlink ref="J214" r:id="rId476" display="mailto:pu@autodast.cz" xr:uid="{32637476-9ACD-4D5A-B92C-7BC6A636E527}"/>
    <hyperlink ref="J208" r:id="rId477" xr:uid="{29E631C4-B663-4536-A1DC-C409FFFF3BDC}"/>
    <hyperlink ref="J223" r:id="rId478" xr:uid="{8CB0F931-C658-46BD-83D7-35111AB0ECC9}"/>
    <hyperlink ref="J555" r:id="rId479" xr:uid="{17DFAB34-76B6-420F-9AE7-2AABCF3A6F2E}"/>
    <hyperlink ref="J145" r:id="rId480" display="mailto:info@vinicars.cz" xr:uid="{96BFAA14-72A7-4C89-A63E-8C721A0E305E}"/>
    <hyperlink ref="J146" r:id="rId481" display="mailto:info@vinicars.cz" xr:uid="{AC91C2F2-9A1B-4001-B726-A51101D6E784}"/>
    <hyperlink ref="J147" r:id="rId482" display="mailto:info@vinicars.cz" xr:uid="{12E79BCE-2E88-4A46-A6FE-70CEF617D5D0}"/>
    <hyperlink ref="J375" r:id="rId483" xr:uid="{8A410BD1-D0D2-4033-8FD9-1076B9D4C335}"/>
    <hyperlink ref="J390" r:id="rId484" display="mailto:direct@doktor-dulek.cz" xr:uid="{947C81F1-D36C-4757-8A3C-81EE9DCA3739}"/>
    <hyperlink ref="J475" r:id="rId485" display="mailto:info@karosarcentrum.cz" xr:uid="{1A6116C4-481F-4ED8-B724-54150B9D2BDE}"/>
    <hyperlink ref="K475" r:id="rId486" display="callto:+420732366101" xr:uid="{9422B36A-7039-4EAA-9A03-8909B8A6381B}"/>
    <hyperlink ref="J148" r:id="rId487" display="mailto:info@vinicars.cz" xr:uid="{0161414B-BD12-4DAC-AEAE-E512526B77E3}"/>
    <hyperlink ref="AU390" r:id="rId488" display="servis@doktor-dulek.cz" xr:uid="{2F673293-F0C4-4D7B-AB4F-E1AA7B084027}"/>
    <hyperlink ref="J847" r:id="rId489" xr:uid="{3655CAD6-07BB-43FE-9088-ED96B2821E8F}"/>
    <hyperlink ref="J865" r:id="rId490" display="mailto:autoskla@autosklo-hak.cz" xr:uid="{2822AB36-A065-483F-8396-D3AA5961BB75}"/>
    <hyperlink ref="J866" r:id="rId491" display="mailto:hk@autosklo-hak.cz" xr:uid="{460E80B6-8D08-4E87-8880-62760DD80E4B}"/>
    <hyperlink ref="J867" r:id="rId492" display="mailto:cr@autosklo-hak.cz" xr:uid="{594872A2-A81E-4E0A-A9AD-DAB463376596}"/>
    <hyperlink ref="J868" r:id="rId493" display="mailto:lit@autosklo-hak.cz" xr:uid="{4C614FD2-7826-4B0A-B3A9-142AC1D1D0D2}"/>
    <hyperlink ref="J869" r:id="rId494" display="mailto:svi@autosklo-hak.cz" xr:uid="{D3753EB2-0A24-4A4A-B031-95809E2FA843}"/>
    <hyperlink ref="J870" r:id="rId495" display="mailto:%20vm@autosklo-hak.cz" xr:uid="{077E6C11-FF34-44C7-B09F-ECA68E34C9BA}"/>
    <hyperlink ref="J873" r:id="rId496" xr:uid="{F6D701A4-B5C3-42E5-95DE-F4E44EEC5B3C}"/>
    <hyperlink ref="J848" r:id="rId497" xr:uid="{E7A231FD-CA2E-4381-9339-6D2DC863FB26}"/>
    <hyperlink ref="J849" r:id="rId498" xr:uid="{C11133E0-6E20-4F57-AF0F-3484AAB6FD59}"/>
    <hyperlink ref="J877" r:id="rId499" xr:uid="{3319342B-4EA1-4F8A-9A07-F9155D5645B9}"/>
    <hyperlink ref="J876" r:id="rId500" xr:uid="{183D5DF0-1E07-4DC9-BB1C-93DFC92C0944}"/>
    <hyperlink ref="J878" r:id="rId501" xr:uid="{EDAF32D4-E184-4A6F-9D08-0A4255DCF8B4}"/>
    <hyperlink ref="J701" r:id="rId502" xr:uid="{4205121B-842D-4137-A00F-13C21D9E0548}"/>
    <hyperlink ref="J879" r:id="rId503" xr:uid="{87D93033-6EC9-4626-B4A0-C5C0C5EA08A5}"/>
    <hyperlink ref="J881" r:id="rId504" display="mailto:autosklo.koudelka@seznam.cz" xr:uid="{5AF5C8B6-26F3-4AF0-BB5E-C3D057248F26}"/>
    <hyperlink ref="J681" r:id="rId505" xr:uid="{B7662431-CBA1-4297-B14C-B50A4C6BB145}"/>
    <hyperlink ref="J880" r:id="rId506" xr:uid="{FFE8C92A-4747-4107-90B8-6CF3D8284379}"/>
    <hyperlink ref="J325" r:id="rId507" display="mailto:rpetr@kuffel.cz" xr:uid="{23C8543E-4D16-4E2F-95E4-E0B7D6872D8D}"/>
    <hyperlink ref="J883" r:id="rId508" xr:uid="{0E94EFA5-0F68-4254-B1C3-1DF20C57BDF4}"/>
    <hyperlink ref="J884" r:id="rId509" xr:uid="{8183BE10-EABB-4D8A-8C99-99BFCF4DD9CF}"/>
    <hyperlink ref="J885" r:id="rId510" xr:uid="{B7AD9333-7411-455D-A251-05B96C1426AB}"/>
    <hyperlink ref="J886" r:id="rId511" xr:uid="{053E756D-6CD5-422F-B2D1-DE14688DE595}"/>
    <hyperlink ref="J887" r:id="rId512" xr:uid="{93242C7D-BDC6-4035-960C-2C020E02C209}"/>
    <hyperlink ref="J814" r:id="rId513" display="mailto:autosklobor@seznam.cz" xr:uid="{5B3E7077-82F4-445C-B22C-BDA0B11D8A1E}"/>
    <hyperlink ref="J889" r:id="rId514" display="mailto:autoskloturnov@gmail.com" xr:uid="{94EF0337-CB1A-4A7E-A4D4-73939EAF21DA}"/>
    <hyperlink ref="J890" r:id="rId515" xr:uid="{3AEA0DE3-FC8A-4BCD-84FB-420A1AEE760A}"/>
    <hyperlink ref="J888" r:id="rId516" xr:uid="{F5F6B96E-EA86-4607-BCCB-2BCBF4B77D2C}"/>
    <hyperlink ref="J740" r:id="rId517" display="mailto:info@autoskla-hk.cz" xr:uid="{8797F9B9-F761-4F9E-ADCC-4975F7C9624C}"/>
    <hyperlink ref="K889" r:id="rId518" display="tel:+420777200082" xr:uid="{29B18DB1-169D-440A-A2FA-EC05C971A8C6}"/>
    <hyperlink ref="J723" r:id="rId519" xr:uid="{433E6701-5787-4A2B-95A5-9DC3DBFAF245}"/>
    <hyperlink ref="J725" r:id="rId520" xr:uid="{49770D63-62CB-4691-BB32-D0DC8C8257F3}"/>
    <hyperlink ref="J892" r:id="rId521" xr:uid="{99B64F9B-CBD5-4C62-95A0-883E2CF537B2}"/>
    <hyperlink ref="J893" r:id="rId522" display="mailto:info@autoskla-kokosin.cz" xr:uid="{EC7A6828-3CD6-47E1-8E3A-B1281779033C}"/>
    <hyperlink ref="K893" r:id="rId523" display="tel:+420 739 290 920" xr:uid="{19BF7C8F-3685-48DC-A140-AEBA03C2D80E}"/>
    <hyperlink ref="J833" r:id="rId524" xr:uid="{555313B4-2FD0-4886-9BF4-7B8C02720CF2}"/>
    <hyperlink ref="J646" r:id="rId525" xr:uid="{C89B4929-58CD-46B2-A6E0-D73C67734287}"/>
    <hyperlink ref="J894" r:id="rId526" display="mailto:autosklonej@seznam.cz" xr:uid="{6A758843-1BCC-448A-A73E-BD24894286AF}"/>
    <hyperlink ref="J891" r:id="rId527" xr:uid="{C9DBE02E-3E08-4179-B762-C64E6C7920C4}"/>
    <hyperlink ref="J724" r:id="rId528" xr:uid="{D6BC3992-E014-4C38-BAAE-FF1035BFA4A9}"/>
    <hyperlink ref="J850" r:id="rId529" display="mailto:zakazky@autosklo.top" xr:uid="{A3AECB86-7064-4CF5-9668-EF66C28B7E67}"/>
    <hyperlink ref="J851" r:id="rId530" display="mailto:zakazky@autosklo.top" xr:uid="{220D9AA3-577B-46F5-A58B-38A12251BF97}"/>
    <hyperlink ref="J852" r:id="rId531" display="mailto:zakazky@autosklo.top" xr:uid="{A0C48F45-4A7C-4FEB-BE81-DBFE55BA4AB8}"/>
    <hyperlink ref="J853" r:id="rId532" display="mailto:zakazky@autosklo.top" xr:uid="{F9F50D39-F938-4510-973B-A4DD503374C6}"/>
    <hyperlink ref="J854" r:id="rId533" display="mailto:zakazky@autosklo.top" xr:uid="{8592CB1A-4500-4A3C-AD9A-5F72DF806F24}"/>
    <hyperlink ref="J855" r:id="rId534" display="mailto:zakazky@autosklo.top" xr:uid="{0E3CB541-DEE1-4EC3-B59A-ABD7874CE2E6}"/>
    <hyperlink ref="J856" r:id="rId535" display="mailto:zakazky@autosklo.top" xr:uid="{0556E0F8-46C5-4D25-8847-E12132438781}"/>
    <hyperlink ref="J857" r:id="rId536" display="mailto:zakazky@autosklo.top" xr:uid="{DE0D1B05-6A85-443D-8FE3-548DF3427F45}"/>
    <hyperlink ref="J858" r:id="rId537" display="mailto:zakazky@autosklo.top" xr:uid="{F3B6BF02-DBFA-4C95-A4C7-68854859D792}"/>
    <hyperlink ref="J859" r:id="rId538" display="mailto:zakazky@autosklo.top" xr:uid="{DBBB3EE1-54A3-4562-9DD7-D4C0395FCA54}"/>
    <hyperlink ref="J860" r:id="rId539" display="mailto:zakazky@autosklo.top" xr:uid="{9AA79471-3766-4299-8FE0-04B2ED37466C}"/>
    <hyperlink ref="J872" r:id="rId540" display="mailto:zakazky@autosklo.top" xr:uid="{2AFDD4F4-0DA0-4646-8027-F39A10951D5C}"/>
    <hyperlink ref="J882" r:id="rId541" display="mailto:zakazky@autosklo.top" xr:uid="{6D9DABEC-71BA-48C4-9099-F2727C9AD88E}"/>
    <hyperlink ref="J861" r:id="rId542" display="mailto:zakazky@autosklo.top" xr:uid="{75D10B7D-E999-432A-90C7-42729E99BD94}"/>
    <hyperlink ref="J862" r:id="rId543" display="mailto:zakazky@autosklo.top" xr:uid="{EAF59A9B-F1A4-4E90-82C1-A1478F20CE70}"/>
    <hyperlink ref="J754" r:id="rId544" display="mailto:callcentrum@carglass.cz" xr:uid="{3215B3C5-9728-4800-AF70-479CE0069F56}"/>
    <hyperlink ref="J841:J887" r:id="rId545" display="mailto:callcentrum@carglass.cz" xr:uid="{7DE422E5-95D2-48DC-A8D9-2F365E597F54}"/>
    <hyperlink ref="J756" r:id="rId546" xr:uid="{CB7F73FF-9D3D-4777-AB45-F70FF436B149}"/>
    <hyperlink ref="J770" r:id="rId547" display="mailto:callcentrum@carglass.cz" xr:uid="{DB3CC92C-ED04-421D-8FDB-11B9244DE7C3}"/>
    <hyperlink ref="J771" r:id="rId548" display="mailto:callcentrum@carglass.cz" xr:uid="{4714F3E1-2201-4F40-8D41-593AFB7DBDC9}"/>
    <hyperlink ref="J772" r:id="rId549" display="mailto:callcentrum@carglass.cz" xr:uid="{CF03B483-E0F2-43D6-8BA8-8BDADCE06AAA}"/>
    <hyperlink ref="J753" r:id="rId550" display="mailto:callcentrum@carglass.cz" xr:uid="{60AC1C38-A88C-4076-BC81-D17FEBE0998C}"/>
    <hyperlink ref="P498" r:id="rId551" xr:uid="{4AE8721E-DEC4-4EF6-BFBD-4841E667EBA2}"/>
    <hyperlink ref="P839" r:id="rId552" xr:uid="{E7D47813-8E2B-4D9E-89C8-880EBCD99E56}"/>
    <hyperlink ref="J255" r:id="rId553" xr:uid="{7204C52E-9471-4B4A-8FEB-B33CCBAF3403}"/>
    <hyperlink ref="J551" r:id="rId554" xr:uid="{FDF708E7-5A5D-43DE-B4B1-E8307DCFBAE4}"/>
  </hyperlink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E8AB9-53CF-4ADA-866D-4F4E9B83EDB0}">
  <dimension ref="A1:C4160"/>
  <sheetViews>
    <sheetView workbookViewId="0">
      <selection activeCell="B1" sqref="B1"/>
    </sheetView>
  </sheetViews>
  <sheetFormatPr defaultRowHeight="14.4" x14ac:dyDescent="0.3"/>
  <cols>
    <col min="2" max="2" width="17.88671875" customWidth="1"/>
    <col min="3" max="3" width="16.33203125" customWidth="1"/>
  </cols>
  <sheetData>
    <row r="1" spans="1:3" x14ac:dyDescent="0.3">
      <c r="A1" t="s">
        <v>4867</v>
      </c>
      <c r="B1" t="s">
        <v>4868</v>
      </c>
      <c r="C1" t="s">
        <v>4869</v>
      </c>
    </row>
    <row r="2" spans="1:3" x14ac:dyDescent="0.3">
      <c r="A2">
        <v>10000</v>
      </c>
      <c r="B2" t="s">
        <v>4870</v>
      </c>
      <c r="C2" t="s">
        <v>4870</v>
      </c>
    </row>
    <row r="3" spans="1:3" x14ac:dyDescent="0.3">
      <c r="A3">
        <v>10100</v>
      </c>
      <c r="B3" t="s">
        <v>4870</v>
      </c>
      <c r="C3" t="s">
        <v>4870</v>
      </c>
    </row>
    <row r="4" spans="1:3" x14ac:dyDescent="0.3">
      <c r="A4">
        <v>10200</v>
      </c>
      <c r="B4" t="s">
        <v>4870</v>
      </c>
      <c r="C4" t="s">
        <v>4870</v>
      </c>
    </row>
    <row r="5" spans="1:3" x14ac:dyDescent="0.3">
      <c r="A5">
        <v>10300</v>
      </c>
      <c r="B5" t="s">
        <v>4870</v>
      </c>
      <c r="C5" t="s">
        <v>4870</v>
      </c>
    </row>
    <row r="6" spans="1:3" x14ac:dyDescent="0.3">
      <c r="A6">
        <v>10400</v>
      </c>
      <c r="B6" t="s">
        <v>4870</v>
      </c>
      <c r="C6" t="s">
        <v>4870</v>
      </c>
    </row>
    <row r="7" spans="1:3" x14ac:dyDescent="0.3">
      <c r="A7">
        <v>10600</v>
      </c>
      <c r="B7" t="s">
        <v>4870</v>
      </c>
      <c r="C7" t="s">
        <v>4870</v>
      </c>
    </row>
    <row r="8" spans="1:3" x14ac:dyDescent="0.3">
      <c r="A8">
        <v>10700</v>
      </c>
      <c r="B8" t="s">
        <v>4870</v>
      </c>
      <c r="C8" t="s">
        <v>4870</v>
      </c>
    </row>
    <row r="9" spans="1:3" x14ac:dyDescent="0.3">
      <c r="A9">
        <v>10800</v>
      </c>
      <c r="B9" t="s">
        <v>4870</v>
      </c>
      <c r="C9" t="s">
        <v>4870</v>
      </c>
    </row>
    <row r="10" spans="1:3" x14ac:dyDescent="0.3">
      <c r="A10">
        <v>10900</v>
      </c>
      <c r="B10" t="s">
        <v>4870</v>
      </c>
      <c r="C10" t="s">
        <v>4870</v>
      </c>
    </row>
    <row r="11" spans="1:3" x14ac:dyDescent="0.3">
      <c r="A11">
        <v>11000</v>
      </c>
      <c r="B11" t="s">
        <v>4870</v>
      </c>
      <c r="C11" t="s">
        <v>4870</v>
      </c>
    </row>
    <row r="12" spans="1:3" x14ac:dyDescent="0.3">
      <c r="A12">
        <v>11800</v>
      </c>
      <c r="B12" t="s">
        <v>4870</v>
      </c>
      <c r="C12" t="s">
        <v>4870</v>
      </c>
    </row>
    <row r="13" spans="1:3" x14ac:dyDescent="0.3">
      <c r="A13">
        <v>11900</v>
      </c>
      <c r="B13" t="s">
        <v>4870</v>
      </c>
      <c r="C13" t="s">
        <v>4870</v>
      </c>
    </row>
    <row r="14" spans="1:3" x14ac:dyDescent="0.3">
      <c r="A14">
        <v>12000</v>
      </c>
      <c r="B14" t="s">
        <v>4870</v>
      </c>
      <c r="C14" t="s">
        <v>4870</v>
      </c>
    </row>
    <row r="15" spans="1:3" x14ac:dyDescent="0.3">
      <c r="A15">
        <v>12800</v>
      </c>
      <c r="B15" t="s">
        <v>4870</v>
      </c>
      <c r="C15" t="s">
        <v>4870</v>
      </c>
    </row>
    <row r="16" spans="1:3" x14ac:dyDescent="0.3">
      <c r="A16">
        <v>13000</v>
      </c>
      <c r="B16" t="s">
        <v>4870</v>
      </c>
      <c r="C16" t="s">
        <v>4870</v>
      </c>
    </row>
    <row r="17" spans="1:3" x14ac:dyDescent="0.3">
      <c r="A17">
        <v>14000</v>
      </c>
      <c r="B17" t="s">
        <v>4870</v>
      </c>
      <c r="C17" t="s">
        <v>4870</v>
      </c>
    </row>
    <row r="18" spans="1:3" x14ac:dyDescent="0.3">
      <c r="A18">
        <v>14100</v>
      </c>
      <c r="B18" t="s">
        <v>4870</v>
      </c>
      <c r="C18" t="s">
        <v>4870</v>
      </c>
    </row>
    <row r="19" spans="1:3" x14ac:dyDescent="0.3">
      <c r="A19">
        <v>14200</v>
      </c>
      <c r="B19" t="s">
        <v>4870</v>
      </c>
      <c r="C19" t="s">
        <v>4870</v>
      </c>
    </row>
    <row r="20" spans="1:3" x14ac:dyDescent="0.3">
      <c r="A20">
        <v>14300</v>
      </c>
      <c r="B20" t="s">
        <v>4870</v>
      </c>
      <c r="C20" t="s">
        <v>4870</v>
      </c>
    </row>
    <row r="21" spans="1:3" x14ac:dyDescent="0.3">
      <c r="A21">
        <v>14700</v>
      </c>
      <c r="B21" t="s">
        <v>4870</v>
      </c>
      <c r="C21" t="s">
        <v>4870</v>
      </c>
    </row>
    <row r="22" spans="1:3" x14ac:dyDescent="0.3">
      <c r="A22">
        <v>14800</v>
      </c>
      <c r="B22" t="s">
        <v>4870</v>
      </c>
      <c r="C22" t="s">
        <v>4870</v>
      </c>
    </row>
    <row r="23" spans="1:3" x14ac:dyDescent="0.3">
      <c r="A23">
        <v>14900</v>
      </c>
      <c r="B23" t="s">
        <v>4870</v>
      </c>
      <c r="C23" t="s">
        <v>4870</v>
      </c>
    </row>
    <row r="24" spans="1:3" x14ac:dyDescent="0.3">
      <c r="A24">
        <v>15000</v>
      </c>
      <c r="B24" t="s">
        <v>4870</v>
      </c>
      <c r="C24" t="s">
        <v>4870</v>
      </c>
    </row>
    <row r="25" spans="1:3" x14ac:dyDescent="0.3">
      <c r="A25">
        <v>15018</v>
      </c>
      <c r="B25" t="s">
        <v>4870</v>
      </c>
      <c r="C25" t="s">
        <v>4870</v>
      </c>
    </row>
    <row r="26" spans="1:3" x14ac:dyDescent="0.3">
      <c r="A26">
        <v>15200</v>
      </c>
      <c r="B26" t="s">
        <v>4870</v>
      </c>
      <c r="C26" t="s">
        <v>4870</v>
      </c>
    </row>
    <row r="27" spans="1:3" x14ac:dyDescent="0.3">
      <c r="A27">
        <v>15300</v>
      </c>
      <c r="B27" t="s">
        <v>4870</v>
      </c>
      <c r="C27" t="s">
        <v>4870</v>
      </c>
    </row>
    <row r="28" spans="1:3" x14ac:dyDescent="0.3">
      <c r="A28">
        <v>15400</v>
      </c>
      <c r="B28" t="s">
        <v>4870</v>
      </c>
      <c r="C28" t="s">
        <v>4870</v>
      </c>
    </row>
    <row r="29" spans="1:3" x14ac:dyDescent="0.3">
      <c r="A29">
        <v>15500</v>
      </c>
      <c r="B29" t="s">
        <v>4870</v>
      </c>
      <c r="C29" t="s">
        <v>4870</v>
      </c>
    </row>
    <row r="30" spans="1:3" x14ac:dyDescent="0.3">
      <c r="A30">
        <v>15521</v>
      </c>
      <c r="B30" t="s">
        <v>4870</v>
      </c>
      <c r="C30" t="s">
        <v>4870</v>
      </c>
    </row>
    <row r="31" spans="1:3" x14ac:dyDescent="0.3">
      <c r="A31">
        <v>15531</v>
      </c>
      <c r="B31" t="s">
        <v>4870</v>
      </c>
      <c r="C31" t="s">
        <v>4870</v>
      </c>
    </row>
    <row r="32" spans="1:3" x14ac:dyDescent="0.3">
      <c r="A32">
        <v>15600</v>
      </c>
      <c r="B32" t="s">
        <v>4870</v>
      </c>
      <c r="C32" t="s">
        <v>4870</v>
      </c>
    </row>
    <row r="33" spans="1:3" x14ac:dyDescent="0.3">
      <c r="A33">
        <v>15800</v>
      </c>
      <c r="B33" t="s">
        <v>4870</v>
      </c>
      <c r="C33" t="s">
        <v>4870</v>
      </c>
    </row>
    <row r="34" spans="1:3" x14ac:dyDescent="0.3">
      <c r="A34">
        <v>15900</v>
      </c>
      <c r="B34" t="s">
        <v>4870</v>
      </c>
      <c r="C34" t="s">
        <v>4870</v>
      </c>
    </row>
    <row r="35" spans="1:3" x14ac:dyDescent="0.3">
      <c r="A35">
        <v>16000</v>
      </c>
      <c r="B35" t="s">
        <v>4870</v>
      </c>
      <c r="C35" t="s">
        <v>4870</v>
      </c>
    </row>
    <row r="36" spans="1:3" x14ac:dyDescent="0.3">
      <c r="A36">
        <v>16100</v>
      </c>
      <c r="B36" t="s">
        <v>4870</v>
      </c>
      <c r="C36" t="s">
        <v>4870</v>
      </c>
    </row>
    <row r="37" spans="1:3" x14ac:dyDescent="0.3">
      <c r="A37">
        <v>16200</v>
      </c>
      <c r="B37" t="s">
        <v>4870</v>
      </c>
      <c r="C37" t="s">
        <v>4870</v>
      </c>
    </row>
    <row r="38" spans="1:3" x14ac:dyDescent="0.3">
      <c r="A38">
        <v>16300</v>
      </c>
      <c r="B38" t="s">
        <v>4870</v>
      </c>
      <c r="C38" t="s">
        <v>4870</v>
      </c>
    </row>
    <row r="39" spans="1:3" x14ac:dyDescent="0.3">
      <c r="A39">
        <v>16400</v>
      </c>
      <c r="B39" t="s">
        <v>4870</v>
      </c>
      <c r="C39" t="s">
        <v>4870</v>
      </c>
    </row>
    <row r="40" spans="1:3" x14ac:dyDescent="0.3">
      <c r="A40">
        <v>16500</v>
      </c>
      <c r="B40" t="s">
        <v>4870</v>
      </c>
      <c r="C40" t="s">
        <v>4870</v>
      </c>
    </row>
    <row r="41" spans="1:3" x14ac:dyDescent="0.3">
      <c r="A41">
        <v>16900</v>
      </c>
      <c r="B41" t="s">
        <v>4870</v>
      </c>
      <c r="C41" t="s">
        <v>4870</v>
      </c>
    </row>
    <row r="42" spans="1:3" x14ac:dyDescent="0.3">
      <c r="A42">
        <v>17000</v>
      </c>
      <c r="B42" t="s">
        <v>4870</v>
      </c>
      <c r="C42" t="s">
        <v>4870</v>
      </c>
    </row>
    <row r="43" spans="1:3" x14ac:dyDescent="0.3">
      <c r="A43">
        <v>17100</v>
      </c>
      <c r="B43" t="s">
        <v>4870</v>
      </c>
      <c r="C43" t="s">
        <v>4870</v>
      </c>
    </row>
    <row r="44" spans="1:3" x14ac:dyDescent="0.3">
      <c r="A44">
        <v>18000</v>
      </c>
      <c r="B44" t="s">
        <v>4870</v>
      </c>
      <c r="C44" t="s">
        <v>4870</v>
      </c>
    </row>
    <row r="45" spans="1:3" x14ac:dyDescent="0.3">
      <c r="A45">
        <v>18100</v>
      </c>
      <c r="B45" t="s">
        <v>4870</v>
      </c>
      <c r="C45" t="s">
        <v>4870</v>
      </c>
    </row>
    <row r="46" spans="1:3" x14ac:dyDescent="0.3">
      <c r="A46">
        <v>18200</v>
      </c>
      <c r="B46" t="s">
        <v>4870</v>
      </c>
      <c r="C46" t="s">
        <v>4870</v>
      </c>
    </row>
    <row r="47" spans="1:3" x14ac:dyDescent="0.3">
      <c r="A47">
        <v>18400</v>
      </c>
      <c r="B47" t="s">
        <v>4870</v>
      </c>
      <c r="C47" t="s">
        <v>4870</v>
      </c>
    </row>
    <row r="48" spans="1:3" x14ac:dyDescent="0.3">
      <c r="A48">
        <v>18600</v>
      </c>
      <c r="B48" t="s">
        <v>4870</v>
      </c>
      <c r="C48" t="s">
        <v>4870</v>
      </c>
    </row>
    <row r="49" spans="1:3" x14ac:dyDescent="0.3">
      <c r="A49">
        <v>19000</v>
      </c>
      <c r="B49" t="s">
        <v>4870</v>
      </c>
      <c r="C49" t="s">
        <v>4870</v>
      </c>
    </row>
    <row r="50" spans="1:3" x14ac:dyDescent="0.3">
      <c r="A50">
        <v>19011</v>
      </c>
      <c r="B50" t="s">
        <v>4870</v>
      </c>
      <c r="C50" t="s">
        <v>4870</v>
      </c>
    </row>
    <row r="51" spans="1:3" x14ac:dyDescent="0.3">
      <c r="A51">
        <v>19012</v>
      </c>
      <c r="B51" t="s">
        <v>4870</v>
      </c>
      <c r="C51" t="s">
        <v>4870</v>
      </c>
    </row>
    <row r="52" spans="1:3" x14ac:dyDescent="0.3">
      <c r="A52">
        <v>19014</v>
      </c>
      <c r="B52" t="s">
        <v>4870</v>
      </c>
      <c r="C52" t="s">
        <v>4870</v>
      </c>
    </row>
    <row r="53" spans="1:3" x14ac:dyDescent="0.3">
      <c r="A53">
        <v>19015</v>
      </c>
      <c r="B53" t="s">
        <v>4870</v>
      </c>
      <c r="C53" t="s">
        <v>4870</v>
      </c>
    </row>
    <row r="54" spans="1:3" x14ac:dyDescent="0.3">
      <c r="A54">
        <v>19016</v>
      </c>
      <c r="B54" t="s">
        <v>4870</v>
      </c>
      <c r="C54" t="s">
        <v>4870</v>
      </c>
    </row>
    <row r="55" spans="1:3" x14ac:dyDescent="0.3">
      <c r="A55">
        <v>19017</v>
      </c>
      <c r="B55" t="s">
        <v>4870</v>
      </c>
      <c r="C55" t="s">
        <v>4870</v>
      </c>
    </row>
    <row r="56" spans="1:3" x14ac:dyDescent="0.3">
      <c r="A56">
        <v>19300</v>
      </c>
      <c r="B56" t="s">
        <v>4870</v>
      </c>
      <c r="C56" t="s">
        <v>4870</v>
      </c>
    </row>
    <row r="57" spans="1:3" x14ac:dyDescent="0.3">
      <c r="A57">
        <v>19600</v>
      </c>
      <c r="B57" t="s">
        <v>4870</v>
      </c>
      <c r="C57" t="s">
        <v>4870</v>
      </c>
    </row>
    <row r="58" spans="1:3" x14ac:dyDescent="0.3">
      <c r="A58">
        <v>19700</v>
      </c>
      <c r="B58" t="s">
        <v>4870</v>
      </c>
      <c r="C58" t="s">
        <v>4870</v>
      </c>
    </row>
    <row r="59" spans="1:3" x14ac:dyDescent="0.3">
      <c r="A59">
        <v>19800</v>
      </c>
      <c r="B59" t="s">
        <v>4870</v>
      </c>
      <c r="C59" t="s">
        <v>4870</v>
      </c>
    </row>
    <row r="60" spans="1:3" x14ac:dyDescent="0.3">
      <c r="A60">
        <v>19900</v>
      </c>
      <c r="B60" t="s">
        <v>4870</v>
      </c>
      <c r="C60" t="s">
        <v>4870</v>
      </c>
    </row>
    <row r="61" spans="1:3" x14ac:dyDescent="0.3">
      <c r="A61">
        <v>25001</v>
      </c>
      <c r="B61" t="s">
        <v>4871</v>
      </c>
      <c r="C61" t="s">
        <v>4872</v>
      </c>
    </row>
    <row r="62" spans="1:3" x14ac:dyDescent="0.3">
      <c r="A62">
        <v>25063</v>
      </c>
      <c r="B62" t="s">
        <v>237</v>
      </c>
      <c r="C62" t="s">
        <v>4872</v>
      </c>
    </row>
    <row r="63" spans="1:3" x14ac:dyDescent="0.3">
      <c r="A63">
        <v>25064</v>
      </c>
      <c r="B63" t="s">
        <v>4871</v>
      </c>
      <c r="C63" t="s">
        <v>4872</v>
      </c>
    </row>
    <row r="64" spans="1:3" x14ac:dyDescent="0.3">
      <c r="A64">
        <v>25065</v>
      </c>
      <c r="B64" t="s">
        <v>4871</v>
      </c>
      <c r="C64" t="s">
        <v>4872</v>
      </c>
    </row>
    <row r="65" spans="1:3" x14ac:dyDescent="0.3">
      <c r="A65">
        <v>25066</v>
      </c>
      <c r="B65" t="s">
        <v>4871</v>
      </c>
      <c r="C65" t="s">
        <v>4872</v>
      </c>
    </row>
    <row r="66" spans="1:3" x14ac:dyDescent="0.3">
      <c r="A66">
        <v>25067</v>
      </c>
      <c r="B66" t="s">
        <v>4871</v>
      </c>
      <c r="C66" t="s">
        <v>4872</v>
      </c>
    </row>
    <row r="67" spans="1:3" x14ac:dyDescent="0.3">
      <c r="A67">
        <v>25068</v>
      </c>
      <c r="B67" t="s">
        <v>4871</v>
      </c>
      <c r="C67" t="s">
        <v>4872</v>
      </c>
    </row>
    <row r="68" spans="1:3" x14ac:dyDescent="0.3">
      <c r="A68">
        <v>25069</v>
      </c>
      <c r="B68" t="s">
        <v>4871</v>
      </c>
      <c r="C68" t="s">
        <v>4872</v>
      </c>
    </row>
    <row r="69" spans="1:3" x14ac:dyDescent="0.3">
      <c r="A69">
        <v>25070</v>
      </c>
      <c r="B69" t="s">
        <v>4871</v>
      </c>
      <c r="C69" t="s">
        <v>4872</v>
      </c>
    </row>
    <row r="70" spans="1:3" x14ac:dyDescent="0.3">
      <c r="A70">
        <v>25072</v>
      </c>
      <c r="B70" t="s">
        <v>237</v>
      </c>
      <c r="C70" t="s">
        <v>4872</v>
      </c>
    </row>
    <row r="71" spans="1:3" x14ac:dyDescent="0.3">
      <c r="A71">
        <v>25073</v>
      </c>
      <c r="B71" t="s">
        <v>4871</v>
      </c>
      <c r="C71" t="s">
        <v>4872</v>
      </c>
    </row>
    <row r="72" spans="1:3" x14ac:dyDescent="0.3">
      <c r="A72">
        <v>25075</v>
      </c>
      <c r="B72" t="s">
        <v>4871</v>
      </c>
      <c r="C72" t="s">
        <v>4872</v>
      </c>
    </row>
    <row r="73" spans="1:3" x14ac:dyDescent="0.3">
      <c r="A73">
        <v>25081</v>
      </c>
      <c r="B73" t="s">
        <v>4871</v>
      </c>
      <c r="C73" t="s">
        <v>4872</v>
      </c>
    </row>
    <row r="74" spans="1:3" x14ac:dyDescent="0.3">
      <c r="A74">
        <v>25082</v>
      </c>
      <c r="B74" t="s">
        <v>4871</v>
      </c>
      <c r="C74" t="s">
        <v>4872</v>
      </c>
    </row>
    <row r="75" spans="1:3" x14ac:dyDescent="0.3">
      <c r="A75">
        <v>25083</v>
      </c>
      <c r="B75" t="s">
        <v>4871</v>
      </c>
      <c r="C75" t="s">
        <v>4872</v>
      </c>
    </row>
    <row r="76" spans="1:3" x14ac:dyDescent="0.3">
      <c r="A76">
        <v>25084</v>
      </c>
      <c r="B76" t="s">
        <v>4871</v>
      </c>
      <c r="C76" t="s">
        <v>4872</v>
      </c>
    </row>
    <row r="77" spans="1:3" x14ac:dyDescent="0.3">
      <c r="A77">
        <v>25087</v>
      </c>
      <c r="B77" t="s">
        <v>4871</v>
      </c>
      <c r="C77" t="s">
        <v>4872</v>
      </c>
    </row>
    <row r="78" spans="1:3" x14ac:dyDescent="0.3">
      <c r="A78">
        <v>25088</v>
      </c>
      <c r="B78" t="s">
        <v>4305</v>
      </c>
      <c r="C78" t="s">
        <v>4872</v>
      </c>
    </row>
    <row r="79" spans="1:3" x14ac:dyDescent="0.3">
      <c r="A79">
        <v>25089</v>
      </c>
      <c r="B79" t="s">
        <v>4871</v>
      </c>
      <c r="C79" t="s">
        <v>4872</v>
      </c>
    </row>
    <row r="80" spans="1:3" x14ac:dyDescent="0.3">
      <c r="A80">
        <v>25090</v>
      </c>
      <c r="B80" t="s">
        <v>4871</v>
      </c>
      <c r="C80" t="s">
        <v>4872</v>
      </c>
    </row>
    <row r="81" spans="1:3" x14ac:dyDescent="0.3">
      <c r="A81">
        <v>25091</v>
      </c>
      <c r="B81" t="s">
        <v>4871</v>
      </c>
      <c r="C81" t="s">
        <v>4872</v>
      </c>
    </row>
    <row r="82" spans="1:3" x14ac:dyDescent="0.3">
      <c r="A82">
        <v>25092</v>
      </c>
      <c r="B82" t="s">
        <v>4871</v>
      </c>
      <c r="C82" t="s">
        <v>4872</v>
      </c>
    </row>
    <row r="83" spans="1:3" x14ac:dyDescent="0.3">
      <c r="A83">
        <v>25101</v>
      </c>
      <c r="B83" t="s">
        <v>4871</v>
      </c>
      <c r="C83" t="s">
        <v>4872</v>
      </c>
    </row>
    <row r="84" spans="1:3" x14ac:dyDescent="0.3">
      <c r="A84">
        <v>25162</v>
      </c>
      <c r="B84" t="s">
        <v>4871</v>
      </c>
      <c r="C84" t="s">
        <v>4872</v>
      </c>
    </row>
    <row r="85" spans="1:3" x14ac:dyDescent="0.3">
      <c r="A85">
        <v>25163</v>
      </c>
      <c r="B85" t="s">
        <v>4871</v>
      </c>
      <c r="C85" t="s">
        <v>4872</v>
      </c>
    </row>
    <row r="86" spans="1:3" x14ac:dyDescent="0.3">
      <c r="A86">
        <v>25164</v>
      </c>
      <c r="B86" t="s">
        <v>4871</v>
      </c>
      <c r="C86" t="s">
        <v>4872</v>
      </c>
    </row>
    <row r="87" spans="1:3" x14ac:dyDescent="0.3">
      <c r="A87">
        <v>25165</v>
      </c>
      <c r="B87" t="s">
        <v>4871</v>
      </c>
      <c r="C87" t="s">
        <v>4872</v>
      </c>
    </row>
    <row r="88" spans="1:3" x14ac:dyDescent="0.3">
      <c r="A88">
        <v>25166</v>
      </c>
      <c r="B88" t="s">
        <v>4871</v>
      </c>
      <c r="C88" t="s">
        <v>4872</v>
      </c>
    </row>
    <row r="89" spans="1:3" x14ac:dyDescent="0.3">
      <c r="A89">
        <v>25167</v>
      </c>
      <c r="B89" t="s">
        <v>2372</v>
      </c>
      <c r="C89" t="s">
        <v>4872</v>
      </c>
    </row>
    <row r="90" spans="1:3" x14ac:dyDescent="0.3">
      <c r="A90">
        <v>25168</v>
      </c>
      <c r="B90" t="s">
        <v>2372</v>
      </c>
      <c r="C90" t="s">
        <v>4872</v>
      </c>
    </row>
    <row r="91" spans="1:3" x14ac:dyDescent="0.3">
      <c r="A91">
        <v>25169</v>
      </c>
      <c r="B91" t="s">
        <v>4871</v>
      </c>
      <c r="C91" t="s">
        <v>4872</v>
      </c>
    </row>
    <row r="92" spans="1:3" x14ac:dyDescent="0.3">
      <c r="A92">
        <v>25170</v>
      </c>
      <c r="B92" t="s">
        <v>4871</v>
      </c>
      <c r="C92" t="s">
        <v>4872</v>
      </c>
    </row>
    <row r="93" spans="1:3" x14ac:dyDescent="0.3">
      <c r="A93">
        <v>25202</v>
      </c>
      <c r="B93" t="s">
        <v>4873</v>
      </c>
      <c r="C93" t="s">
        <v>4872</v>
      </c>
    </row>
    <row r="94" spans="1:3" x14ac:dyDescent="0.3">
      <c r="A94">
        <v>25203</v>
      </c>
      <c r="B94" t="s">
        <v>4873</v>
      </c>
      <c r="C94" t="s">
        <v>4872</v>
      </c>
    </row>
    <row r="95" spans="1:3" x14ac:dyDescent="0.3">
      <c r="A95">
        <v>25204</v>
      </c>
      <c r="B95" t="s">
        <v>4873</v>
      </c>
      <c r="C95" t="s">
        <v>4872</v>
      </c>
    </row>
    <row r="96" spans="1:3" x14ac:dyDescent="0.3">
      <c r="A96">
        <v>25205</v>
      </c>
      <c r="B96" t="s">
        <v>4873</v>
      </c>
      <c r="C96" t="s">
        <v>4872</v>
      </c>
    </row>
    <row r="97" spans="1:3" x14ac:dyDescent="0.3">
      <c r="A97">
        <v>25206</v>
      </c>
      <c r="B97" t="s">
        <v>4873</v>
      </c>
      <c r="C97" t="s">
        <v>4872</v>
      </c>
    </row>
    <row r="98" spans="1:3" x14ac:dyDescent="0.3">
      <c r="A98">
        <v>25207</v>
      </c>
      <c r="B98" t="s">
        <v>4873</v>
      </c>
      <c r="C98" t="s">
        <v>4872</v>
      </c>
    </row>
    <row r="99" spans="1:3" x14ac:dyDescent="0.3">
      <c r="A99">
        <v>25208</v>
      </c>
      <c r="B99" t="s">
        <v>4873</v>
      </c>
      <c r="C99" t="s">
        <v>4872</v>
      </c>
    </row>
    <row r="100" spans="1:3" x14ac:dyDescent="0.3">
      <c r="A100">
        <v>25209</v>
      </c>
      <c r="B100" t="s">
        <v>4873</v>
      </c>
      <c r="C100" t="s">
        <v>4872</v>
      </c>
    </row>
    <row r="101" spans="1:3" x14ac:dyDescent="0.3">
      <c r="A101">
        <v>25210</v>
      </c>
      <c r="B101" t="s">
        <v>4873</v>
      </c>
      <c r="C101" t="s">
        <v>4872</v>
      </c>
    </row>
    <row r="102" spans="1:3" x14ac:dyDescent="0.3">
      <c r="A102">
        <v>25216</v>
      </c>
      <c r="B102" t="s">
        <v>4873</v>
      </c>
      <c r="C102" t="s">
        <v>4872</v>
      </c>
    </row>
    <row r="103" spans="1:3" x14ac:dyDescent="0.3">
      <c r="A103">
        <v>25217</v>
      </c>
      <c r="B103" t="s">
        <v>4873</v>
      </c>
      <c r="C103" t="s">
        <v>4872</v>
      </c>
    </row>
    <row r="104" spans="1:3" x14ac:dyDescent="0.3">
      <c r="A104">
        <v>25218</v>
      </c>
      <c r="B104" t="s">
        <v>4873</v>
      </c>
      <c r="C104" t="s">
        <v>4872</v>
      </c>
    </row>
    <row r="105" spans="1:3" x14ac:dyDescent="0.3">
      <c r="A105">
        <v>25219</v>
      </c>
      <c r="B105" t="s">
        <v>4873</v>
      </c>
      <c r="C105" t="s">
        <v>4872</v>
      </c>
    </row>
    <row r="106" spans="1:3" x14ac:dyDescent="0.3">
      <c r="A106">
        <v>25225</v>
      </c>
      <c r="B106" t="s">
        <v>4873</v>
      </c>
      <c r="C106" t="s">
        <v>4872</v>
      </c>
    </row>
    <row r="107" spans="1:3" x14ac:dyDescent="0.3">
      <c r="A107">
        <v>25226</v>
      </c>
      <c r="B107" t="s">
        <v>4873</v>
      </c>
      <c r="C107" t="s">
        <v>4872</v>
      </c>
    </row>
    <row r="108" spans="1:3" x14ac:dyDescent="0.3">
      <c r="A108">
        <v>25228</v>
      </c>
      <c r="B108" t="s">
        <v>4873</v>
      </c>
      <c r="C108" t="s">
        <v>4872</v>
      </c>
    </row>
    <row r="109" spans="1:3" x14ac:dyDescent="0.3">
      <c r="A109">
        <v>25229</v>
      </c>
      <c r="B109" t="s">
        <v>4873</v>
      </c>
      <c r="C109" t="s">
        <v>4872</v>
      </c>
    </row>
    <row r="110" spans="1:3" x14ac:dyDescent="0.3">
      <c r="A110">
        <v>25230</v>
      </c>
      <c r="B110" t="s">
        <v>4873</v>
      </c>
      <c r="C110" t="s">
        <v>4872</v>
      </c>
    </row>
    <row r="111" spans="1:3" x14ac:dyDescent="0.3">
      <c r="A111">
        <v>25231</v>
      </c>
      <c r="B111" t="s">
        <v>4873</v>
      </c>
      <c r="C111" t="s">
        <v>4872</v>
      </c>
    </row>
    <row r="112" spans="1:3" x14ac:dyDescent="0.3">
      <c r="A112">
        <v>25241</v>
      </c>
      <c r="B112" t="s">
        <v>4873</v>
      </c>
      <c r="C112" t="s">
        <v>4872</v>
      </c>
    </row>
    <row r="113" spans="1:3" x14ac:dyDescent="0.3">
      <c r="A113">
        <v>25242</v>
      </c>
      <c r="B113" t="s">
        <v>4873</v>
      </c>
      <c r="C113" t="s">
        <v>4872</v>
      </c>
    </row>
    <row r="114" spans="1:3" x14ac:dyDescent="0.3">
      <c r="A114">
        <v>25243</v>
      </c>
      <c r="B114" t="s">
        <v>4871</v>
      </c>
      <c r="C114" t="s">
        <v>4872</v>
      </c>
    </row>
    <row r="115" spans="1:3" x14ac:dyDescent="0.3">
      <c r="A115">
        <v>25244</v>
      </c>
      <c r="B115" t="s">
        <v>4873</v>
      </c>
      <c r="C115" t="s">
        <v>4872</v>
      </c>
    </row>
    <row r="116" spans="1:3" x14ac:dyDescent="0.3">
      <c r="A116">
        <v>25245</v>
      </c>
      <c r="B116" t="s">
        <v>4873</v>
      </c>
      <c r="C116" t="s">
        <v>4872</v>
      </c>
    </row>
    <row r="117" spans="1:3" x14ac:dyDescent="0.3">
      <c r="A117">
        <v>25246</v>
      </c>
      <c r="B117" t="s">
        <v>4873</v>
      </c>
      <c r="C117" t="s">
        <v>4872</v>
      </c>
    </row>
    <row r="118" spans="1:3" x14ac:dyDescent="0.3">
      <c r="A118">
        <v>25261</v>
      </c>
      <c r="B118" t="s">
        <v>4873</v>
      </c>
      <c r="C118" t="s">
        <v>4872</v>
      </c>
    </row>
    <row r="119" spans="1:3" x14ac:dyDescent="0.3">
      <c r="A119">
        <v>25262</v>
      </c>
      <c r="B119" t="s">
        <v>4873</v>
      </c>
      <c r="C119" t="s">
        <v>4872</v>
      </c>
    </row>
    <row r="120" spans="1:3" x14ac:dyDescent="0.3">
      <c r="A120">
        <v>25263</v>
      </c>
      <c r="B120" t="s">
        <v>4873</v>
      </c>
      <c r="C120" t="s">
        <v>4872</v>
      </c>
    </row>
    <row r="121" spans="1:3" x14ac:dyDescent="0.3">
      <c r="A121">
        <v>25264</v>
      </c>
      <c r="B121" t="s">
        <v>4873</v>
      </c>
      <c r="C121" t="s">
        <v>4872</v>
      </c>
    </row>
    <row r="122" spans="1:3" x14ac:dyDescent="0.3">
      <c r="A122">
        <v>25265</v>
      </c>
      <c r="B122" t="s">
        <v>4873</v>
      </c>
      <c r="C122" t="s">
        <v>4872</v>
      </c>
    </row>
    <row r="123" spans="1:3" x14ac:dyDescent="0.3">
      <c r="A123">
        <v>25266</v>
      </c>
      <c r="B123" t="s">
        <v>4873</v>
      </c>
      <c r="C123" t="s">
        <v>4872</v>
      </c>
    </row>
    <row r="124" spans="1:3" x14ac:dyDescent="0.3">
      <c r="A124">
        <v>25267</v>
      </c>
      <c r="B124" t="s">
        <v>4873</v>
      </c>
      <c r="C124" t="s">
        <v>4872</v>
      </c>
    </row>
    <row r="125" spans="1:3" x14ac:dyDescent="0.3">
      <c r="A125">
        <v>25268</v>
      </c>
      <c r="B125" t="s">
        <v>4873</v>
      </c>
      <c r="C125" t="s">
        <v>4872</v>
      </c>
    </row>
    <row r="126" spans="1:3" x14ac:dyDescent="0.3">
      <c r="A126">
        <v>25281</v>
      </c>
      <c r="B126" t="s">
        <v>4873</v>
      </c>
      <c r="C126" t="s">
        <v>4872</v>
      </c>
    </row>
    <row r="127" spans="1:3" x14ac:dyDescent="0.3">
      <c r="A127">
        <v>25282</v>
      </c>
      <c r="B127" t="s">
        <v>4873</v>
      </c>
      <c r="C127" t="s">
        <v>4872</v>
      </c>
    </row>
    <row r="128" spans="1:3" x14ac:dyDescent="0.3">
      <c r="A128">
        <v>25301</v>
      </c>
      <c r="B128" t="s">
        <v>4873</v>
      </c>
      <c r="C128" t="s">
        <v>4872</v>
      </c>
    </row>
    <row r="129" spans="1:3" x14ac:dyDescent="0.3">
      <c r="A129">
        <v>25401</v>
      </c>
      <c r="B129" t="s">
        <v>4873</v>
      </c>
      <c r="C129" t="s">
        <v>4872</v>
      </c>
    </row>
    <row r="130" spans="1:3" x14ac:dyDescent="0.3">
      <c r="A130">
        <v>25601</v>
      </c>
      <c r="B130" t="s">
        <v>2372</v>
      </c>
      <c r="C130" t="s">
        <v>4872</v>
      </c>
    </row>
    <row r="131" spans="1:3" x14ac:dyDescent="0.3">
      <c r="A131">
        <v>25701</v>
      </c>
      <c r="B131" t="s">
        <v>2372</v>
      </c>
      <c r="C131" t="s">
        <v>4872</v>
      </c>
    </row>
    <row r="132" spans="1:3" x14ac:dyDescent="0.3">
      <c r="A132">
        <v>25702</v>
      </c>
      <c r="B132" t="s">
        <v>2372</v>
      </c>
      <c r="C132" t="s">
        <v>4872</v>
      </c>
    </row>
    <row r="133" spans="1:3" x14ac:dyDescent="0.3">
      <c r="A133">
        <v>25703</v>
      </c>
      <c r="B133" t="s">
        <v>2372</v>
      </c>
      <c r="C133" t="s">
        <v>4872</v>
      </c>
    </row>
    <row r="134" spans="1:3" x14ac:dyDescent="0.3">
      <c r="A134">
        <v>25705</v>
      </c>
      <c r="B134" t="s">
        <v>2372</v>
      </c>
      <c r="C134" t="s">
        <v>4872</v>
      </c>
    </row>
    <row r="135" spans="1:3" x14ac:dyDescent="0.3">
      <c r="A135">
        <v>25706</v>
      </c>
      <c r="B135" t="s">
        <v>2372</v>
      </c>
      <c r="C135" t="s">
        <v>4872</v>
      </c>
    </row>
    <row r="136" spans="1:3" x14ac:dyDescent="0.3">
      <c r="A136">
        <v>25708</v>
      </c>
      <c r="B136" t="s">
        <v>2372</v>
      </c>
      <c r="C136" t="s">
        <v>4872</v>
      </c>
    </row>
    <row r="137" spans="1:3" x14ac:dyDescent="0.3">
      <c r="A137">
        <v>25709</v>
      </c>
      <c r="B137" t="s">
        <v>2372</v>
      </c>
      <c r="C137" t="s">
        <v>4872</v>
      </c>
    </row>
    <row r="138" spans="1:3" x14ac:dyDescent="0.3">
      <c r="A138">
        <v>25721</v>
      </c>
      <c r="B138" t="s">
        <v>2372</v>
      </c>
      <c r="C138" t="s">
        <v>4872</v>
      </c>
    </row>
    <row r="139" spans="1:3" x14ac:dyDescent="0.3">
      <c r="A139">
        <v>25722</v>
      </c>
      <c r="B139" t="s">
        <v>2372</v>
      </c>
      <c r="C139" t="s">
        <v>4872</v>
      </c>
    </row>
    <row r="140" spans="1:3" x14ac:dyDescent="0.3">
      <c r="A140">
        <v>25723</v>
      </c>
      <c r="B140" t="s">
        <v>2372</v>
      </c>
      <c r="C140" t="s">
        <v>4872</v>
      </c>
    </row>
    <row r="141" spans="1:3" x14ac:dyDescent="0.3">
      <c r="A141">
        <v>25724</v>
      </c>
      <c r="B141" t="s">
        <v>2372</v>
      </c>
      <c r="C141" t="s">
        <v>4872</v>
      </c>
    </row>
    <row r="142" spans="1:3" x14ac:dyDescent="0.3">
      <c r="A142">
        <v>25726</v>
      </c>
      <c r="B142" t="s">
        <v>2372</v>
      </c>
      <c r="C142" t="s">
        <v>4872</v>
      </c>
    </row>
    <row r="143" spans="1:3" x14ac:dyDescent="0.3">
      <c r="A143">
        <v>25728</v>
      </c>
      <c r="B143" t="s">
        <v>2372</v>
      </c>
      <c r="C143" t="s">
        <v>4872</v>
      </c>
    </row>
    <row r="144" spans="1:3" x14ac:dyDescent="0.3">
      <c r="A144">
        <v>25741</v>
      </c>
      <c r="B144" t="s">
        <v>2372</v>
      </c>
      <c r="C144" t="s">
        <v>4872</v>
      </c>
    </row>
    <row r="145" spans="1:3" x14ac:dyDescent="0.3">
      <c r="A145">
        <v>25742</v>
      </c>
      <c r="B145" t="s">
        <v>2372</v>
      </c>
      <c r="C145" t="s">
        <v>4872</v>
      </c>
    </row>
    <row r="146" spans="1:3" x14ac:dyDescent="0.3">
      <c r="A146">
        <v>25744</v>
      </c>
      <c r="B146" t="s">
        <v>2372</v>
      </c>
      <c r="C146" t="s">
        <v>4872</v>
      </c>
    </row>
    <row r="147" spans="1:3" x14ac:dyDescent="0.3">
      <c r="A147">
        <v>25751</v>
      </c>
      <c r="B147" t="s">
        <v>2372</v>
      </c>
      <c r="C147" t="s">
        <v>4872</v>
      </c>
    </row>
    <row r="148" spans="1:3" x14ac:dyDescent="0.3">
      <c r="A148">
        <v>25753</v>
      </c>
      <c r="B148" t="s">
        <v>2372</v>
      </c>
      <c r="C148" t="s">
        <v>4872</v>
      </c>
    </row>
    <row r="149" spans="1:3" x14ac:dyDescent="0.3">
      <c r="A149">
        <v>25754</v>
      </c>
      <c r="B149" t="s">
        <v>2372</v>
      </c>
      <c r="C149" t="s">
        <v>4872</v>
      </c>
    </row>
    <row r="150" spans="1:3" x14ac:dyDescent="0.3">
      <c r="A150">
        <v>25755</v>
      </c>
      <c r="B150" t="s">
        <v>2372</v>
      </c>
      <c r="C150" t="s">
        <v>4872</v>
      </c>
    </row>
    <row r="151" spans="1:3" x14ac:dyDescent="0.3">
      <c r="A151">
        <v>25756</v>
      </c>
      <c r="B151" t="s">
        <v>2372</v>
      </c>
      <c r="C151" t="s">
        <v>4872</v>
      </c>
    </row>
    <row r="152" spans="1:3" x14ac:dyDescent="0.3">
      <c r="A152">
        <v>25762</v>
      </c>
      <c r="B152" t="s">
        <v>2372</v>
      </c>
      <c r="C152" t="s">
        <v>4872</v>
      </c>
    </row>
    <row r="153" spans="1:3" x14ac:dyDescent="0.3">
      <c r="A153">
        <v>25763</v>
      </c>
      <c r="B153" t="s">
        <v>2372</v>
      </c>
      <c r="C153" t="s">
        <v>4872</v>
      </c>
    </row>
    <row r="154" spans="1:3" x14ac:dyDescent="0.3">
      <c r="A154">
        <v>25764</v>
      </c>
      <c r="B154" t="s">
        <v>2372</v>
      </c>
      <c r="C154" t="s">
        <v>4872</v>
      </c>
    </row>
    <row r="155" spans="1:3" x14ac:dyDescent="0.3">
      <c r="A155">
        <v>25765</v>
      </c>
      <c r="B155" t="s">
        <v>2372</v>
      </c>
      <c r="C155" t="s">
        <v>4872</v>
      </c>
    </row>
    <row r="156" spans="1:3" x14ac:dyDescent="0.3">
      <c r="A156">
        <v>25766</v>
      </c>
      <c r="B156" t="s">
        <v>2372</v>
      </c>
      <c r="C156" t="s">
        <v>4872</v>
      </c>
    </row>
    <row r="157" spans="1:3" x14ac:dyDescent="0.3">
      <c r="A157">
        <v>25768</v>
      </c>
      <c r="B157" t="s">
        <v>2372</v>
      </c>
      <c r="C157" t="s">
        <v>4872</v>
      </c>
    </row>
    <row r="158" spans="1:3" x14ac:dyDescent="0.3">
      <c r="A158">
        <v>25771</v>
      </c>
      <c r="B158" t="s">
        <v>2372</v>
      </c>
      <c r="C158" t="s">
        <v>4872</v>
      </c>
    </row>
    <row r="159" spans="1:3" x14ac:dyDescent="0.3">
      <c r="A159">
        <v>25786</v>
      </c>
      <c r="B159" t="s">
        <v>2372</v>
      </c>
      <c r="C159" t="s">
        <v>4872</v>
      </c>
    </row>
    <row r="160" spans="1:3" x14ac:dyDescent="0.3">
      <c r="A160">
        <v>25787</v>
      </c>
      <c r="B160" t="s">
        <v>2372</v>
      </c>
      <c r="C160" t="s">
        <v>4872</v>
      </c>
    </row>
    <row r="161" spans="1:3" x14ac:dyDescent="0.3">
      <c r="A161">
        <v>25788</v>
      </c>
      <c r="B161" t="s">
        <v>2372</v>
      </c>
      <c r="C161" t="s">
        <v>4872</v>
      </c>
    </row>
    <row r="162" spans="1:3" x14ac:dyDescent="0.3">
      <c r="A162">
        <v>25789</v>
      </c>
      <c r="B162" t="s">
        <v>2372</v>
      </c>
      <c r="C162" t="s">
        <v>4872</v>
      </c>
    </row>
    <row r="163" spans="1:3" x14ac:dyDescent="0.3">
      <c r="A163">
        <v>25790</v>
      </c>
      <c r="B163" t="s">
        <v>2372</v>
      </c>
      <c r="C163" t="s">
        <v>4872</v>
      </c>
    </row>
    <row r="164" spans="1:3" x14ac:dyDescent="0.3">
      <c r="A164">
        <v>25791</v>
      </c>
      <c r="B164" t="s">
        <v>760</v>
      </c>
      <c r="C164" t="s">
        <v>4872</v>
      </c>
    </row>
    <row r="165" spans="1:3" x14ac:dyDescent="0.3">
      <c r="A165">
        <v>25792</v>
      </c>
      <c r="B165" t="s">
        <v>760</v>
      </c>
      <c r="C165" t="s">
        <v>4872</v>
      </c>
    </row>
    <row r="166" spans="1:3" x14ac:dyDescent="0.3">
      <c r="A166">
        <v>25801</v>
      </c>
      <c r="B166" t="s">
        <v>2372</v>
      </c>
      <c r="C166" t="s">
        <v>4872</v>
      </c>
    </row>
    <row r="167" spans="1:3" x14ac:dyDescent="0.3">
      <c r="A167">
        <v>25901</v>
      </c>
      <c r="B167" t="s">
        <v>2372</v>
      </c>
      <c r="C167" t="s">
        <v>4872</v>
      </c>
    </row>
    <row r="168" spans="1:3" x14ac:dyDescent="0.3">
      <c r="A168">
        <v>26101</v>
      </c>
      <c r="B168" t="s">
        <v>760</v>
      </c>
      <c r="C168" t="s">
        <v>4872</v>
      </c>
    </row>
    <row r="169" spans="1:3" x14ac:dyDescent="0.3">
      <c r="A169">
        <v>26202</v>
      </c>
      <c r="B169" t="s">
        <v>760</v>
      </c>
      <c r="C169" t="s">
        <v>4872</v>
      </c>
    </row>
    <row r="170" spans="1:3" x14ac:dyDescent="0.3">
      <c r="A170">
        <v>26203</v>
      </c>
      <c r="B170" t="s">
        <v>760</v>
      </c>
      <c r="C170" t="s">
        <v>4872</v>
      </c>
    </row>
    <row r="171" spans="1:3" x14ac:dyDescent="0.3">
      <c r="A171">
        <v>26204</v>
      </c>
      <c r="B171" t="s">
        <v>760</v>
      </c>
      <c r="C171" t="s">
        <v>4872</v>
      </c>
    </row>
    <row r="172" spans="1:3" x14ac:dyDescent="0.3">
      <c r="A172">
        <v>26205</v>
      </c>
      <c r="B172" t="s">
        <v>4873</v>
      </c>
      <c r="C172" t="s">
        <v>4872</v>
      </c>
    </row>
    <row r="173" spans="1:3" x14ac:dyDescent="0.3">
      <c r="A173">
        <v>26206</v>
      </c>
      <c r="B173" t="s">
        <v>760</v>
      </c>
      <c r="C173" t="s">
        <v>4872</v>
      </c>
    </row>
    <row r="174" spans="1:3" x14ac:dyDescent="0.3">
      <c r="A174">
        <v>26211</v>
      </c>
      <c r="B174" t="s">
        <v>760</v>
      </c>
      <c r="C174" t="s">
        <v>4872</v>
      </c>
    </row>
    <row r="175" spans="1:3" x14ac:dyDescent="0.3">
      <c r="A175">
        <v>26212</v>
      </c>
      <c r="B175" t="s">
        <v>760</v>
      </c>
      <c r="C175" t="s">
        <v>4872</v>
      </c>
    </row>
    <row r="176" spans="1:3" x14ac:dyDescent="0.3">
      <c r="A176">
        <v>26213</v>
      </c>
      <c r="B176" t="s">
        <v>760</v>
      </c>
      <c r="C176" t="s">
        <v>4872</v>
      </c>
    </row>
    <row r="177" spans="1:3" x14ac:dyDescent="0.3">
      <c r="A177">
        <v>26214</v>
      </c>
      <c r="B177" t="s">
        <v>760</v>
      </c>
      <c r="C177" t="s">
        <v>4872</v>
      </c>
    </row>
    <row r="178" spans="1:3" x14ac:dyDescent="0.3">
      <c r="A178">
        <v>26215</v>
      </c>
      <c r="B178" t="s">
        <v>760</v>
      </c>
      <c r="C178" t="s">
        <v>4872</v>
      </c>
    </row>
    <row r="179" spans="1:3" x14ac:dyDescent="0.3">
      <c r="A179">
        <v>26221</v>
      </c>
      <c r="B179" t="s">
        <v>760</v>
      </c>
      <c r="C179" t="s">
        <v>4872</v>
      </c>
    </row>
    <row r="180" spans="1:3" x14ac:dyDescent="0.3">
      <c r="A180">
        <v>26222</v>
      </c>
      <c r="B180" t="s">
        <v>760</v>
      </c>
      <c r="C180" t="s">
        <v>4872</v>
      </c>
    </row>
    <row r="181" spans="1:3" x14ac:dyDescent="0.3">
      <c r="A181">
        <v>26223</v>
      </c>
      <c r="B181" t="s">
        <v>760</v>
      </c>
      <c r="C181" t="s">
        <v>4872</v>
      </c>
    </row>
    <row r="182" spans="1:3" x14ac:dyDescent="0.3">
      <c r="A182">
        <v>26225</v>
      </c>
      <c r="B182" t="s">
        <v>760</v>
      </c>
      <c r="C182" t="s">
        <v>4872</v>
      </c>
    </row>
    <row r="183" spans="1:3" x14ac:dyDescent="0.3">
      <c r="A183">
        <v>26231</v>
      </c>
      <c r="B183" t="s">
        <v>760</v>
      </c>
      <c r="C183" t="s">
        <v>4872</v>
      </c>
    </row>
    <row r="184" spans="1:3" x14ac:dyDescent="0.3">
      <c r="A184">
        <v>26232</v>
      </c>
      <c r="B184" t="s">
        <v>760</v>
      </c>
      <c r="C184" t="s">
        <v>4872</v>
      </c>
    </row>
    <row r="185" spans="1:3" x14ac:dyDescent="0.3">
      <c r="A185">
        <v>26241</v>
      </c>
      <c r="B185" t="s">
        <v>760</v>
      </c>
      <c r="C185" t="s">
        <v>4872</v>
      </c>
    </row>
    <row r="186" spans="1:3" x14ac:dyDescent="0.3">
      <c r="A186">
        <v>26242</v>
      </c>
      <c r="B186" t="s">
        <v>2159</v>
      </c>
      <c r="C186" t="s">
        <v>4874</v>
      </c>
    </row>
    <row r="187" spans="1:3" x14ac:dyDescent="0.3">
      <c r="A187">
        <v>26243</v>
      </c>
      <c r="B187" t="s">
        <v>760</v>
      </c>
      <c r="C187" t="s">
        <v>4872</v>
      </c>
    </row>
    <row r="188" spans="1:3" x14ac:dyDescent="0.3">
      <c r="A188">
        <v>26244</v>
      </c>
      <c r="B188" t="s">
        <v>760</v>
      </c>
      <c r="C188" t="s">
        <v>4872</v>
      </c>
    </row>
    <row r="189" spans="1:3" x14ac:dyDescent="0.3">
      <c r="A189">
        <v>26251</v>
      </c>
      <c r="B189" t="s">
        <v>760</v>
      </c>
      <c r="C189" t="s">
        <v>4872</v>
      </c>
    </row>
    <row r="190" spans="1:3" x14ac:dyDescent="0.3">
      <c r="A190">
        <v>26252</v>
      </c>
      <c r="B190" t="s">
        <v>760</v>
      </c>
      <c r="C190" t="s">
        <v>4872</v>
      </c>
    </row>
    <row r="191" spans="1:3" x14ac:dyDescent="0.3">
      <c r="A191">
        <v>26255</v>
      </c>
      <c r="B191" t="s">
        <v>760</v>
      </c>
      <c r="C191" t="s">
        <v>4872</v>
      </c>
    </row>
    <row r="192" spans="1:3" x14ac:dyDescent="0.3">
      <c r="A192">
        <v>26256</v>
      </c>
      <c r="B192" t="s">
        <v>760</v>
      </c>
      <c r="C192" t="s">
        <v>4872</v>
      </c>
    </row>
    <row r="193" spans="1:3" x14ac:dyDescent="0.3">
      <c r="A193">
        <v>26261</v>
      </c>
      <c r="B193" t="s">
        <v>760</v>
      </c>
      <c r="C193" t="s">
        <v>4872</v>
      </c>
    </row>
    <row r="194" spans="1:3" x14ac:dyDescent="0.3">
      <c r="A194">
        <v>26262</v>
      </c>
      <c r="B194" t="s">
        <v>760</v>
      </c>
      <c r="C194" t="s">
        <v>4872</v>
      </c>
    </row>
    <row r="195" spans="1:3" x14ac:dyDescent="0.3">
      <c r="A195">
        <v>26263</v>
      </c>
      <c r="B195" t="s">
        <v>760</v>
      </c>
      <c r="C195" t="s">
        <v>4872</v>
      </c>
    </row>
    <row r="196" spans="1:3" x14ac:dyDescent="0.3">
      <c r="A196">
        <v>26272</v>
      </c>
      <c r="B196" t="s">
        <v>760</v>
      </c>
      <c r="C196" t="s">
        <v>4872</v>
      </c>
    </row>
    <row r="197" spans="1:3" x14ac:dyDescent="0.3">
      <c r="A197">
        <v>26281</v>
      </c>
      <c r="B197" t="s">
        <v>760</v>
      </c>
      <c r="C197" t="s">
        <v>4872</v>
      </c>
    </row>
    <row r="198" spans="1:3" x14ac:dyDescent="0.3">
      <c r="A198">
        <v>26284</v>
      </c>
      <c r="B198" t="s">
        <v>760</v>
      </c>
      <c r="C198" t="s">
        <v>4872</v>
      </c>
    </row>
    <row r="199" spans="1:3" x14ac:dyDescent="0.3">
      <c r="A199">
        <v>26285</v>
      </c>
      <c r="B199" t="s">
        <v>760</v>
      </c>
      <c r="C199" t="s">
        <v>4872</v>
      </c>
    </row>
    <row r="200" spans="1:3" x14ac:dyDescent="0.3">
      <c r="A200">
        <v>26291</v>
      </c>
      <c r="B200" t="s">
        <v>760</v>
      </c>
      <c r="C200" t="s">
        <v>4872</v>
      </c>
    </row>
    <row r="201" spans="1:3" x14ac:dyDescent="0.3">
      <c r="A201">
        <v>26293</v>
      </c>
      <c r="B201" t="s">
        <v>760</v>
      </c>
      <c r="C201" t="s">
        <v>4872</v>
      </c>
    </row>
    <row r="202" spans="1:3" x14ac:dyDescent="0.3">
      <c r="A202">
        <v>26301</v>
      </c>
      <c r="B202" t="s">
        <v>760</v>
      </c>
      <c r="C202" t="s">
        <v>4872</v>
      </c>
    </row>
    <row r="203" spans="1:3" x14ac:dyDescent="0.3">
      <c r="A203">
        <v>26401</v>
      </c>
      <c r="B203" t="s">
        <v>760</v>
      </c>
      <c r="C203" t="s">
        <v>4872</v>
      </c>
    </row>
    <row r="204" spans="1:3" x14ac:dyDescent="0.3">
      <c r="A204">
        <v>26601</v>
      </c>
      <c r="B204" t="s">
        <v>4240</v>
      </c>
      <c r="C204" t="s">
        <v>4872</v>
      </c>
    </row>
    <row r="205" spans="1:3" x14ac:dyDescent="0.3">
      <c r="A205">
        <v>26701</v>
      </c>
      <c r="B205" t="s">
        <v>4240</v>
      </c>
      <c r="C205" t="s">
        <v>4872</v>
      </c>
    </row>
    <row r="206" spans="1:3" x14ac:dyDescent="0.3">
      <c r="A206">
        <v>26703</v>
      </c>
      <c r="B206" t="s">
        <v>4240</v>
      </c>
      <c r="C206" t="s">
        <v>4872</v>
      </c>
    </row>
    <row r="207" spans="1:3" x14ac:dyDescent="0.3">
      <c r="A207">
        <v>26705</v>
      </c>
      <c r="B207" t="s">
        <v>4240</v>
      </c>
      <c r="C207" t="s">
        <v>4872</v>
      </c>
    </row>
    <row r="208" spans="1:3" x14ac:dyDescent="0.3">
      <c r="A208">
        <v>26706</v>
      </c>
      <c r="B208" t="s">
        <v>4240</v>
      </c>
      <c r="C208" t="s">
        <v>4872</v>
      </c>
    </row>
    <row r="209" spans="1:3" x14ac:dyDescent="0.3">
      <c r="A209">
        <v>26707</v>
      </c>
      <c r="B209" t="s">
        <v>4240</v>
      </c>
      <c r="C209" t="s">
        <v>4872</v>
      </c>
    </row>
    <row r="210" spans="1:3" x14ac:dyDescent="0.3">
      <c r="A210">
        <v>26711</v>
      </c>
      <c r="B210" t="s">
        <v>4240</v>
      </c>
      <c r="C210" t="s">
        <v>4872</v>
      </c>
    </row>
    <row r="211" spans="1:3" x14ac:dyDescent="0.3">
      <c r="A211">
        <v>26712</v>
      </c>
      <c r="B211" t="s">
        <v>4240</v>
      </c>
      <c r="C211" t="s">
        <v>4872</v>
      </c>
    </row>
    <row r="212" spans="1:3" x14ac:dyDescent="0.3">
      <c r="A212">
        <v>26716</v>
      </c>
      <c r="B212" t="s">
        <v>4240</v>
      </c>
      <c r="C212" t="s">
        <v>4872</v>
      </c>
    </row>
    <row r="213" spans="1:3" x14ac:dyDescent="0.3">
      <c r="A213">
        <v>26717</v>
      </c>
      <c r="B213" t="s">
        <v>4240</v>
      </c>
      <c r="C213" t="s">
        <v>4872</v>
      </c>
    </row>
    <row r="214" spans="1:3" x14ac:dyDescent="0.3">
      <c r="A214">
        <v>26718</v>
      </c>
      <c r="B214" t="s">
        <v>4240</v>
      </c>
      <c r="C214" t="s">
        <v>4872</v>
      </c>
    </row>
    <row r="215" spans="1:3" x14ac:dyDescent="0.3">
      <c r="A215">
        <v>26721</v>
      </c>
      <c r="B215" t="s">
        <v>4240</v>
      </c>
      <c r="C215" t="s">
        <v>4872</v>
      </c>
    </row>
    <row r="216" spans="1:3" x14ac:dyDescent="0.3">
      <c r="A216">
        <v>26722</v>
      </c>
      <c r="B216" t="s">
        <v>4240</v>
      </c>
      <c r="C216" t="s">
        <v>4872</v>
      </c>
    </row>
    <row r="217" spans="1:3" x14ac:dyDescent="0.3">
      <c r="A217">
        <v>26723</v>
      </c>
      <c r="B217" t="s">
        <v>4240</v>
      </c>
      <c r="C217" t="s">
        <v>4872</v>
      </c>
    </row>
    <row r="218" spans="1:3" x14ac:dyDescent="0.3">
      <c r="A218">
        <v>26724</v>
      </c>
      <c r="B218" t="s">
        <v>4240</v>
      </c>
      <c r="C218" t="s">
        <v>4872</v>
      </c>
    </row>
    <row r="219" spans="1:3" x14ac:dyDescent="0.3">
      <c r="A219">
        <v>26725</v>
      </c>
      <c r="B219" t="s">
        <v>4240</v>
      </c>
      <c r="C219" t="s">
        <v>4872</v>
      </c>
    </row>
    <row r="220" spans="1:3" x14ac:dyDescent="0.3">
      <c r="A220">
        <v>26726</v>
      </c>
      <c r="B220" t="s">
        <v>4240</v>
      </c>
      <c r="C220" t="s">
        <v>4872</v>
      </c>
    </row>
    <row r="221" spans="1:3" x14ac:dyDescent="0.3">
      <c r="A221">
        <v>26727</v>
      </c>
      <c r="B221" t="s">
        <v>4240</v>
      </c>
      <c r="C221" t="s">
        <v>4872</v>
      </c>
    </row>
    <row r="222" spans="1:3" x14ac:dyDescent="0.3">
      <c r="A222">
        <v>26728</v>
      </c>
      <c r="B222" t="s">
        <v>4240</v>
      </c>
      <c r="C222" t="s">
        <v>4872</v>
      </c>
    </row>
    <row r="223" spans="1:3" x14ac:dyDescent="0.3">
      <c r="A223">
        <v>26729</v>
      </c>
      <c r="B223" t="s">
        <v>4240</v>
      </c>
      <c r="C223" t="s">
        <v>4872</v>
      </c>
    </row>
    <row r="224" spans="1:3" x14ac:dyDescent="0.3">
      <c r="A224">
        <v>26741</v>
      </c>
      <c r="B224" t="s">
        <v>4240</v>
      </c>
      <c r="C224" t="s">
        <v>4872</v>
      </c>
    </row>
    <row r="225" spans="1:3" x14ac:dyDescent="0.3">
      <c r="A225">
        <v>26742</v>
      </c>
      <c r="B225" t="s">
        <v>4240</v>
      </c>
      <c r="C225" t="s">
        <v>4872</v>
      </c>
    </row>
    <row r="226" spans="1:3" x14ac:dyDescent="0.3">
      <c r="A226">
        <v>26743</v>
      </c>
      <c r="B226" t="s">
        <v>4240</v>
      </c>
      <c r="C226" t="s">
        <v>4872</v>
      </c>
    </row>
    <row r="227" spans="1:3" x14ac:dyDescent="0.3">
      <c r="A227">
        <v>26751</v>
      </c>
      <c r="B227" t="s">
        <v>4240</v>
      </c>
      <c r="C227" t="s">
        <v>4872</v>
      </c>
    </row>
    <row r="228" spans="1:3" x14ac:dyDescent="0.3">
      <c r="A228">
        <v>26753</v>
      </c>
      <c r="B228" t="s">
        <v>4240</v>
      </c>
      <c r="C228" t="s">
        <v>4872</v>
      </c>
    </row>
    <row r="229" spans="1:3" x14ac:dyDescent="0.3">
      <c r="A229">
        <v>26754</v>
      </c>
      <c r="B229" t="s">
        <v>4240</v>
      </c>
      <c r="C229" t="s">
        <v>4872</v>
      </c>
    </row>
    <row r="230" spans="1:3" x14ac:dyDescent="0.3">
      <c r="A230">
        <v>26761</v>
      </c>
      <c r="B230" t="s">
        <v>4240</v>
      </c>
      <c r="C230" t="s">
        <v>4872</v>
      </c>
    </row>
    <row r="231" spans="1:3" x14ac:dyDescent="0.3">
      <c r="A231">
        <v>26762</v>
      </c>
      <c r="B231" t="s">
        <v>760</v>
      </c>
      <c r="C231" t="s">
        <v>4872</v>
      </c>
    </row>
    <row r="232" spans="1:3" x14ac:dyDescent="0.3">
      <c r="A232">
        <v>26763</v>
      </c>
      <c r="B232" t="s">
        <v>760</v>
      </c>
      <c r="C232" t="s">
        <v>4872</v>
      </c>
    </row>
    <row r="233" spans="1:3" x14ac:dyDescent="0.3">
      <c r="A233">
        <v>26764</v>
      </c>
      <c r="B233" t="s">
        <v>4240</v>
      </c>
      <c r="C233" t="s">
        <v>4872</v>
      </c>
    </row>
    <row r="234" spans="1:3" x14ac:dyDescent="0.3">
      <c r="A234">
        <v>26801</v>
      </c>
      <c r="B234" t="s">
        <v>4240</v>
      </c>
      <c r="C234" t="s">
        <v>4872</v>
      </c>
    </row>
    <row r="235" spans="1:3" x14ac:dyDescent="0.3">
      <c r="A235">
        <v>26901</v>
      </c>
      <c r="B235" t="s">
        <v>1789</v>
      </c>
      <c r="C235" t="s">
        <v>4872</v>
      </c>
    </row>
    <row r="236" spans="1:3" x14ac:dyDescent="0.3">
      <c r="A236">
        <v>27001</v>
      </c>
      <c r="B236" t="s">
        <v>1789</v>
      </c>
      <c r="C236" t="s">
        <v>4872</v>
      </c>
    </row>
    <row r="237" spans="1:3" x14ac:dyDescent="0.3">
      <c r="A237">
        <v>27002</v>
      </c>
      <c r="B237" t="s">
        <v>1789</v>
      </c>
      <c r="C237" t="s">
        <v>4872</v>
      </c>
    </row>
    <row r="238" spans="1:3" x14ac:dyDescent="0.3">
      <c r="A238">
        <v>27004</v>
      </c>
      <c r="B238" t="s">
        <v>1789</v>
      </c>
      <c r="C238" t="s">
        <v>4872</v>
      </c>
    </row>
    <row r="239" spans="1:3" x14ac:dyDescent="0.3">
      <c r="A239">
        <v>27006</v>
      </c>
      <c r="B239" t="s">
        <v>1789</v>
      </c>
      <c r="C239" t="s">
        <v>4872</v>
      </c>
    </row>
    <row r="240" spans="1:3" x14ac:dyDescent="0.3">
      <c r="A240">
        <v>27007</v>
      </c>
      <c r="B240" t="s">
        <v>1789</v>
      </c>
      <c r="C240" t="s">
        <v>4872</v>
      </c>
    </row>
    <row r="241" spans="1:3" x14ac:dyDescent="0.3">
      <c r="A241">
        <v>27008</v>
      </c>
      <c r="B241" t="s">
        <v>1789</v>
      </c>
      <c r="C241" t="s">
        <v>4872</v>
      </c>
    </row>
    <row r="242" spans="1:3" x14ac:dyDescent="0.3">
      <c r="A242">
        <v>27009</v>
      </c>
      <c r="B242" t="s">
        <v>1789</v>
      </c>
      <c r="C242" t="s">
        <v>4872</v>
      </c>
    </row>
    <row r="243" spans="1:3" x14ac:dyDescent="0.3">
      <c r="A243">
        <v>27021</v>
      </c>
      <c r="B243" t="s">
        <v>1789</v>
      </c>
      <c r="C243" t="s">
        <v>4872</v>
      </c>
    </row>
    <row r="244" spans="1:3" x14ac:dyDescent="0.3">
      <c r="A244">
        <v>27023</v>
      </c>
      <c r="B244" t="s">
        <v>1789</v>
      </c>
      <c r="C244" t="s">
        <v>4872</v>
      </c>
    </row>
    <row r="245" spans="1:3" x14ac:dyDescent="0.3">
      <c r="A245">
        <v>27024</v>
      </c>
      <c r="B245" t="s">
        <v>1789</v>
      </c>
      <c r="C245" t="s">
        <v>4872</v>
      </c>
    </row>
    <row r="246" spans="1:3" x14ac:dyDescent="0.3">
      <c r="A246">
        <v>27031</v>
      </c>
      <c r="B246" t="s">
        <v>1789</v>
      </c>
      <c r="C246" t="s">
        <v>4872</v>
      </c>
    </row>
    <row r="247" spans="1:3" x14ac:dyDescent="0.3">
      <c r="A247">
        <v>27032</v>
      </c>
      <c r="B247" t="s">
        <v>1789</v>
      </c>
      <c r="C247" t="s">
        <v>4872</v>
      </c>
    </row>
    <row r="248" spans="1:3" x14ac:dyDescent="0.3">
      <c r="A248">
        <v>27033</v>
      </c>
      <c r="B248" t="s">
        <v>1789</v>
      </c>
      <c r="C248" t="s">
        <v>4872</v>
      </c>
    </row>
    <row r="249" spans="1:3" x14ac:dyDescent="0.3">
      <c r="A249">
        <v>27034</v>
      </c>
      <c r="B249" t="s">
        <v>1789</v>
      </c>
      <c r="C249" t="s">
        <v>4872</v>
      </c>
    </row>
    <row r="250" spans="1:3" x14ac:dyDescent="0.3">
      <c r="A250">
        <v>27035</v>
      </c>
      <c r="B250" t="s">
        <v>1789</v>
      </c>
      <c r="C250" t="s">
        <v>4872</v>
      </c>
    </row>
    <row r="251" spans="1:3" x14ac:dyDescent="0.3">
      <c r="A251">
        <v>27036</v>
      </c>
      <c r="B251" t="s">
        <v>1789</v>
      </c>
      <c r="C251" t="s">
        <v>4872</v>
      </c>
    </row>
    <row r="252" spans="1:3" x14ac:dyDescent="0.3">
      <c r="A252">
        <v>27041</v>
      </c>
      <c r="B252" t="s">
        <v>1789</v>
      </c>
      <c r="C252" t="s">
        <v>4872</v>
      </c>
    </row>
    <row r="253" spans="1:3" x14ac:dyDescent="0.3">
      <c r="A253">
        <v>27042</v>
      </c>
      <c r="B253" t="s">
        <v>1789</v>
      </c>
      <c r="C253" t="s">
        <v>4872</v>
      </c>
    </row>
    <row r="254" spans="1:3" x14ac:dyDescent="0.3">
      <c r="A254">
        <v>27051</v>
      </c>
      <c r="B254" t="s">
        <v>1789</v>
      </c>
      <c r="C254" t="s">
        <v>4872</v>
      </c>
    </row>
    <row r="255" spans="1:3" x14ac:dyDescent="0.3">
      <c r="A255">
        <v>27052</v>
      </c>
      <c r="B255" t="s">
        <v>1789</v>
      </c>
      <c r="C255" t="s">
        <v>4872</v>
      </c>
    </row>
    <row r="256" spans="1:3" x14ac:dyDescent="0.3">
      <c r="A256">
        <v>27053</v>
      </c>
      <c r="B256" t="s">
        <v>1789</v>
      </c>
      <c r="C256" t="s">
        <v>4872</v>
      </c>
    </row>
    <row r="257" spans="1:3" x14ac:dyDescent="0.3">
      <c r="A257">
        <v>27054</v>
      </c>
      <c r="B257" t="s">
        <v>1789</v>
      </c>
      <c r="C257" t="s">
        <v>4872</v>
      </c>
    </row>
    <row r="258" spans="1:3" x14ac:dyDescent="0.3">
      <c r="A258">
        <v>27055</v>
      </c>
      <c r="B258" t="s">
        <v>1789</v>
      </c>
      <c r="C258" t="s">
        <v>4872</v>
      </c>
    </row>
    <row r="259" spans="1:3" x14ac:dyDescent="0.3">
      <c r="A259">
        <v>27061</v>
      </c>
      <c r="B259" t="s">
        <v>916</v>
      </c>
      <c r="C259" t="s">
        <v>4872</v>
      </c>
    </row>
    <row r="260" spans="1:3" x14ac:dyDescent="0.3">
      <c r="A260">
        <v>27062</v>
      </c>
      <c r="B260" t="s">
        <v>1789</v>
      </c>
      <c r="C260" t="s">
        <v>4872</v>
      </c>
    </row>
    <row r="261" spans="1:3" x14ac:dyDescent="0.3">
      <c r="A261">
        <v>27064</v>
      </c>
      <c r="B261" t="s">
        <v>1789</v>
      </c>
      <c r="C261" t="s">
        <v>4872</v>
      </c>
    </row>
    <row r="262" spans="1:3" x14ac:dyDescent="0.3">
      <c r="A262">
        <v>27065</v>
      </c>
      <c r="B262" t="s">
        <v>1789</v>
      </c>
      <c r="C262" t="s">
        <v>4872</v>
      </c>
    </row>
    <row r="263" spans="1:3" x14ac:dyDescent="0.3">
      <c r="A263">
        <v>27101</v>
      </c>
      <c r="B263" t="s">
        <v>916</v>
      </c>
      <c r="C263" t="s">
        <v>4872</v>
      </c>
    </row>
    <row r="264" spans="1:3" x14ac:dyDescent="0.3">
      <c r="A264">
        <v>27201</v>
      </c>
      <c r="B264" t="s">
        <v>916</v>
      </c>
      <c r="C264" t="s">
        <v>4872</v>
      </c>
    </row>
    <row r="265" spans="1:3" x14ac:dyDescent="0.3">
      <c r="A265">
        <v>27203</v>
      </c>
      <c r="B265" t="s">
        <v>916</v>
      </c>
      <c r="C265" t="s">
        <v>4872</v>
      </c>
    </row>
    <row r="266" spans="1:3" x14ac:dyDescent="0.3">
      <c r="A266">
        <v>27204</v>
      </c>
      <c r="B266" t="s">
        <v>916</v>
      </c>
      <c r="C266" t="s">
        <v>4872</v>
      </c>
    </row>
    <row r="267" spans="1:3" x14ac:dyDescent="0.3">
      <c r="A267">
        <v>27301</v>
      </c>
      <c r="B267" t="s">
        <v>916</v>
      </c>
      <c r="C267" t="s">
        <v>4872</v>
      </c>
    </row>
    <row r="268" spans="1:3" x14ac:dyDescent="0.3">
      <c r="A268">
        <v>27302</v>
      </c>
      <c r="B268" t="s">
        <v>916</v>
      </c>
      <c r="C268" t="s">
        <v>4872</v>
      </c>
    </row>
    <row r="269" spans="1:3" x14ac:dyDescent="0.3">
      <c r="A269">
        <v>27303</v>
      </c>
      <c r="B269" t="s">
        <v>916</v>
      </c>
      <c r="C269" t="s">
        <v>4872</v>
      </c>
    </row>
    <row r="270" spans="1:3" x14ac:dyDescent="0.3">
      <c r="A270">
        <v>27304</v>
      </c>
      <c r="B270" t="s">
        <v>916</v>
      </c>
      <c r="C270" t="s">
        <v>4872</v>
      </c>
    </row>
    <row r="271" spans="1:3" x14ac:dyDescent="0.3">
      <c r="A271">
        <v>27305</v>
      </c>
      <c r="B271" t="s">
        <v>916</v>
      </c>
      <c r="C271" t="s">
        <v>4872</v>
      </c>
    </row>
    <row r="272" spans="1:3" x14ac:dyDescent="0.3">
      <c r="A272">
        <v>27306</v>
      </c>
      <c r="B272" t="s">
        <v>916</v>
      </c>
      <c r="C272" t="s">
        <v>4872</v>
      </c>
    </row>
    <row r="273" spans="1:3" x14ac:dyDescent="0.3">
      <c r="A273">
        <v>27307</v>
      </c>
      <c r="B273" t="s">
        <v>916</v>
      </c>
      <c r="C273" t="s">
        <v>4872</v>
      </c>
    </row>
    <row r="274" spans="1:3" x14ac:dyDescent="0.3">
      <c r="A274">
        <v>27308</v>
      </c>
      <c r="B274" t="s">
        <v>916</v>
      </c>
      <c r="C274" t="s">
        <v>4872</v>
      </c>
    </row>
    <row r="275" spans="1:3" x14ac:dyDescent="0.3">
      <c r="A275">
        <v>27309</v>
      </c>
      <c r="B275" t="s">
        <v>916</v>
      </c>
      <c r="C275" t="s">
        <v>4872</v>
      </c>
    </row>
    <row r="276" spans="1:3" x14ac:dyDescent="0.3">
      <c r="A276">
        <v>27321</v>
      </c>
      <c r="B276" t="s">
        <v>916</v>
      </c>
      <c r="C276" t="s">
        <v>4872</v>
      </c>
    </row>
    <row r="277" spans="1:3" x14ac:dyDescent="0.3">
      <c r="A277">
        <v>27322</v>
      </c>
      <c r="B277" t="s">
        <v>916</v>
      </c>
      <c r="C277" t="s">
        <v>4872</v>
      </c>
    </row>
    <row r="278" spans="1:3" x14ac:dyDescent="0.3">
      <c r="A278">
        <v>27323</v>
      </c>
      <c r="B278" t="s">
        <v>916</v>
      </c>
      <c r="C278" t="s">
        <v>4872</v>
      </c>
    </row>
    <row r="279" spans="1:3" x14ac:dyDescent="0.3">
      <c r="A279">
        <v>27324</v>
      </c>
      <c r="B279" t="s">
        <v>916</v>
      </c>
      <c r="C279" t="s">
        <v>4872</v>
      </c>
    </row>
    <row r="280" spans="1:3" x14ac:dyDescent="0.3">
      <c r="A280">
        <v>27325</v>
      </c>
      <c r="B280" t="s">
        <v>916</v>
      </c>
      <c r="C280" t="s">
        <v>4872</v>
      </c>
    </row>
    <row r="281" spans="1:3" x14ac:dyDescent="0.3">
      <c r="A281">
        <v>27326</v>
      </c>
      <c r="B281" t="s">
        <v>916</v>
      </c>
      <c r="C281" t="s">
        <v>4872</v>
      </c>
    </row>
    <row r="282" spans="1:3" x14ac:dyDescent="0.3">
      <c r="A282">
        <v>27327</v>
      </c>
      <c r="B282" t="s">
        <v>916</v>
      </c>
      <c r="C282" t="s">
        <v>4872</v>
      </c>
    </row>
    <row r="283" spans="1:3" x14ac:dyDescent="0.3">
      <c r="A283">
        <v>27328</v>
      </c>
      <c r="B283" t="s">
        <v>916</v>
      </c>
      <c r="C283" t="s">
        <v>4872</v>
      </c>
    </row>
    <row r="284" spans="1:3" x14ac:dyDescent="0.3">
      <c r="A284">
        <v>27329</v>
      </c>
      <c r="B284" t="s">
        <v>916</v>
      </c>
      <c r="C284" t="s">
        <v>4872</v>
      </c>
    </row>
    <row r="285" spans="1:3" x14ac:dyDescent="0.3">
      <c r="A285">
        <v>27341</v>
      </c>
      <c r="B285" t="s">
        <v>916</v>
      </c>
      <c r="C285" t="s">
        <v>4872</v>
      </c>
    </row>
    <row r="286" spans="1:3" x14ac:dyDescent="0.3">
      <c r="A286">
        <v>27342</v>
      </c>
      <c r="B286" t="s">
        <v>916</v>
      </c>
      <c r="C286" t="s">
        <v>4872</v>
      </c>
    </row>
    <row r="287" spans="1:3" x14ac:dyDescent="0.3">
      <c r="A287">
        <v>27343</v>
      </c>
      <c r="B287" t="s">
        <v>916</v>
      </c>
      <c r="C287" t="s">
        <v>4872</v>
      </c>
    </row>
    <row r="288" spans="1:3" x14ac:dyDescent="0.3">
      <c r="A288">
        <v>27345</v>
      </c>
      <c r="B288" t="s">
        <v>916</v>
      </c>
      <c r="C288" t="s">
        <v>4872</v>
      </c>
    </row>
    <row r="289" spans="1:3" x14ac:dyDescent="0.3">
      <c r="A289">
        <v>27351</v>
      </c>
      <c r="B289" t="s">
        <v>916</v>
      </c>
      <c r="C289" t="s">
        <v>4872</v>
      </c>
    </row>
    <row r="290" spans="1:3" x14ac:dyDescent="0.3">
      <c r="A290">
        <v>27353</v>
      </c>
      <c r="B290" t="s">
        <v>916</v>
      </c>
      <c r="C290" t="s">
        <v>4872</v>
      </c>
    </row>
    <row r="291" spans="1:3" x14ac:dyDescent="0.3">
      <c r="A291">
        <v>27354</v>
      </c>
      <c r="B291" t="s">
        <v>916</v>
      </c>
      <c r="C291" t="s">
        <v>4872</v>
      </c>
    </row>
    <row r="292" spans="1:3" x14ac:dyDescent="0.3">
      <c r="A292">
        <v>27361</v>
      </c>
      <c r="B292" t="s">
        <v>916</v>
      </c>
      <c r="C292" t="s">
        <v>4872</v>
      </c>
    </row>
    <row r="293" spans="1:3" x14ac:dyDescent="0.3">
      <c r="A293">
        <v>27362</v>
      </c>
      <c r="B293" t="s">
        <v>916</v>
      </c>
      <c r="C293" t="s">
        <v>4872</v>
      </c>
    </row>
    <row r="294" spans="1:3" x14ac:dyDescent="0.3">
      <c r="A294">
        <v>27363</v>
      </c>
      <c r="B294" t="s">
        <v>916</v>
      </c>
      <c r="C294" t="s">
        <v>4872</v>
      </c>
    </row>
    <row r="295" spans="1:3" x14ac:dyDescent="0.3">
      <c r="A295">
        <v>27364</v>
      </c>
      <c r="B295" t="s">
        <v>916</v>
      </c>
      <c r="C295" t="s">
        <v>4872</v>
      </c>
    </row>
    <row r="296" spans="1:3" x14ac:dyDescent="0.3">
      <c r="A296">
        <v>27371</v>
      </c>
      <c r="B296" t="s">
        <v>916</v>
      </c>
      <c r="C296" t="s">
        <v>4872</v>
      </c>
    </row>
    <row r="297" spans="1:3" x14ac:dyDescent="0.3">
      <c r="A297">
        <v>27372</v>
      </c>
      <c r="B297" t="s">
        <v>916</v>
      </c>
      <c r="C297" t="s">
        <v>4872</v>
      </c>
    </row>
    <row r="298" spans="1:3" x14ac:dyDescent="0.3">
      <c r="A298">
        <v>27373</v>
      </c>
      <c r="B298" t="s">
        <v>916</v>
      </c>
      <c r="C298" t="s">
        <v>4872</v>
      </c>
    </row>
    <row r="299" spans="1:3" x14ac:dyDescent="0.3">
      <c r="A299">
        <v>27374</v>
      </c>
      <c r="B299" t="s">
        <v>916</v>
      </c>
      <c r="C299" t="s">
        <v>4872</v>
      </c>
    </row>
    <row r="300" spans="1:3" x14ac:dyDescent="0.3">
      <c r="A300">
        <v>27375</v>
      </c>
      <c r="B300" t="s">
        <v>916</v>
      </c>
      <c r="C300" t="s">
        <v>4872</v>
      </c>
    </row>
    <row r="301" spans="1:3" x14ac:dyDescent="0.3">
      <c r="A301">
        <v>27376</v>
      </c>
      <c r="B301" t="s">
        <v>916</v>
      </c>
      <c r="C301" t="s">
        <v>4872</v>
      </c>
    </row>
    <row r="302" spans="1:3" x14ac:dyDescent="0.3">
      <c r="A302">
        <v>27377</v>
      </c>
      <c r="B302" t="s">
        <v>916</v>
      </c>
      <c r="C302" t="s">
        <v>4872</v>
      </c>
    </row>
    <row r="303" spans="1:3" x14ac:dyDescent="0.3">
      <c r="A303">
        <v>27378</v>
      </c>
      <c r="B303" t="s">
        <v>916</v>
      </c>
      <c r="C303" t="s">
        <v>4872</v>
      </c>
    </row>
    <row r="304" spans="1:3" x14ac:dyDescent="0.3">
      <c r="A304">
        <v>27379</v>
      </c>
      <c r="B304" t="s">
        <v>916</v>
      </c>
      <c r="C304" t="s">
        <v>4872</v>
      </c>
    </row>
    <row r="305" spans="1:3" x14ac:dyDescent="0.3">
      <c r="A305">
        <v>27401</v>
      </c>
      <c r="B305" t="s">
        <v>916</v>
      </c>
      <c r="C305" t="s">
        <v>4872</v>
      </c>
    </row>
    <row r="306" spans="1:3" x14ac:dyDescent="0.3">
      <c r="A306">
        <v>27601</v>
      </c>
      <c r="B306" t="s">
        <v>237</v>
      </c>
      <c r="C306" t="s">
        <v>4872</v>
      </c>
    </row>
    <row r="307" spans="1:3" x14ac:dyDescent="0.3">
      <c r="A307">
        <v>27701</v>
      </c>
      <c r="B307" t="s">
        <v>237</v>
      </c>
      <c r="C307" t="s">
        <v>4872</v>
      </c>
    </row>
    <row r="308" spans="1:3" x14ac:dyDescent="0.3">
      <c r="A308">
        <v>27703</v>
      </c>
      <c r="B308" t="s">
        <v>237</v>
      </c>
      <c r="C308" t="s">
        <v>4872</v>
      </c>
    </row>
    <row r="309" spans="1:3" x14ac:dyDescent="0.3">
      <c r="A309">
        <v>27704</v>
      </c>
      <c r="B309" t="s">
        <v>237</v>
      </c>
      <c r="C309" t="s">
        <v>4872</v>
      </c>
    </row>
    <row r="310" spans="1:3" x14ac:dyDescent="0.3">
      <c r="A310">
        <v>27705</v>
      </c>
      <c r="B310" t="s">
        <v>237</v>
      </c>
      <c r="C310" t="s">
        <v>4872</v>
      </c>
    </row>
    <row r="311" spans="1:3" x14ac:dyDescent="0.3">
      <c r="A311">
        <v>27706</v>
      </c>
      <c r="B311" t="s">
        <v>237</v>
      </c>
      <c r="C311" t="s">
        <v>4872</v>
      </c>
    </row>
    <row r="312" spans="1:3" x14ac:dyDescent="0.3">
      <c r="A312">
        <v>27707</v>
      </c>
      <c r="B312" t="s">
        <v>237</v>
      </c>
      <c r="C312" t="s">
        <v>4872</v>
      </c>
    </row>
    <row r="313" spans="1:3" x14ac:dyDescent="0.3">
      <c r="A313">
        <v>27708</v>
      </c>
      <c r="B313" t="s">
        <v>237</v>
      </c>
      <c r="C313" t="s">
        <v>4872</v>
      </c>
    </row>
    <row r="314" spans="1:3" x14ac:dyDescent="0.3">
      <c r="A314">
        <v>27711</v>
      </c>
      <c r="B314" t="s">
        <v>237</v>
      </c>
      <c r="C314" t="s">
        <v>4872</v>
      </c>
    </row>
    <row r="315" spans="1:3" x14ac:dyDescent="0.3">
      <c r="A315">
        <v>27713</v>
      </c>
      <c r="B315" t="s">
        <v>237</v>
      </c>
      <c r="C315" t="s">
        <v>4872</v>
      </c>
    </row>
    <row r="316" spans="1:3" x14ac:dyDescent="0.3">
      <c r="A316">
        <v>27714</v>
      </c>
      <c r="B316" t="s">
        <v>4871</v>
      </c>
      <c r="C316" t="s">
        <v>4872</v>
      </c>
    </row>
    <row r="317" spans="1:3" x14ac:dyDescent="0.3">
      <c r="A317">
        <v>27715</v>
      </c>
      <c r="B317" t="s">
        <v>237</v>
      </c>
      <c r="C317" t="s">
        <v>4872</v>
      </c>
    </row>
    <row r="318" spans="1:3" x14ac:dyDescent="0.3">
      <c r="A318">
        <v>27716</v>
      </c>
      <c r="B318" t="s">
        <v>237</v>
      </c>
      <c r="C318" t="s">
        <v>4872</v>
      </c>
    </row>
    <row r="319" spans="1:3" x14ac:dyDescent="0.3">
      <c r="A319">
        <v>27721</v>
      </c>
      <c r="B319" t="s">
        <v>237</v>
      </c>
      <c r="C319" t="s">
        <v>4872</v>
      </c>
    </row>
    <row r="320" spans="1:3" x14ac:dyDescent="0.3">
      <c r="A320">
        <v>27723</v>
      </c>
      <c r="B320" t="s">
        <v>237</v>
      </c>
      <c r="C320" t="s">
        <v>4872</v>
      </c>
    </row>
    <row r="321" spans="1:3" x14ac:dyDescent="0.3">
      <c r="A321">
        <v>27724</v>
      </c>
      <c r="B321" t="s">
        <v>237</v>
      </c>
      <c r="C321" t="s">
        <v>4872</v>
      </c>
    </row>
    <row r="322" spans="1:3" x14ac:dyDescent="0.3">
      <c r="A322">
        <v>27731</v>
      </c>
      <c r="B322" t="s">
        <v>237</v>
      </c>
      <c r="C322" t="s">
        <v>4872</v>
      </c>
    </row>
    <row r="323" spans="1:3" x14ac:dyDescent="0.3">
      <c r="A323">
        <v>27732</v>
      </c>
      <c r="B323" t="s">
        <v>237</v>
      </c>
      <c r="C323" t="s">
        <v>4872</v>
      </c>
    </row>
    <row r="324" spans="1:3" x14ac:dyDescent="0.3">
      <c r="A324">
        <v>27733</v>
      </c>
      <c r="B324" t="s">
        <v>237</v>
      </c>
      <c r="C324" t="s">
        <v>4872</v>
      </c>
    </row>
    <row r="325" spans="1:3" x14ac:dyDescent="0.3">
      <c r="A325">
        <v>27734</v>
      </c>
      <c r="B325" t="s">
        <v>237</v>
      </c>
      <c r="C325" t="s">
        <v>4872</v>
      </c>
    </row>
    <row r="326" spans="1:3" x14ac:dyDescent="0.3">
      <c r="A326">
        <v>27735</v>
      </c>
      <c r="B326" t="s">
        <v>237</v>
      </c>
      <c r="C326" t="s">
        <v>4872</v>
      </c>
    </row>
    <row r="327" spans="1:3" x14ac:dyDescent="0.3">
      <c r="A327">
        <v>27736</v>
      </c>
      <c r="B327" t="s">
        <v>237</v>
      </c>
      <c r="C327" t="s">
        <v>4872</v>
      </c>
    </row>
    <row r="328" spans="1:3" x14ac:dyDescent="0.3">
      <c r="A328">
        <v>27737</v>
      </c>
      <c r="B328" t="s">
        <v>237</v>
      </c>
      <c r="C328" t="s">
        <v>4872</v>
      </c>
    </row>
    <row r="329" spans="1:3" x14ac:dyDescent="0.3">
      <c r="A329">
        <v>27738</v>
      </c>
      <c r="B329" t="s">
        <v>237</v>
      </c>
      <c r="C329" t="s">
        <v>4872</v>
      </c>
    </row>
    <row r="330" spans="1:3" x14ac:dyDescent="0.3">
      <c r="A330">
        <v>27741</v>
      </c>
      <c r="B330" t="s">
        <v>237</v>
      </c>
      <c r="C330" t="s">
        <v>4872</v>
      </c>
    </row>
    <row r="331" spans="1:3" x14ac:dyDescent="0.3">
      <c r="A331">
        <v>27742</v>
      </c>
      <c r="B331" t="s">
        <v>237</v>
      </c>
      <c r="C331" t="s">
        <v>4872</v>
      </c>
    </row>
    <row r="332" spans="1:3" x14ac:dyDescent="0.3">
      <c r="A332">
        <v>27743</v>
      </c>
      <c r="B332" t="s">
        <v>237</v>
      </c>
      <c r="C332" t="s">
        <v>4872</v>
      </c>
    </row>
    <row r="333" spans="1:3" x14ac:dyDescent="0.3">
      <c r="A333">
        <v>27744</v>
      </c>
      <c r="B333" t="s">
        <v>237</v>
      </c>
      <c r="C333" t="s">
        <v>4872</v>
      </c>
    </row>
    <row r="334" spans="1:3" x14ac:dyDescent="0.3">
      <c r="A334">
        <v>27745</v>
      </c>
      <c r="B334" t="s">
        <v>237</v>
      </c>
      <c r="C334" t="s">
        <v>4872</v>
      </c>
    </row>
    <row r="335" spans="1:3" x14ac:dyDescent="0.3">
      <c r="A335">
        <v>27746</v>
      </c>
      <c r="B335" t="s">
        <v>237</v>
      </c>
      <c r="C335" t="s">
        <v>4872</v>
      </c>
    </row>
    <row r="336" spans="1:3" x14ac:dyDescent="0.3">
      <c r="A336">
        <v>27751</v>
      </c>
      <c r="B336" t="s">
        <v>237</v>
      </c>
      <c r="C336" t="s">
        <v>4872</v>
      </c>
    </row>
    <row r="337" spans="1:3" x14ac:dyDescent="0.3">
      <c r="A337">
        <v>27752</v>
      </c>
      <c r="B337" t="s">
        <v>237</v>
      </c>
      <c r="C337" t="s">
        <v>4872</v>
      </c>
    </row>
    <row r="338" spans="1:3" x14ac:dyDescent="0.3">
      <c r="A338">
        <v>27801</v>
      </c>
      <c r="B338" t="s">
        <v>237</v>
      </c>
      <c r="C338" t="s">
        <v>4872</v>
      </c>
    </row>
    <row r="339" spans="1:3" x14ac:dyDescent="0.3">
      <c r="A339">
        <v>28002</v>
      </c>
      <c r="B339" t="s">
        <v>1025</v>
      </c>
      <c r="C339" t="s">
        <v>4872</v>
      </c>
    </row>
    <row r="340" spans="1:3" x14ac:dyDescent="0.3">
      <c r="A340">
        <v>28101</v>
      </c>
      <c r="B340" t="s">
        <v>1025</v>
      </c>
      <c r="C340" t="s">
        <v>4872</v>
      </c>
    </row>
    <row r="341" spans="1:3" x14ac:dyDescent="0.3">
      <c r="A341">
        <v>28102</v>
      </c>
      <c r="B341" t="s">
        <v>1025</v>
      </c>
      <c r="C341" t="s">
        <v>4872</v>
      </c>
    </row>
    <row r="342" spans="1:3" x14ac:dyDescent="0.3">
      <c r="A342">
        <v>28103</v>
      </c>
      <c r="B342" t="s">
        <v>1025</v>
      </c>
      <c r="C342" t="s">
        <v>4872</v>
      </c>
    </row>
    <row r="343" spans="1:3" x14ac:dyDescent="0.3">
      <c r="A343">
        <v>28104</v>
      </c>
      <c r="B343" t="s">
        <v>1025</v>
      </c>
      <c r="C343" t="s">
        <v>4872</v>
      </c>
    </row>
    <row r="344" spans="1:3" x14ac:dyDescent="0.3">
      <c r="A344">
        <v>28106</v>
      </c>
      <c r="B344" t="s">
        <v>1025</v>
      </c>
      <c r="C344" t="s">
        <v>4872</v>
      </c>
    </row>
    <row r="345" spans="1:3" x14ac:dyDescent="0.3">
      <c r="A345">
        <v>28107</v>
      </c>
      <c r="B345" t="s">
        <v>1025</v>
      </c>
      <c r="C345" t="s">
        <v>4872</v>
      </c>
    </row>
    <row r="346" spans="1:3" x14ac:dyDescent="0.3">
      <c r="A346">
        <v>28121</v>
      </c>
      <c r="B346" t="s">
        <v>1025</v>
      </c>
      <c r="C346" t="s">
        <v>4872</v>
      </c>
    </row>
    <row r="347" spans="1:3" x14ac:dyDescent="0.3">
      <c r="A347">
        <v>28123</v>
      </c>
      <c r="B347" t="s">
        <v>1025</v>
      </c>
      <c r="C347" t="s">
        <v>4872</v>
      </c>
    </row>
    <row r="348" spans="1:3" x14ac:dyDescent="0.3">
      <c r="A348">
        <v>28125</v>
      </c>
      <c r="B348" t="s">
        <v>1025</v>
      </c>
      <c r="C348" t="s">
        <v>4872</v>
      </c>
    </row>
    <row r="349" spans="1:3" x14ac:dyDescent="0.3">
      <c r="A349">
        <v>28126</v>
      </c>
      <c r="B349" t="s">
        <v>2071</v>
      </c>
      <c r="C349" t="s">
        <v>4875</v>
      </c>
    </row>
    <row r="350" spans="1:3" x14ac:dyDescent="0.3">
      <c r="A350">
        <v>28127</v>
      </c>
      <c r="B350" t="s">
        <v>1025</v>
      </c>
      <c r="C350" t="s">
        <v>4872</v>
      </c>
    </row>
    <row r="351" spans="1:3" x14ac:dyDescent="0.3">
      <c r="A351">
        <v>28128</v>
      </c>
      <c r="B351" t="s">
        <v>1025</v>
      </c>
      <c r="C351" t="s">
        <v>4872</v>
      </c>
    </row>
    <row r="352" spans="1:3" x14ac:dyDescent="0.3">
      <c r="A352">
        <v>28129</v>
      </c>
      <c r="B352" t="s">
        <v>1025</v>
      </c>
      <c r="C352" t="s">
        <v>4872</v>
      </c>
    </row>
    <row r="353" spans="1:3" x14ac:dyDescent="0.3">
      <c r="A353">
        <v>28130</v>
      </c>
      <c r="B353" t="s">
        <v>1025</v>
      </c>
      <c r="C353" t="s">
        <v>4872</v>
      </c>
    </row>
    <row r="354" spans="1:3" x14ac:dyDescent="0.3">
      <c r="A354">
        <v>28141</v>
      </c>
      <c r="B354" t="s">
        <v>1025</v>
      </c>
      <c r="C354" t="s">
        <v>4872</v>
      </c>
    </row>
    <row r="355" spans="1:3" x14ac:dyDescent="0.3">
      <c r="A355">
        <v>28143</v>
      </c>
      <c r="B355" t="s">
        <v>1025</v>
      </c>
      <c r="C355" t="s">
        <v>4872</v>
      </c>
    </row>
    <row r="356" spans="1:3" x14ac:dyDescent="0.3">
      <c r="A356">
        <v>28144</v>
      </c>
      <c r="B356" t="s">
        <v>1025</v>
      </c>
      <c r="C356" t="s">
        <v>4872</v>
      </c>
    </row>
    <row r="357" spans="1:3" x14ac:dyDescent="0.3">
      <c r="A357">
        <v>28146</v>
      </c>
      <c r="B357" t="s">
        <v>1025</v>
      </c>
      <c r="C357" t="s">
        <v>4872</v>
      </c>
    </row>
    <row r="358" spans="1:3" x14ac:dyDescent="0.3">
      <c r="A358">
        <v>28151</v>
      </c>
      <c r="B358" t="s">
        <v>1025</v>
      </c>
      <c r="C358" t="s">
        <v>4872</v>
      </c>
    </row>
    <row r="359" spans="1:3" x14ac:dyDescent="0.3">
      <c r="A359">
        <v>28161</v>
      </c>
      <c r="B359" t="s">
        <v>1025</v>
      </c>
      <c r="C359" t="s">
        <v>4872</v>
      </c>
    </row>
    <row r="360" spans="1:3" x14ac:dyDescent="0.3">
      <c r="A360">
        <v>28162</v>
      </c>
      <c r="B360" t="s">
        <v>4871</v>
      </c>
      <c r="C360" t="s">
        <v>4872</v>
      </c>
    </row>
    <row r="361" spans="1:3" x14ac:dyDescent="0.3">
      <c r="A361">
        <v>28163</v>
      </c>
      <c r="B361" t="s">
        <v>1025</v>
      </c>
      <c r="C361" t="s">
        <v>4872</v>
      </c>
    </row>
    <row r="362" spans="1:3" x14ac:dyDescent="0.3">
      <c r="A362">
        <v>28166</v>
      </c>
      <c r="B362" t="s">
        <v>4871</v>
      </c>
      <c r="C362" t="s">
        <v>4872</v>
      </c>
    </row>
    <row r="363" spans="1:3" x14ac:dyDescent="0.3">
      <c r="A363">
        <v>28167</v>
      </c>
      <c r="B363" t="s">
        <v>4871</v>
      </c>
      <c r="C363" t="s">
        <v>4872</v>
      </c>
    </row>
    <row r="364" spans="1:3" x14ac:dyDescent="0.3">
      <c r="A364">
        <v>28171</v>
      </c>
      <c r="B364" t="s">
        <v>1025</v>
      </c>
      <c r="C364" t="s">
        <v>4872</v>
      </c>
    </row>
    <row r="365" spans="1:3" x14ac:dyDescent="0.3">
      <c r="A365">
        <v>28201</v>
      </c>
      <c r="B365" t="s">
        <v>1025</v>
      </c>
      <c r="C365" t="s">
        <v>4872</v>
      </c>
    </row>
    <row r="366" spans="1:3" x14ac:dyDescent="0.3">
      <c r="A366">
        <v>28401</v>
      </c>
      <c r="B366" t="s">
        <v>4876</v>
      </c>
      <c r="C366" t="s">
        <v>4872</v>
      </c>
    </row>
    <row r="367" spans="1:3" x14ac:dyDescent="0.3">
      <c r="A367">
        <v>28403</v>
      </c>
      <c r="B367" t="s">
        <v>4876</v>
      </c>
      <c r="C367" t="s">
        <v>4872</v>
      </c>
    </row>
    <row r="368" spans="1:3" x14ac:dyDescent="0.3">
      <c r="A368">
        <v>28404</v>
      </c>
      <c r="B368" t="s">
        <v>4876</v>
      </c>
      <c r="C368" t="s">
        <v>4872</v>
      </c>
    </row>
    <row r="369" spans="1:3" x14ac:dyDescent="0.3">
      <c r="A369">
        <v>28501</v>
      </c>
      <c r="B369" t="s">
        <v>4876</v>
      </c>
      <c r="C369" t="s">
        <v>4872</v>
      </c>
    </row>
    <row r="370" spans="1:3" x14ac:dyDescent="0.3">
      <c r="A370">
        <v>28502</v>
      </c>
      <c r="B370" t="s">
        <v>4876</v>
      </c>
      <c r="C370" t="s">
        <v>4872</v>
      </c>
    </row>
    <row r="371" spans="1:3" x14ac:dyDescent="0.3">
      <c r="A371">
        <v>28504</v>
      </c>
      <c r="B371" t="s">
        <v>4876</v>
      </c>
      <c r="C371" t="s">
        <v>4872</v>
      </c>
    </row>
    <row r="372" spans="1:3" x14ac:dyDescent="0.3">
      <c r="A372">
        <v>28506</v>
      </c>
      <c r="B372" t="s">
        <v>2372</v>
      </c>
      <c r="C372" t="s">
        <v>4872</v>
      </c>
    </row>
    <row r="373" spans="1:3" x14ac:dyDescent="0.3">
      <c r="A373">
        <v>28507</v>
      </c>
      <c r="B373" t="s">
        <v>4876</v>
      </c>
      <c r="C373" t="s">
        <v>4872</v>
      </c>
    </row>
    <row r="374" spans="1:3" x14ac:dyDescent="0.3">
      <c r="A374">
        <v>28509</v>
      </c>
      <c r="B374" t="s">
        <v>4876</v>
      </c>
      <c r="C374" t="s">
        <v>4872</v>
      </c>
    </row>
    <row r="375" spans="1:3" x14ac:dyDescent="0.3">
      <c r="A375">
        <v>28510</v>
      </c>
      <c r="B375" t="s">
        <v>4876</v>
      </c>
      <c r="C375" t="s">
        <v>4872</v>
      </c>
    </row>
    <row r="376" spans="1:3" x14ac:dyDescent="0.3">
      <c r="A376">
        <v>28511</v>
      </c>
      <c r="B376" t="s">
        <v>4876</v>
      </c>
      <c r="C376" t="s">
        <v>4872</v>
      </c>
    </row>
    <row r="377" spans="1:3" x14ac:dyDescent="0.3">
      <c r="A377">
        <v>28521</v>
      </c>
      <c r="B377" t="s">
        <v>4876</v>
      </c>
      <c r="C377" t="s">
        <v>4872</v>
      </c>
    </row>
    <row r="378" spans="1:3" x14ac:dyDescent="0.3">
      <c r="A378">
        <v>28522</v>
      </c>
      <c r="B378" t="s">
        <v>4876</v>
      </c>
      <c r="C378" t="s">
        <v>4872</v>
      </c>
    </row>
    <row r="379" spans="1:3" x14ac:dyDescent="0.3">
      <c r="A379">
        <v>28523</v>
      </c>
      <c r="B379" t="s">
        <v>4876</v>
      </c>
      <c r="C379" t="s">
        <v>4872</v>
      </c>
    </row>
    <row r="380" spans="1:3" x14ac:dyDescent="0.3">
      <c r="A380">
        <v>28525</v>
      </c>
      <c r="B380" t="s">
        <v>4876</v>
      </c>
      <c r="C380" t="s">
        <v>4872</v>
      </c>
    </row>
    <row r="381" spans="1:3" x14ac:dyDescent="0.3">
      <c r="A381">
        <v>28531</v>
      </c>
      <c r="B381" t="s">
        <v>4876</v>
      </c>
      <c r="C381" t="s">
        <v>4872</v>
      </c>
    </row>
    <row r="382" spans="1:3" x14ac:dyDescent="0.3">
      <c r="A382">
        <v>28532</v>
      </c>
      <c r="B382" t="s">
        <v>4876</v>
      </c>
      <c r="C382" t="s">
        <v>4872</v>
      </c>
    </row>
    <row r="383" spans="1:3" x14ac:dyDescent="0.3">
      <c r="A383">
        <v>28533</v>
      </c>
      <c r="B383" t="s">
        <v>4876</v>
      </c>
      <c r="C383" t="s">
        <v>4872</v>
      </c>
    </row>
    <row r="384" spans="1:3" x14ac:dyDescent="0.3">
      <c r="A384">
        <v>28541</v>
      </c>
      <c r="B384" t="s">
        <v>4876</v>
      </c>
      <c r="C384" t="s">
        <v>4872</v>
      </c>
    </row>
    <row r="385" spans="1:3" x14ac:dyDescent="0.3">
      <c r="A385">
        <v>28542</v>
      </c>
      <c r="B385" t="s">
        <v>4876</v>
      </c>
      <c r="C385" t="s">
        <v>4872</v>
      </c>
    </row>
    <row r="386" spans="1:3" x14ac:dyDescent="0.3">
      <c r="A386">
        <v>28543</v>
      </c>
      <c r="B386" t="s">
        <v>4876</v>
      </c>
      <c r="C386" t="s">
        <v>4872</v>
      </c>
    </row>
    <row r="387" spans="1:3" x14ac:dyDescent="0.3">
      <c r="A387">
        <v>28544</v>
      </c>
      <c r="B387" t="s">
        <v>4876</v>
      </c>
      <c r="C387" t="s">
        <v>4872</v>
      </c>
    </row>
    <row r="388" spans="1:3" x14ac:dyDescent="0.3">
      <c r="A388">
        <v>28545</v>
      </c>
      <c r="B388" t="s">
        <v>4876</v>
      </c>
      <c r="C388" t="s">
        <v>4872</v>
      </c>
    </row>
    <row r="389" spans="1:3" x14ac:dyDescent="0.3">
      <c r="A389">
        <v>28546</v>
      </c>
      <c r="B389" t="s">
        <v>4876</v>
      </c>
      <c r="C389" t="s">
        <v>4872</v>
      </c>
    </row>
    <row r="390" spans="1:3" x14ac:dyDescent="0.3">
      <c r="A390">
        <v>28547</v>
      </c>
      <c r="B390" t="s">
        <v>4876</v>
      </c>
      <c r="C390" t="s">
        <v>4872</v>
      </c>
    </row>
    <row r="391" spans="1:3" x14ac:dyDescent="0.3">
      <c r="A391">
        <v>28561</v>
      </c>
      <c r="B391" t="s">
        <v>4876</v>
      </c>
      <c r="C391" t="s">
        <v>4872</v>
      </c>
    </row>
    <row r="392" spans="1:3" x14ac:dyDescent="0.3">
      <c r="A392">
        <v>28562</v>
      </c>
      <c r="B392" t="s">
        <v>4876</v>
      </c>
      <c r="C392" t="s">
        <v>4872</v>
      </c>
    </row>
    <row r="393" spans="1:3" x14ac:dyDescent="0.3">
      <c r="A393">
        <v>28563</v>
      </c>
      <c r="B393" t="s">
        <v>4876</v>
      </c>
      <c r="C393" t="s">
        <v>4872</v>
      </c>
    </row>
    <row r="394" spans="1:3" x14ac:dyDescent="0.3">
      <c r="A394">
        <v>28564</v>
      </c>
      <c r="B394" t="s">
        <v>4876</v>
      </c>
      <c r="C394" t="s">
        <v>4872</v>
      </c>
    </row>
    <row r="395" spans="1:3" x14ac:dyDescent="0.3">
      <c r="A395">
        <v>28565</v>
      </c>
      <c r="B395" t="s">
        <v>4876</v>
      </c>
      <c r="C395" t="s">
        <v>4872</v>
      </c>
    </row>
    <row r="396" spans="1:3" x14ac:dyDescent="0.3">
      <c r="A396">
        <v>28571</v>
      </c>
      <c r="B396" t="s">
        <v>4876</v>
      </c>
      <c r="C396" t="s">
        <v>4872</v>
      </c>
    </row>
    <row r="397" spans="1:3" x14ac:dyDescent="0.3">
      <c r="A397">
        <v>28572</v>
      </c>
      <c r="B397" t="s">
        <v>4876</v>
      </c>
      <c r="C397" t="s">
        <v>4872</v>
      </c>
    </row>
    <row r="398" spans="1:3" x14ac:dyDescent="0.3">
      <c r="A398">
        <v>28573</v>
      </c>
      <c r="B398" t="s">
        <v>4876</v>
      </c>
      <c r="C398" t="s">
        <v>4872</v>
      </c>
    </row>
    <row r="399" spans="1:3" x14ac:dyDescent="0.3">
      <c r="A399">
        <v>28574</v>
      </c>
      <c r="B399" t="s">
        <v>4876</v>
      </c>
      <c r="C399" t="s">
        <v>4872</v>
      </c>
    </row>
    <row r="400" spans="1:3" x14ac:dyDescent="0.3">
      <c r="A400">
        <v>28575</v>
      </c>
      <c r="B400" t="s">
        <v>4876</v>
      </c>
      <c r="C400" t="s">
        <v>4872</v>
      </c>
    </row>
    <row r="401" spans="1:3" x14ac:dyDescent="0.3">
      <c r="A401">
        <v>28576</v>
      </c>
      <c r="B401" t="s">
        <v>4876</v>
      </c>
      <c r="C401" t="s">
        <v>4872</v>
      </c>
    </row>
    <row r="402" spans="1:3" x14ac:dyDescent="0.3">
      <c r="A402">
        <v>28601</v>
      </c>
      <c r="B402" t="s">
        <v>4876</v>
      </c>
      <c r="C402" t="s">
        <v>4872</v>
      </c>
    </row>
    <row r="403" spans="1:3" x14ac:dyDescent="0.3">
      <c r="A403">
        <v>28802</v>
      </c>
      <c r="B403" t="s">
        <v>4305</v>
      </c>
      <c r="C403" t="s">
        <v>4872</v>
      </c>
    </row>
    <row r="404" spans="1:3" x14ac:dyDescent="0.3">
      <c r="A404">
        <v>28901</v>
      </c>
      <c r="B404" t="s">
        <v>4305</v>
      </c>
      <c r="C404" t="s">
        <v>4872</v>
      </c>
    </row>
    <row r="405" spans="1:3" x14ac:dyDescent="0.3">
      <c r="A405">
        <v>28902</v>
      </c>
      <c r="B405" t="s">
        <v>4305</v>
      </c>
      <c r="C405" t="s">
        <v>4872</v>
      </c>
    </row>
    <row r="406" spans="1:3" x14ac:dyDescent="0.3">
      <c r="A406">
        <v>28903</v>
      </c>
      <c r="B406" t="s">
        <v>4305</v>
      </c>
      <c r="C406" t="s">
        <v>4872</v>
      </c>
    </row>
    <row r="407" spans="1:3" x14ac:dyDescent="0.3">
      <c r="A407">
        <v>28904</v>
      </c>
      <c r="B407" t="s">
        <v>4305</v>
      </c>
      <c r="C407" t="s">
        <v>4872</v>
      </c>
    </row>
    <row r="408" spans="1:3" x14ac:dyDescent="0.3">
      <c r="A408">
        <v>28905</v>
      </c>
      <c r="B408" t="s">
        <v>4305</v>
      </c>
      <c r="C408" t="s">
        <v>4872</v>
      </c>
    </row>
    <row r="409" spans="1:3" x14ac:dyDescent="0.3">
      <c r="A409">
        <v>28906</v>
      </c>
      <c r="B409" t="s">
        <v>4305</v>
      </c>
      <c r="C409" t="s">
        <v>4872</v>
      </c>
    </row>
    <row r="410" spans="1:3" x14ac:dyDescent="0.3">
      <c r="A410">
        <v>28907</v>
      </c>
      <c r="B410" t="s">
        <v>4305</v>
      </c>
      <c r="C410" t="s">
        <v>4872</v>
      </c>
    </row>
    <row r="411" spans="1:3" x14ac:dyDescent="0.3">
      <c r="A411">
        <v>28908</v>
      </c>
      <c r="B411" t="s">
        <v>4305</v>
      </c>
      <c r="C411" t="s">
        <v>4872</v>
      </c>
    </row>
    <row r="412" spans="1:3" x14ac:dyDescent="0.3">
      <c r="A412">
        <v>28911</v>
      </c>
      <c r="B412" t="s">
        <v>1025</v>
      </c>
      <c r="C412" t="s">
        <v>4872</v>
      </c>
    </row>
    <row r="413" spans="1:3" x14ac:dyDescent="0.3">
      <c r="A413">
        <v>28912</v>
      </c>
      <c r="B413" t="s">
        <v>4305</v>
      </c>
      <c r="C413" t="s">
        <v>4872</v>
      </c>
    </row>
    <row r="414" spans="1:3" x14ac:dyDescent="0.3">
      <c r="A414">
        <v>28913</v>
      </c>
      <c r="B414" t="s">
        <v>4305</v>
      </c>
      <c r="C414" t="s">
        <v>4872</v>
      </c>
    </row>
    <row r="415" spans="1:3" x14ac:dyDescent="0.3">
      <c r="A415">
        <v>28914</v>
      </c>
      <c r="B415" t="s">
        <v>4305</v>
      </c>
      <c r="C415" t="s">
        <v>4872</v>
      </c>
    </row>
    <row r="416" spans="1:3" x14ac:dyDescent="0.3">
      <c r="A416">
        <v>28915</v>
      </c>
      <c r="B416" t="s">
        <v>4305</v>
      </c>
      <c r="C416" t="s">
        <v>4872</v>
      </c>
    </row>
    <row r="417" spans="1:3" x14ac:dyDescent="0.3">
      <c r="A417">
        <v>28916</v>
      </c>
      <c r="B417" t="s">
        <v>4305</v>
      </c>
      <c r="C417" t="s">
        <v>4872</v>
      </c>
    </row>
    <row r="418" spans="1:3" x14ac:dyDescent="0.3">
      <c r="A418">
        <v>28917</v>
      </c>
      <c r="B418" t="s">
        <v>4305</v>
      </c>
      <c r="C418" t="s">
        <v>4872</v>
      </c>
    </row>
    <row r="419" spans="1:3" x14ac:dyDescent="0.3">
      <c r="A419">
        <v>28921</v>
      </c>
      <c r="B419" t="s">
        <v>4305</v>
      </c>
      <c r="C419" t="s">
        <v>4872</v>
      </c>
    </row>
    <row r="420" spans="1:3" x14ac:dyDescent="0.3">
      <c r="A420">
        <v>28922</v>
      </c>
      <c r="B420" t="s">
        <v>4305</v>
      </c>
      <c r="C420" t="s">
        <v>4872</v>
      </c>
    </row>
    <row r="421" spans="1:3" x14ac:dyDescent="0.3">
      <c r="A421">
        <v>28923</v>
      </c>
      <c r="B421" t="s">
        <v>4305</v>
      </c>
      <c r="C421" t="s">
        <v>4872</v>
      </c>
    </row>
    <row r="422" spans="1:3" x14ac:dyDescent="0.3">
      <c r="A422">
        <v>28924</v>
      </c>
      <c r="B422" t="s">
        <v>4305</v>
      </c>
      <c r="C422" t="s">
        <v>4872</v>
      </c>
    </row>
    <row r="423" spans="1:3" x14ac:dyDescent="0.3">
      <c r="A423">
        <v>28925</v>
      </c>
      <c r="B423" t="s">
        <v>4305</v>
      </c>
      <c r="C423" t="s">
        <v>4872</v>
      </c>
    </row>
    <row r="424" spans="1:3" x14ac:dyDescent="0.3">
      <c r="A424">
        <v>28926</v>
      </c>
      <c r="B424" t="s">
        <v>4305</v>
      </c>
      <c r="C424" t="s">
        <v>4872</v>
      </c>
    </row>
    <row r="425" spans="1:3" x14ac:dyDescent="0.3">
      <c r="A425">
        <v>28931</v>
      </c>
      <c r="B425" t="s">
        <v>4305</v>
      </c>
      <c r="C425" t="s">
        <v>4872</v>
      </c>
    </row>
    <row r="426" spans="1:3" x14ac:dyDescent="0.3">
      <c r="A426">
        <v>28932</v>
      </c>
      <c r="B426" t="s">
        <v>4305</v>
      </c>
      <c r="C426" t="s">
        <v>4872</v>
      </c>
    </row>
    <row r="427" spans="1:3" x14ac:dyDescent="0.3">
      <c r="A427">
        <v>28933</v>
      </c>
      <c r="B427" t="s">
        <v>4305</v>
      </c>
      <c r="C427" t="s">
        <v>4872</v>
      </c>
    </row>
    <row r="428" spans="1:3" x14ac:dyDescent="0.3">
      <c r="A428">
        <v>28934</v>
      </c>
      <c r="B428" t="s">
        <v>4305</v>
      </c>
      <c r="C428" t="s">
        <v>4872</v>
      </c>
    </row>
    <row r="429" spans="1:3" x14ac:dyDescent="0.3">
      <c r="A429">
        <v>28935</v>
      </c>
      <c r="B429" t="s">
        <v>4305</v>
      </c>
      <c r="C429" t="s">
        <v>4872</v>
      </c>
    </row>
    <row r="430" spans="1:3" x14ac:dyDescent="0.3">
      <c r="A430">
        <v>28936</v>
      </c>
      <c r="B430" t="s">
        <v>4305</v>
      </c>
      <c r="C430" t="s">
        <v>4872</v>
      </c>
    </row>
    <row r="431" spans="1:3" x14ac:dyDescent="0.3">
      <c r="A431">
        <v>28937</v>
      </c>
      <c r="B431" t="s">
        <v>4305</v>
      </c>
      <c r="C431" t="s">
        <v>4872</v>
      </c>
    </row>
    <row r="432" spans="1:3" x14ac:dyDescent="0.3">
      <c r="A432">
        <v>28941</v>
      </c>
      <c r="B432" t="s">
        <v>1025</v>
      </c>
      <c r="C432" t="s">
        <v>4872</v>
      </c>
    </row>
    <row r="433" spans="1:3" x14ac:dyDescent="0.3">
      <c r="A433">
        <v>29001</v>
      </c>
      <c r="B433" t="s">
        <v>4305</v>
      </c>
      <c r="C433" t="s">
        <v>4872</v>
      </c>
    </row>
    <row r="434" spans="1:3" x14ac:dyDescent="0.3">
      <c r="A434">
        <v>29301</v>
      </c>
      <c r="B434" t="s">
        <v>4452</v>
      </c>
      <c r="C434" t="s">
        <v>4872</v>
      </c>
    </row>
    <row r="435" spans="1:3" x14ac:dyDescent="0.3">
      <c r="A435">
        <v>29306</v>
      </c>
      <c r="B435" t="s">
        <v>4452</v>
      </c>
      <c r="C435" t="s">
        <v>4872</v>
      </c>
    </row>
    <row r="436" spans="1:3" x14ac:dyDescent="0.3">
      <c r="A436">
        <v>29307</v>
      </c>
      <c r="B436" t="s">
        <v>4452</v>
      </c>
      <c r="C436" t="s">
        <v>4872</v>
      </c>
    </row>
    <row r="437" spans="1:3" x14ac:dyDescent="0.3">
      <c r="A437">
        <v>29401</v>
      </c>
      <c r="B437" t="s">
        <v>4452</v>
      </c>
      <c r="C437" t="s">
        <v>4872</v>
      </c>
    </row>
    <row r="438" spans="1:3" x14ac:dyDescent="0.3">
      <c r="A438">
        <v>29402</v>
      </c>
      <c r="B438" t="s">
        <v>4452</v>
      </c>
      <c r="C438" t="s">
        <v>4872</v>
      </c>
    </row>
    <row r="439" spans="1:3" x14ac:dyDescent="0.3">
      <c r="A439">
        <v>29403</v>
      </c>
      <c r="B439" t="s">
        <v>4452</v>
      </c>
      <c r="C439" t="s">
        <v>4872</v>
      </c>
    </row>
    <row r="440" spans="1:3" x14ac:dyDescent="0.3">
      <c r="A440">
        <v>29404</v>
      </c>
      <c r="B440" t="s">
        <v>4854</v>
      </c>
      <c r="C440" t="s">
        <v>4877</v>
      </c>
    </row>
    <row r="441" spans="1:3" x14ac:dyDescent="0.3">
      <c r="A441">
        <v>29405</v>
      </c>
      <c r="B441" t="s">
        <v>4452</v>
      </c>
      <c r="C441" t="s">
        <v>4872</v>
      </c>
    </row>
    <row r="442" spans="1:3" x14ac:dyDescent="0.3">
      <c r="A442">
        <v>29406</v>
      </c>
      <c r="B442" t="s">
        <v>4452</v>
      </c>
      <c r="C442" t="s">
        <v>4872</v>
      </c>
    </row>
    <row r="443" spans="1:3" x14ac:dyDescent="0.3">
      <c r="A443">
        <v>29411</v>
      </c>
      <c r="B443" t="s">
        <v>4452</v>
      </c>
      <c r="C443" t="s">
        <v>4872</v>
      </c>
    </row>
    <row r="444" spans="1:3" x14ac:dyDescent="0.3">
      <c r="A444">
        <v>29412</v>
      </c>
      <c r="B444" t="s">
        <v>4452</v>
      </c>
      <c r="C444" t="s">
        <v>4872</v>
      </c>
    </row>
    <row r="445" spans="1:3" x14ac:dyDescent="0.3">
      <c r="A445">
        <v>29413</v>
      </c>
      <c r="B445" t="s">
        <v>1220</v>
      </c>
      <c r="C445" t="s">
        <v>4878</v>
      </c>
    </row>
    <row r="446" spans="1:3" x14ac:dyDescent="0.3">
      <c r="A446">
        <v>29414</v>
      </c>
      <c r="B446" t="s">
        <v>4452</v>
      </c>
      <c r="C446" t="s">
        <v>4872</v>
      </c>
    </row>
    <row r="447" spans="1:3" x14ac:dyDescent="0.3">
      <c r="A447">
        <v>29415</v>
      </c>
      <c r="B447" t="s">
        <v>4452</v>
      </c>
      <c r="C447" t="s">
        <v>4872</v>
      </c>
    </row>
    <row r="448" spans="1:3" x14ac:dyDescent="0.3">
      <c r="A448">
        <v>29421</v>
      </c>
      <c r="B448" t="s">
        <v>4452</v>
      </c>
      <c r="C448" t="s">
        <v>4872</v>
      </c>
    </row>
    <row r="449" spans="1:3" x14ac:dyDescent="0.3">
      <c r="A449">
        <v>29423</v>
      </c>
      <c r="B449" t="s">
        <v>4452</v>
      </c>
      <c r="C449" t="s">
        <v>4872</v>
      </c>
    </row>
    <row r="450" spans="1:3" x14ac:dyDescent="0.3">
      <c r="A450">
        <v>29424</v>
      </c>
      <c r="B450" t="s">
        <v>4452</v>
      </c>
      <c r="C450" t="s">
        <v>4872</v>
      </c>
    </row>
    <row r="451" spans="1:3" x14ac:dyDescent="0.3">
      <c r="A451">
        <v>29425</v>
      </c>
      <c r="B451" t="s">
        <v>4452</v>
      </c>
      <c r="C451" t="s">
        <v>4872</v>
      </c>
    </row>
    <row r="452" spans="1:3" x14ac:dyDescent="0.3">
      <c r="A452">
        <v>29426</v>
      </c>
      <c r="B452" t="s">
        <v>4452</v>
      </c>
      <c r="C452" t="s">
        <v>4872</v>
      </c>
    </row>
    <row r="453" spans="1:3" x14ac:dyDescent="0.3">
      <c r="A453">
        <v>29427</v>
      </c>
      <c r="B453" t="s">
        <v>4452</v>
      </c>
      <c r="C453" t="s">
        <v>4872</v>
      </c>
    </row>
    <row r="454" spans="1:3" x14ac:dyDescent="0.3">
      <c r="A454">
        <v>29428</v>
      </c>
      <c r="B454" t="s">
        <v>4452</v>
      </c>
      <c r="C454" t="s">
        <v>4872</v>
      </c>
    </row>
    <row r="455" spans="1:3" x14ac:dyDescent="0.3">
      <c r="A455">
        <v>29429</v>
      </c>
      <c r="B455" t="s">
        <v>4452</v>
      </c>
      <c r="C455" t="s">
        <v>4872</v>
      </c>
    </row>
    <row r="456" spans="1:3" x14ac:dyDescent="0.3">
      <c r="A456">
        <v>29430</v>
      </c>
      <c r="B456" t="s">
        <v>4452</v>
      </c>
      <c r="C456" t="s">
        <v>4872</v>
      </c>
    </row>
    <row r="457" spans="1:3" x14ac:dyDescent="0.3">
      <c r="A457">
        <v>29431</v>
      </c>
      <c r="B457" t="s">
        <v>4452</v>
      </c>
      <c r="C457" t="s">
        <v>4872</v>
      </c>
    </row>
    <row r="458" spans="1:3" x14ac:dyDescent="0.3">
      <c r="A458">
        <v>29441</v>
      </c>
      <c r="B458" t="s">
        <v>4452</v>
      </c>
      <c r="C458" t="s">
        <v>4872</v>
      </c>
    </row>
    <row r="459" spans="1:3" x14ac:dyDescent="0.3">
      <c r="A459">
        <v>29442</v>
      </c>
      <c r="B459" t="s">
        <v>4452</v>
      </c>
      <c r="C459" t="s">
        <v>4872</v>
      </c>
    </row>
    <row r="460" spans="1:3" x14ac:dyDescent="0.3">
      <c r="A460">
        <v>29443</v>
      </c>
      <c r="B460" t="s">
        <v>4452</v>
      </c>
      <c r="C460" t="s">
        <v>4872</v>
      </c>
    </row>
    <row r="461" spans="1:3" x14ac:dyDescent="0.3">
      <c r="A461">
        <v>29445</v>
      </c>
      <c r="B461" t="s">
        <v>4452</v>
      </c>
      <c r="C461" t="s">
        <v>4872</v>
      </c>
    </row>
    <row r="462" spans="1:3" x14ac:dyDescent="0.3">
      <c r="A462">
        <v>29446</v>
      </c>
      <c r="B462" t="s">
        <v>4452</v>
      </c>
      <c r="C462" t="s">
        <v>4872</v>
      </c>
    </row>
    <row r="463" spans="1:3" x14ac:dyDescent="0.3">
      <c r="A463">
        <v>29447</v>
      </c>
      <c r="B463" t="s">
        <v>4452</v>
      </c>
      <c r="C463" t="s">
        <v>4872</v>
      </c>
    </row>
    <row r="464" spans="1:3" x14ac:dyDescent="0.3">
      <c r="A464">
        <v>29448</v>
      </c>
      <c r="B464" t="s">
        <v>4452</v>
      </c>
      <c r="C464" t="s">
        <v>4872</v>
      </c>
    </row>
    <row r="465" spans="1:3" x14ac:dyDescent="0.3">
      <c r="A465">
        <v>29471</v>
      </c>
      <c r="B465" t="s">
        <v>4452</v>
      </c>
      <c r="C465" t="s">
        <v>4872</v>
      </c>
    </row>
    <row r="466" spans="1:3" x14ac:dyDescent="0.3">
      <c r="A466">
        <v>29473</v>
      </c>
      <c r="B466" t="s">
        <v>4452</v>
      </c>
      <c r="C466" t="s">
        <v>4872</v>
      </c>
    </row>
    <row r="467" spans="1:3" x14ac:dyDescent="0.3">
      <c r="A467">
        <v>29474</v>
      </c>
      <c r="B467" t="s">
        <v>4871</v>
      </c>
      <c r="C467" t="s">
        <v>4872</v>
      </c>
    </row>
    <row r="468" spans="1:3" x14ac:dyDescent="0.3">
      <c r="A468">
        <v>29475</v>
      </c>
      <c r="B468" t="s">
        <v>4452</v>
      </c>
      <c r="C468" t="s">
        <v>4872</v>
      </c>
    </row>
    <row r="469" spans="1:3" x14ac:dyDescent="0.3">
      <c r="A469">
        <v>29476</v>
      </c>
      <c r="B469" t="s">
        <v>4871</v>
      </c>
      <c r="C469" t="s">
        <v>4872</v>
      </c>
    </row>
    <row r="470" spans="1:3" x14ac:dyDescent="0.3">
      <c r="A470">
        <v>29477</v>
      </c>
      <c r="B470" t="s">
        <v>4452</v>
      </c>
      <c r="C470" t="s">
        <v>4872</v>
      </c>
    </row>
    <row r="471" spans="1:3" x14ac:dyDescent="0.3">
      <c r="A471">
        <v>29478</v>
      </c>
      <c r="B471" t="s">
        <v>4452</v>
      </c>
      <c r="C471" t="s">
        <v>4872</v>
      </c>
    </row>
    <row r="472" spans="1:3" x14ac:dyDescent="0.3">
      <c r="A472">
        <v>29479</v>
      </c>
      <c r="B472" t="s">
        <v>4452</v>
      </c>
      <c r="C472" t="s">
        <v>4872</v>
      </c>
    </row>
    <row r="473" spans="1:3" x14ac:dyDescent="0.3">
      <c r="A473">
        <v>29501</v>
      </c>
      <c r="B473" t="s">
        <v>3909</v>
      </c>
      <c r="C473" t="s">
        <v>4878</v>
      </c>
    </row>
    <row r="474" spans="1:3" x14ac:dyDescent="0.3">
      <c r="A474">
        <v>30100</v>
      </c>
      <c r="B474" t="s">
        <v>4879</v>
      </c>
      <c r="C474" t="s">
        <v>4880</v>
      </c>
    </row>
    <row r="475" spans="1:3" x14ac:dyDescent="0.3">
      <c r="A475">
        <v>31200</v>
      </c>
      <c r="B475" t="s">
        <v>4879</v>
      </c>
      <c r="C475" t="s">
        <v>4880</v>
      </c>
    </row>
    <row r="476" spans="1:3" x14ac:dyDescent="0.3">
      <c r="A476">
        <v>31800</v>
      </c>
      <c r="B476" t="s">
        <v>4879</v>
      </c>
      <c r="C476" t="s">
        <v>4880</v>
      </c>
    </row>
    <row r="477" spans="1:3" x14ac:dyDescent="0.3">
      <c r="A477">
        <v>32100</v>
      </c>
      <c r="B477" t="s">
        <v>4879</v>
      </c>
      <c r="C477" t="s">
        <v>4880</v>
      </c>
    </row>
    <row r="478" spans="1:3" x14ac:dyDescent="0.3">
      <c r="A478">
        <v>32200</v>
      </c>
      <c r="B478" t="s">
        <v>4879</v>
      </c>
      <c r="C478" t="s">
        <v>4880</v>
      </c>
    </row>
    <row r="479" spans="1:3" x14ac:dyDescent="0.3">
      <c r="A479">
        <v>32300</v>
      </c>
      <c r="B479" t="s">
        <v>4879</v>
      </c>
      <c r="C479" t="s">
        <v>4880</v>
      </c>
    </row>
    <row r="480" spans="1:3" x14ac:dyDescent="0.3">
      <c r="A480">
        <v>32600</v>
      </c>
      <c r="B480" t="s">
        <v>4879</v>
      </c>
      <c r="C480" t="s">
        <v>4880</v>
      </c>
    </row>
    <row r="481" spans="1:3" x14ac:dyDescent="0.3">
      <c r="A481">
        <v>33001</v>
      </c>
      <c r="B481" t="s">
        <v>4879</v>
      </c>
      <c r="C481" t="s">
        <v>4880</v>
      </c>
    </row>
    <row r="482" spans="1:3" x14ac:dyDescent="0.3">
      <c r="A482">
        <v>33002</v>
      </c>
      <c r="B482" t="s">
        <v>4879</v>
      </c>
      <c r="C482" t="s">
        <v>4880</v>
      </c>
    </row>
    <row r="483" spans="1:3" x14ac:dyDescent="0.3">
      <c r="A483">
        <v>33003</v>
      </c>
      <c r="B483" t="s">
        <v>4879</v>
      </c>
      <c r="C483" t="s">
        <v>4880</v>
      </c>
    </row>
    <row r="484" spans="1:3" x14ac:dyDescent="0.3">
      <c r="A484">
        <v>33005</v>
      </c>
      <c r="B484" t="s">
        <v>4881</v>
      </c>
      <c r="C484" t="s">
        <v>4880</v>
      </c>
    </row>
    <row r="485" spans="1:3" x14ac:dyDescent="0.3">
      <c r="A485">
        <v>33007</v>
      </c>
      <c r="B485" t="s">
        <v>4881</v>
      </c>
      <c r="C485" t="s">
        <v>4880</v>
      </c>
    </row>
    <row r="486" spans="1:3" x14ac:dyDescent="0.3">
      <c r="A486">
        <v>33008</v>
      </c>
      <c r="B486" t="s">
        <v>4881</v>
      </c>
      <c r="C486" t="s">
        <v>4880</v>
      </c>
    </row>
    <row r="487" spans="1:3" x14ac:dyDescent="0.3">
      <c r="A487">
        <v>33011</v>
      </c>
      <c r="B487" t="s">
        <v>4879</v>
      </c>
      <c r="C487" t="s">
        <v>4880</v>
      </c>
    </row>
    <row r="488" spans="1:3" x14ac:dyDescent="0.3">
      <c r="A488">
        <v>33012</v>
      </c>
      <c r="B488" t="s">
        <v>4881</v>
      </c>
      <c r="C488" t="s">
        <v>4880</v>
      </c>
    </row>
    <row r="489" spans="1:3" x14ac:dyDescent="0.3">
      <c r="A489">
        <v>33013</v>
      </c>
      <c r="B489" t="s">
        <v>4881</v>
      </c>
      <c r="C489" t="s">
        <v>4880</v>
      </c>
    </row>
    <row r="490" spans="1:3" x14ac:dyDescent="0.3">
      <c r="A490">
        <v>33014</v>
      </c>
      <c r="B490" t="s">
        <v>4881</v>
      </c>
      <c r="C490" t="s">
        <v>4880</v>
      </c>
    </row>
    <row r="491" spans="1:3" x14ac:dyDescent="0.3">
      <c r="A491">
        <v>33016</v>
      </c>
      <c r="B491" t="s">
        <v>4881</v>
      </c>
      <c r="C491" t="s">
        <v>4880</v>
      </c>
    </row>
    <row r="492" spans="1:3" x14ac:dyDescent="0.3">
      <c r="A492">
        <v>33017</v>
      </c>
      <c r="B492" t="s">
        <v>4881</v>
      </c>
      <c r="C492" t="s">
        <v>4880</v>
      </c>
    </row>
    <row r="493" spans="1:3" x14ac:dyDescent="0.3">
      <c r="A493">
        <v>33021</v>
      </c>
      <c r="B493" t="s">
        <v>4881</v>
      </c>
      <c r="C493" t="s">
        <v>4880</v>
      </c>
    </row>
    <row r="494" spans="1:3" x14ac:dyDescent="0.3">
      <c r="A494">
        <v>33022</v>
      </c>
      <c r="B494" t="s">
        <v>4881</v>
      </c>
      <c r="C494" t="s">
        <v>4880</v>
      </c>
    </row>
    <row r="495" spans="1:3" x14ac:dyDescent="0.3">
      <c r="A495">
        <v>33023</v>
      </c>
      <c r="B495" t="s">
        <v>4881</v>
      </c>
      <c r="C495" t="s">
        <v>4880</v>
      </c>
    </row>
    <row r="496" spans="1:3" x14ac:dyDescent="0.3">
      <c r="A496">
        <v>33024</v>
      </c>
      <c r="B496" t="s">
        <v>4881</v>
      </c>
      <c r="C496" t="s">
        <v>4880</v>
      </c>
    </row>
    <row r="497" spans="1:3" x14ac:dyDescent="0.3">
      <c r="A497">
        <v>33025</v>
      </c>
      <c r="B497" t="s">
        <v>4881</v>
      </c>
      <c r="C497" t="s">
        <v>4880</v>
      </c>
    </row>
    <row r="498" spans="1:3" x14ac:dyDescent="0.3">
      <c r="A498">
        <v>33026</v>
      </c>
      <c r="B498" t="s">
        <v>4881</v>
      </c>
      <c r="C498" t="s">
        <v>4880</v>
      </c>
    </row>
    <row r="499" spans="1:3" x14ac:dyDescent="0.3">
      <c r="A499">
        <v>33027</v>
      </c>
      <c r="B499" t="s">
        <v>4879</v>
      </c>
      <c r="C499" t="s">
        <v>4880</v>
      </c>
    </row>
    <row r="500" spans="1:3" x14ac:dyDescent="0.3">
      <c r="A500">
        <v>33032</v>
      </c>
      <c r="B500" t="s">
        <v>4881</v>
      </c>
      <c r="C500" t="s">
        <v>4880</v>
      </c>
    </row>
    <row r="501" spans="1:3" x14ac:dyDescent="0.3">
      <c r="A501">
        <v>33033</v>
      </c>
      <c r="B501" t="s">
        <v>4881</v>
      </c>
      <c r="C501" t="s">
        <v>4880</v>
      </c>
    </row>
    <row r="502" spans="1:3" x14ac:dyDescent="0.3">
      <c r="A502">
        <v>33035</v>
      </c>
      <c r="B502" t="s">
        <v>4881</v>
      </c>
      <c r="C502" t="s">
        <v>4880</v>
      </c>
    </row>
    <row r="503" spans="1:3" x14ac:dyDescent="0.3">
      <c r="A503">
        <v>33036</v>
      </c>
      <c r="B503" t="s">
        <v>4881</v>
      </c>
      <c r="C503" t="s">
        <v>4880</v>
      </c>
    </row>
    <row r="504" spans="1:3" x14ac:dyDescent="0.3">
      <c r="A504">
        <v>33038</v>
      </c>
      <c r="B504" t="s">
        <v>4881</v>
      </c>
      <c r="C504" t="s">
        <v>4880</v>
      </c>
    </row>
    <row r="505" spans="1:3" x14ac:dyDescent="0.3">
      <c r="A505">
        <v>33041</v>
      </c>
      <c r="B505" t="s">
        <v>4881</v>
      </c>
      <c r="C505" t="s">
        <v>4880</v>
      </c>
    </row>
    <row r="506" spans="1:3" x14ac:dyDescent="0.3">
      <c r="A506">
        <v>33101</v>
      </c>
      <c r="B506" t="s">
        <v>4881</v>
      </c>
      <c r="C506" t="s">
        <v>4880</v>
      </c>
    </row>
    <row r="507" spans="1:3" x14ac:dyDescent="0.3">
      <c r="A507">
        <v>33141</v>
      </c>
      <c r="B507" t="s">
        <v>4881</v>
      </c>
      <c r="C507" t="s">
        <v>4880</v>
      </c>
    </row>
    <row r="508" spans="1:3" x14ac:dyDescent="0.3">
      <c r="A508">
        <v>33144</v>
      </c>
      <c r="B508" t="s">
        <v>4881</v>
      </c>
      <c r="C508" t="s">
        <v>4880</v>
      </c>
    </row>
    <row r="509" spans="1:3" x14ac:dyDescent="0.3">
      <c r="A509">
        <v>33151</v>
      </c>
      <c r="B509" t="s">
        <v>4881</v>
      </c>
      <c r="C509" t="s">
        <v>4880</v>
      </c>
    </row>
    <row r="510" spans="1:3" x14ac:dyDescent="0.3">
      <c r="A510">
        <v>33152</v>
      </c>
      <c r="B510" t="s">
        <v>4881</v>
      </c>
      <c r="C510" t="s">
        <v>4880</v>
      </c>
    </row>
    <row r="511" spans="1:3" x14ac:dyDescent="0.3">
      <c r="A511">
        <v>33162</v>
      </c>
      <c r="B511" t="s">
        <v>4881</v>
      </c>
      <c r="C511" t="s">
        <v>4880</v>
      </c>
    </row>
    <row r="512" spans="1:3" x14ac:dyDescent="0.3">
      <c r="A512">
        <v>33163</v>
      </c>
      <c r="B512" t="s">
        <v>4881</v>
      </c>
      <c r="C512" t="s">
        <v>4880</v>
      </c>
    </row>
    <row r="513" spans="1:3" x14ac:dyDescent="0.3">
      <c r="A513">
        <v>33165</v>
      </c>
      <c r="B513" t="s">
        <v>4881</v>
      </c>
      <c r="C513" t="s">
        <v>4880</v>
      </c>
    </row>
    <row r="514" spans="1:3" x14ac:dyDescent="0.3">
      <c r="A514">
        <v>33201</v>
      </c>
      <c r="B514" t="s">
        <v>4879</v>
      </c>
      <c r="C514" t="s">
        <v>4880</v>
      </c>
    </row>
    <row r="515" spans="1:3" x14ac:dyDescent="0.3">
      <c r="A515">
        <v>33202</v>
      </c>
      <c r="B515" t="s">
        <v>4879</v>
      </c>
      <c r="C515" t="s">
        <v>4880</v>
      </c>
    </row>
    <row r="516" spans="1:3" x14ac:dyDescent="0.3">
      <c r="A516">
        <v>33203</v>
      </c>
      <c r="B516" t="s">
        <v>4879</v>
      </c>
      <c r="C516" t="s">
        <v>4880</v>
      </c>
    </row>
    <row r="517" spans="1:3" x14ac:dyDescent="0.3">
      <c r="A517">
        <v>33204</v>
      </c>
      <c r="B517" t="s">
        <v>4882</v>
      </c>
      <c r="C517" t="s">
        <v>4880</v>
      </c>
    </row>
    <row r="518" spans="1:3" x14ac:dyDescent="0.3">
      <c r="A518">
        <v>33205</v>
      </c>
      <c r="B518" t="s">
        <v>4879</v>
      </c>
      <c r="C518" t="s">
        <v>4880</v>
      </c>
    </row>
    <row r="519" spans="1:3" x14ac:dyDescent="0.3">
      <c r="A519">
        <v>33207</v>
      </c>
      <c r="B519" t="s">
        <v>4882</v>
      </c>
      <c r="C519" t="s">
        <v>4880</v>
      </c>
    </row>
    <row r="520" spans="1:3" x14ac:dyDescent="0.3">
      <c r="A520">
        <v>33209</v>
      </c>
      <c r="B520" t="s">
        <v>4882</v>
      </c>
      <c r="C520" t="s">
        <v>4880</v>
      </c>
    </row>
    <row r="521" spans="1:3" x14ac:dyDescent="0.3">
      <c r="A521">
        <v>33211</v>
      </c>
      <c r="B521" t="s">
        <v>4882</v>
      </c>
      <c r="C521" t="s">
        <v>4880</v>
      </c>
    </row>
    <row r="522" spans="1:3" x14ac:dyDescent="0.3">
      <c r="A522">
        <v>33214</v>
      </c>
      <c r="B522" t="s">
        <v>4882</v>
      </c>
      <c r="C522" t="s">
        <v>4880</v>
      </c>
    </row>
    <row r="523" spans="1:3" x14ac:dyDescent="0.3">
      <c r="A523">
        <v>33301</v>
      </c>
      <c r="B523" t="s">
        <v>4882</v>
      </c>
      <c r="C523" t="s">
        <v>4880</v>
      </c>
    </row>
    <row r="524" spans="1:3" x14ac:dyDescent="0.3">
      <c r="A524">
        <v>33401</v>
      </c>
      <c r="B524" t="s">
        <v>527</v>
      </c>
      <c r="C524" t="s">
        <v>4880</v>
      </c>
    </row>
    <row r="525" spans="1:3" x14ac:dyDescent="0.3">
      <c r="A525">
        <v>33441</v>
      </c>
      <c r="B525" t="s">
        <v>4882</v>
      </c>
      <c r="C525" t="s">
        <v>4880</v>
      </c>
    </row>
    <row r="526" spans="1:3" x14ac:dyDescent="0.3">
      <c r="A526">
        <v>33442</v>
      </c>
      <c r="B526" t="s">
        <v>4882</v>
      </c>
      <c r="C526" t="s">
        <v>4880</v>
      </c>
    </row>
    <row r="527" spans="1:3" x14ac:dyDescent="0.3">
      <c r="A527">
        <v>33443</v>
      </c>
      <c r="B527" t="s">
        <v>4882</v>
      </c>
      <c r="C527" t="s">
        <v>4880</v>
      </c>
    </row>
    <row r="528" spans="1:3" x14ac:dyDescent="0.3">
      <c r="A528">
        <v>33444</v>
      </c>
      <c r="B528" t="s">
        <v>4882</v>
      </c>
      <c r="C528" t="s">
        <v>4880</v>
      </c>
    </row>
    <row r="529" spans="1:3" x14ac:dyDescent="0.3">
      <c r="A529">
        <v>33452</v>
      </c>
      <c r="B529" t="s">
        <v>4882</v>
      </c>
      <c r="C529" t="s">
        <v>4880</v>
      </c>
    </row>
    <row r="530" spans="1:3" x14ac:dyDescent="0.3">
      <c r="A530">
        <v>33453</v>
      </c>
      <c r="B530" t="s">
        <v>4882</v>
      </c>
      <c r="C530" t="s">
        <v>4880</v>
      </c>
    </row>
    <row r="531" spans="1:3" x14ac:dyDescent="0.3">
      <c r="A531">
        <v>33454</v>
      </c>
      <c r="B531" t="s">
        <v>4882</v>
      </c>
      <c r="C531" t="s">
        <v>4880</v>
      </c>
    </row>
    <row r="532" spans="1:3" x14ac:dyDescent="0.3">
      <c r="A532">
        <v>33455</v>
      </c>
      <c r="B532" t="s">
        <v>4882</v>
      </c>
      <c r="C532" t="s">
        <v>4880</v>
      </c>
    </row>
    <row r="533" spans="1:3" x14ac:dyDescent="0.3">
      <c r="A533">
        <v>33501</v>
      </c>
      <c r="B533" t="s">
        <v>4882</v>
      </c>
      <c r="C533" t="s">
        <v>4880</v>
      </c>
    </row>
    <row r="534" spans="1:3" x14ac:dyDescent="0.3">
      <c r="A534">
        <v>33503</v>
      </c>
      <c r="B534" t="s">
        <v>4882</v>
      </c>
      <c r="C534" t="s">
        <v>4880</v>
      </c>
    </row>
    <row r="535" spans="1:3" x14ac:dyDescent="0.3">
      <c r="A535">
        <v>33541</v>
      </c>
      <c r="B535" t="s">
        <v>4882</v>
      </c>
      <c r="C535" t="s">
        <v>4880</v>
      </c>
    </row>
    <row r="536" spans="1:3" x14ac:dyDescent="0.3">
      <c r="A536">
        <v>33543</v>
      </c>
      <c r="B536" t="s">
        <v>4882</v>
      </c>
      <c r="C536" t="s">
        <v>4880</v>
      </c>
    </row>
    <row r="537" spans="1:3" x14ac:dyDescent="0.3">
      <c r="A537">
        <v>33544</v>
      </c>
      <c r="B537" t="s">
        <v>4882</v>
      </c>
      <c r="C537" t="s">
        <v>4880</v>
      </c>
    </row>
    <row r="538" spans="1:3" x14ac:dyDescent="0.3">
      <c r="A538">
        <v>33546</v>
      </c>
      <c r="B538" t="s">
        <v>4882</v>
      </c>
      <c r="C538" t="s">
        <v>4880</v>
      </c>
    </row>
    <row r="539" spans="1:3" x14ac:dyDescent="0.3">
      <c r="A539">
        <v>33547</v>
      </c>
      <c r="B539" t="s">
        <v>4882</v>
      </c>
      <c r="C539" t="s">
        <v>4880</v>
      </c>
    </row>
    <row r="540" spans="1:3" x14ac:dyDescent="0.3">
      <c r="A540">
        <v>33551</v>
      </c>
      <c r="B540" t="s">
        <v>4882</v>
      </c>
      <c r="C540" t="s">
        <v>4880</v>
      </c>
    </row>
    <row r="541" spans="1:3" x14ac:dyDescent="0.3">
      <c r="A541">
        <v>33554</v>
      </c>
      <c r="B541" t="s">
        <v>4882</v>
      </c>
      <c r="C541" t="s">
        <v>4880</v>
      </c>
    </row>
    <row r="542" spans="1:3" x14ac:dyDescent="0.3">
      <c r="A542">
        <v>33555</v>
      </c>
      <c r="B542" t="s">
        <v>4882</v>
      </c>
      <c r="C542" t="s">
        <v>4880</v>
      </c>
    </row>
    <row r="543" spans="1:3" x14ac:dyDescent="0.3">
      <c r="A543">
        <v>33561</v>
      </c>
      <c r="B543" t="s">
        <v>4882</v>
      </c>
      <c r="C543" t="s">
        <v>4880</v>
      </c>
    </row>
    <row r="544" spans="1:3" x14ac:dyDescent="0.3">
      <c r="A544">
        <v>33563</v>
      </c>
      <c r="B544" t="s">
        <v>4882</v>
      </c>
      <c r="C544" t="s">
        <v>4880</v>
      </c>
    </row>
    <row r="545" spans="1:3" x14ac:dyDescent="0.3">
      <c r="A545">
        <v>33564</v>
      </c>
      <c r="B545" t="s">
        <v>4882</v>
      </c>
      <c r="C545" t="s">
        <v>4880</v>
      </c>
    </row>
    <row r="546" spans="1:3" x14ac:dyDescent="0.3">
      <c r="A546">
        <v>33601</v>
      </c>
      <c r="B546" t="s">
        <v>4882</v>
      </c>
      <c r="C546" t="s">
        <v>4880</v>
      </c>
    </row>
    <row r="547" spans="1:3" x14ac:dyDescent="0.3">
      <c r="A547">
        <v>33701</v>
      </c>
      <c r="B547" t="s">
        <v>583</v>
      </c>
      <c r="C547" t="s">
        <v>4880</v>
      </c>
    </row>
    <row r="548" spans="1:3" x14ac:dyDescent="0.3">
      <c r="A548">
        <v>33801</v>
      </c>
      <c r="B548" t="s">
        <v>583</v>
      </c>
      <c r="C548" t="s">
        <v>4880</v>
      </c>
    </row>
    <row r="549" spans="1:3" x14ac:dyDescent="0.3">
      <c r="A549">
        <v>33805</v>
      </c>
      <c r="B549" t="s">
        <v>583</v>
      </c>
      <c r="C549" t="s">
        <v>4880</v>
      </c>
    </row>
    <row r="550" spans="1:3" x14ac:dyDescent="0.3">
      <c r="A550">
        <v>33806</v>
      </c>
      <c r="B550" t="s">
        <v>583</v>
      </c>
      <c r="C550" t="s">
        <v>4880</v>
      </c>
    </row>
    <row r="551" spans="1:3" x14ac:dyDescent="0.3">
      <c r="A551">
        <v>33808</v>
      </c>
      <c r="B551" t="s">
        <v>583</v>
      </c>
      <c r="C551" t="s">
        <v>4880</v>
      </c>
    </row>
    <row r="552" spans="1:3" x14ac:dyDescent="0.3">
      <c r="A552">
        <v>33821</v>
      </c>
      <c r="B552" t="s">
        <v>583</v>
      </c>
      <c r="C552" t="s">
        <v>4880</v>
      </c>
    </row>
    <row r="553" spans="1:3" x14ac:dyDescent="0.3">
      <c r="A553">
        <v>33822</v>
      </c>
      <c r="B553" t="s">
        <v>583</v>
      </c>
      <c r="C553" t="s">
        <v>4880</v>
      </c>
    </row>
    <row r="554" spans="1:3" x14ac:dyDescent="0.3">
      <c r="A554">
        <v>33824</v>
      </c>
      <c r="B554" t="s">
        <v>583</v>
      </c>
      <c r="C554" t="s">
        <v>4880</v>
      </c>
    </row>
    <row r="555" spans="1:3" x14ac:dyDescent="0.3">
      <c r="A555">
        <v>33828</v>
      </c>
      <c r="B555" t="s">
        <v>583</v>
      </c>
      <c r="C555" t="s">
        <v>4880</v>
      </c>
    </row>
    <row r="556" spans="1:3" x14ac:dyDescent="0.3">
      <c r="A556">
        <v>33841</v>
      </c>
      <c r="B556" t="s">
        <v>583</v>
      </c>
      <c r="C556" t="s">
        <v>4880</v>
      </c>
    </row>
    <row r="557" spans="1:3" x14ac:dyDescent="0.3">
      <c r="A557">
        <v>33842</v>
      </c>
      <c r="B557" t="s">
        <v>583</v>
      </c>
      <c r="C557" t="s">
        <v>4880</v>
      </c>
    </row>
    <row r="558" spans="1:3" x14ac:dyDescent="0.3">
      <c r="A558">
        <v>33843</v>
      </c>
      <c r="B558" t="s">
        <v>583</v>
      </c>
      <c r="C558" t="s">
        <v>4880</v>
      </c>
    </row>
    <row r="559" spans="1:3" x14ac:dyDescent="0.3">
      <c r="A559">
        <v>33844</v>
      </c>
      <c r="B559" t="s">
        <v>583</v>
      </c>
      <c r="C559" t="s">
        <v>4880</v>
      </c>
    </row>
    <row r="560" spans="1:3" x14ac:dyDescent="0.3">
      <c r="A560">
        <v>33845</v>
      </c>
      <c r="B560" t="s">
        <v>583</v>
      </c>
      <c r="C560" t="s">
        <v>4880</v>
      </c>
    </row>
    <row r="561" spans="1:3" x14ac:dyDescent="0.3">
      <c r="A561">
        <v>33901</v>
      </c>
      <c r="B561" t="s">
        <v>527</v>
      </c>
      <c r="C561" t="s">
        <v>4880</v>
      </c>
    </row>
    <row r="562" spans="1:3" x14ac:dyDescent="0.3">
      <c r="A562">
        <v>34004</v>
      </c>
      <c r="B562" t="s">
        <v>527</v>
      </c>
      <c r="C562" t="s">
        <v>4880</v>
      </c>
    </row>
    <row r="563" spans="1:3" x14ac:dyDescent="0.3">
      <c r="A563">
        <v>34012</v>
      </c>
      <c r="B563" t="s">
        <v>4882</v>
      </c>
      <c r="C563" t="s">
        <v>4880</v>
      </c>
    </row>
    <row r="564" spans="1:3" x14ac:dyDescent="0.3">
      <c r="A564">
        <v>34021</v>
      </c>
      <c r="B564" t="s">
        <v>527</v>
      </c>
      <c r="C564" t="s">
        <v>4880</v>
      </c>
    </row>
    <row r="565" spans="1:3" x14ac:dyDescent="0.3">
      <c r="A565">
        <v>34022</v>
      </c>
      <c r="B565" t="s">
        <v>527</v>
      </c>
      <c r="C565" t="s">
        <v>4880</v>
      </c>
    </row>
    <row r="566" spans="1:3" x14ac:dyDescent="0.3">
      <c r="A566">
        <v>34034</v>
      </c>
      <c r="B566" t="s">
        <v>527</v>
      </c>
      <c r="C566" t="s">
        <v>4880</v>
      </c>
    </row>
    <row r="567" spans="1:3" x14ac:dyDescent="0.3">
      <c r="A567">
        <v>34101</v>
      </c>
      <c r="B567" t="s">
        <v>527</v>
      </c>
      <c r="C567" t="s">
        <v>4880</v>
      </c>
    </row>
    <row r="568" spans="1:3" x14ac:dyDescent="0.3">
      <c r="A568">
        <v>34142</v>
      </c>
      <c r="B568" t="s">
        <v>527</v>
      </c>
      <c r="C568" t="s">
        <v>4880</v>
      </c>
    </row>
    <row r="569" spans="1:3" x14ac:dyDescent="0.3">
      <c r="A569">
        <v>34192</v>
      </c>
      <c r="B569" t="s">
        <v>527</v>
      </c>
      <c r="C569" t="s">
        <v>4880</v>
      </c>
    </row>
    <row r="570" spans="1:3" x14ac:dyDescent="0.3">
      <c r="A570">
        <v>34201</v>
      </c>
      <c r="B570" t="s">
        <v>2159</v>
      </c>
      <c r="C570" t="s">
        <v>4874</v>
      </c>
    </row>
    <row r="571" spans="1:3" x14ac:dyDescent="0.3">
      <c r="A571">
        <v>34401</v>
      </c>
      <c r="B571" t="s">
        <v>2232</v>
      </c>
      <c r="C571" t="s">
        <v>4880</v>
      </c>
    </row>
    <row r="572" spans="1:3" x14ac:dyDescent="0.3">
      <c r="A572">
        <v>34501</v>
      </c>
      <c r="B572" t="s">
        <v>2232</v>
      </c>
      <c r="C572" t="s">
        <v>4880</v>
      </c>
    </row>
    <row r="573" spans="1:3" x14ac:dyDescent="0.3">
      <c r="A573">
        <v>34502</v>
      </c>
      <c r="B573" t="s">
        <v>2232</v>
      </c>
      <c r="C573" t="s">
        <v>4880</v>
      </c>
    </row>
    <row r="574" spans="1:3" x14ac:dyDescent="0.3">
      <c r="A574">
        <v>34506</v>
      </c>
      <c r="B574" t="s">
        <v>2232</v>
      </c>
      <c r="C574" t="s">
        <v>4880</v>
      </c>
    </row>
    <row r="575" spans="1:3" x14ac:dyDescent="0.3">
      <c r="A575">
        <v>34507</v>
      </c>
      <c r="B575" t="s">
        <v>2232</v>
      </c>
      <c r="C575" t="s">
        <v>4880</v>
      </c>
    </row>
    <row r="576" spans="1:3" x14ac:dyDescent="0.3">
      <c r="A576">
        <v>34509</v>
      </c>
      <c r="B576" t="s">
        <v>2232</v>
      </c>
      <c r="C576" t="s">
        <v>4880</v>
      </c>
    </row>
    <row r="577" spans="1:3" x14ac:dyDescent="0.3">
      <c r="A577">
        <v>34521</v>
      </c>
      <c r="B577" t="s">
        <v>2232</v>
      </c>
      <c r="C577" t="s">
        <v>4880</v>
      </c>
    </row>
    <row r="578" spans="1:3" x14ac:dyDescent="0.3">
      <c r="A578">
        <v>34522</v>
      </c>
      <c r="B578" t="s">
        <v>2232</v>
      </c>
      <c r="C578" t="s">
        <v>4880</v>
      </c>
    </row>
    <row r="579" spans="1:3" x14ac:dyDescent="0.3">
      <c r="A579">
        <v>34525</v>
      </c>
      <c r="B579" t="s">
        <v>2232</v>
      </c>
      <c r="C579" t="s">
        <v>4880</v>
      </c>
    </row>
    <row r="580" spans="1:3" x14ac:dyDescent="0.3">
      <c r="A580">
        <v>34526</v>
      </c>
      <c r="B580" t="s">
        <v>2232</v>
      </c>
      <c r="C580" t="s">
        <v>4880</v>
      </c>
    </row>
    <row r="581" spans="1:3" x14ac:dyDescent="0.3">
      <c r="A581">
        <v>34532</v>
      </c>
      <c r="B581" t="s">
        <v>2232</v>
      </c>
      <c r="C581" t="s">
        <v>4880</v>
      </c>
    </row>
    <row r="582" spans="1:3" x14ac:dyDescent="0.3">
      <c r="A582">
        <v>34533</v>
      </c>
      <c r="B582" t="s">
        <v>2232</v>
      </c>
      <c r="C582" t="s">
        <v>4880</v>
      </c>
    </row>
    <row r="583" spans="1:3" x14ac:dyDescent="0.3">
      <c r="A583">
        <v>34534</v>
      </c>
      <c r="B583" t="s">
        <v>2232</v>
      </c>
      <c r="C583" t="s">
        <v>4880</v>
      </c>
    </row>
    <row r="584" spans="1:3" x14ac:dyDescent="0.3">
      <c r="A584">
        <v>34535</v>
      </c>
      <c r="B584" t="s">
        <v>2232</v>
      </c>
      <c r="C584" t="s">
        <v>4880</v>
      </c>
    </row>
    <row r="585" spans="1:3" x14ac:dyDescent="0.3">
      <c r="A585">
        <v>34543</v>
      </c>
      <c r="B585" t="s">
        <v>2232</v>
      </c>
      <c r="C585" t="s">
        <v>4880</v>
      </c>
    </row>
    <row r="586" spans="1:3" x14ac:dyDescent="0.3">
      <c r="A586">
        <v>34545</v>
      </c>
      <c r="B586" t="s">
        <v>2232</v>
      </c>
      <c r="C586" t="s">
        <v>4880</v>
      </c>
    </row>
    <row r="587" spans="1:3" x14ac:dyDescent="0.3">
      <c r="A587">
        <v>34561</v>
      </c>
      <c r="B587" t="s">
        <v>2232</v>
      </c>
      <c r="C587" t="s">
        <v>4880</v>
      </c>
    </row>
    <row r="588" spans="1:3" x14ac:dyDescent="0.3">
      <c r="A588">
        <v>34562</v>
      </c>
      <c r="B588" t="s">
        <v>2232</v>
      </c>
      <c r="C588" t="s">
        <v>4880</v>
      </c>
    </row>
    <row r="589" spans="1:3" x14ac:dyDescent="0.3">
      <c r="A589">
        <v>34601</v>
      </c>
      <c r="B589" t="s">
        <v>2232</v>
      </c>
      <c r="C589" t="s">
        <v>4880</v>
      </c>
    </row>
    <row r="590" spans="1:3" x14ac:dyDescent="0.3">
      <c r="A590">
        <v>34701</v>
      </c>
      <c r="B590" t="s">
        <v>2047</v>
      </c>
      <c r="C590" t="s">
        <v>4880</v>
      </c>
    </row>
    <row r="591" spans="1:3" x14ac:dyDescent="0.3">
      <c r="A591">
        <v>34801</v>
      </c>
      <c r="B591" t="s">
        <v>2047</v>
      </c>
      <c r="C591" t="s">
        <v>4880</v>
      </c>
    </row>
    <row r="592" spans="1:3" x14ac:dyDescent="0.3">
      <c r="A592">
        <v>34802</v>
      </c>
      <c r="B592" t="s">
        <v>2047</v>
      </c>
      <c r="C592" t="s">
        <v>4880</v>
      </c>
    </row>
    <row r="593" spans="1:3" x14ac:dyDescent="0.3">
      <c r="A593">
        <v>34806</v>
      </c>
      <c r="B593" t="s">
        <v>2047</v>
      </c>
      <c r="C593" t="s">
        <v>4880</v>
      </c>
    </row>
    <row r="594" spans="1:3" x14ac:dyDescent="0.3">
      <c r="A594">
        <v>34813</v>
      </c>
      <c r="B594" t="s">
        <v>2047</v>
      </c>
      <c r="C594" t="s">
        <v>4880</v>
      </c>
    </row>
    <row r="595" spans="1:3" x14ac:dyDescent="0.3">
      <c r="A595">
        <v>34815</v>
      </c>
      <c r="B595" t="s">
        <v>2047</v>
      </c>
      <c r="C595" t="s">
        <v>4880</v>
      </c>
    </row>
    <row r="596" spans="1:3" x14ac:dyDescent="0.3">
      <c r="A596">
        <v>34901</v>
      </c>
      <c r="B596" t="s">
        <v>2047</v>
      </c>
      <c r="C596" t="s">
        <v>4880</v>
      </c>
    </row>
    <row r="597" spans="1:3" x14ac:dyDescent="0.3">
      <c r="A597">
        <v>34952</v>
      </c>
      <c r="B597" t="s">
        <v>2047</v>
      </c>
      <c r="C597" t="s">
        <v>4880</v>
      </c>
    </row>
    <row r="598" spans="1:3" x14ac:dyDescent="0.3">
      <c r="A598">
        <v>34953</v>
      </c>
      <c r="B598" t="s">
        <v>2047</v>
      </c>
      <c r="C598" t="s">
        <v>4880</v>
      </c>
    </row>
    <row r="599" spans="1:3" x14ac:dyDescent="0.3">
      <c r="A599">
        <v>34958</v>
      </c>
      <c r="B599" t="s">
        <v>2047</v>
      </c>
      <c r="C599" t="s">
        <v>4880</v>
      </c>
    </row>
    <row r="600" spans="1:3" x14ac:dyDescent="0.3">
      <c r="A600">
        <v>34961</v>
      </c>
      <c r="B600" t="s">
        <v>2047</v>
      </c>
      <c r="C600" t="s">
        <v>4880</v>
      </c>
    </row>
    <row r="601" spans="1:3" x14ac:dyDescent="0.3">
      <c r="A601">
        <v>34972</v>
      </c>
      <c r="B601" t="s">
        <v>2047</v>
      </c>
      <c r="C601" t="s">
        <v>4880</v>
      </c>
    </row>
    <row r="602" spans="1:3" x14ac:dyDescent="0.3">
      <c r="A602">
        <v>35002</v>
      </c>
      <c r="B602" t="s">
        <v>3426</v>
      </c>
      <c r="C602" t="s">
        <v>4883</v>
      </c>
    </row>
    <row r="603" spans="1:3" x14ac:dyDescent="0.3">
      <c r="A603">
        <v>35101</v>
      </c>
      <c r="B603" t="s">
        <v>3426</v>
      </c>
      <c r="C603" t="s">
        <v>4883</v>
      </c>
    </row>
    <row r="604" spans="1:3" x14ac:dyDescent="0.3">
      <c r="A604">
        <v>35124</v>
      </c>
      <c r="B604" t="s">
        <v>3426</v>
      </c>
      <c r="C604" t="s">
        <v>4883</v>
      </c>
    </row>
    <row r="605" spans="1:3" x14ac:dyDescent="0.3">
      <c r="A605">
        <v>35131</v>
      </c>
      <c r="B605" t="s">
        <v>3426</v>
      </c>
      <c r="C605" t="s">
        <v>4883</v>
      </c>
    </row>
    <row r="606" spans="1:3" x14ac:dyDescent="0.3">
      <c r="A606">
        <v>35132</v>
      </c>
      <c r="B606" t="s">
        <v>3426</v>
      </c>
      <c r="C606" t="s">
        <v>4883</v>
      </c>
    </row>
    <row r="607" spans="1:3" x14ac:dyDescent="0.3">
      <c r="A607">
        <v>35134</v>
      </c>
      <c r="B607" t="s">
        <v>3426</v>
      </c>
      <c r="C607" t="s">
        <v>4883</v>
      </c>
    </row>
    <row r="608" spans="1:3" x14ac:dyDescent="0.3">
      <c r="A608">
        <v>35135</v>
      </c>
      <c r="B608" t="s">
        <v>3426</v>
      </c>
      <c r="C608" t="s">
        <v>4883</v>
      </c>
    </row>
    <row r="609" spans="1:3" x14ac:dyDescent="0.3">
      <c r="A609">
        <v>35137</v>
      </c>
      <c r="B609" t="s">
        <v>3426</v>
      </c>
      <c r="C609" t="s">
        <v>4883</v>
      </c>
    </row>
    <row r="610" spans="1:3" x14ac:dyDescent="0.3">
      <c r="A610">
        <v>35201</v>
      </c>
      <c r="B610" t="s">
        <v>3426</v>
      </c>
      <c r="C610" t="s">
        <v>4883</v>
      </c>
    </row>
    <row r="611" spans="1:3" x14ac:dyDescent="0.3">
      <c r="A611">
        <v>35301</v>
      </c>
      <c r="B611" t="s">
        <v>3426</v>
      </c>
      <c r="C611" t="s">
        <v>4883</v>
      </c>
    </row>
    <row r="612" spans="1:3" x14ac:dyDescent="0.3">
      <c r="A612">
        <v>35491</v>
      </c>
      <c r="B612" t="s">
        <v>3426</v>
      </c>
      <c r="C612" t="s">
        <v>4883</v>
      </c>
    </row>
    <row r="613" spans="1:3" x14ac:dyDescent="0.3">
      <c r="A613">
        <v>35493</v>
      </c>
      <c r="B613" t="s">
        <v>3426</v>
      </c>
      <c r="C613" t="s">
        <v>4883</v>
      </c>
    </row>
    <row r="614" spans="1:3" x14ac:dyDescent="0.3">
      <c r="A614">
        <v>35601</v>
      </c>
      <c r="B614" t="s">
        <v>878</v>
      </c>
      <c r="C614" t="s">
        <v>4883</v>
      </c>
    </row>
    <row r="615" spans="1:3" x14ac:dyDescent="0.3">
      <c r="A615">
        <v>35604</v>
      </c>
      <c r="B615" t="s">
        <v>878</v>
      </c>
      <c r="C615" t="s">
        <v>4883</v>
      </c>
    </row>
    <row r="616" spans="1:3" x14ac:dyDescent="0.3">
      <c r="A616">
        <v>35701</v>
      </c>
      <c r="B616" t="s">
        <v>878</v>
      </c>
      <c r="C616" t="s">
        <v>4883</v>
      </c>
    </row>
    <row r="617" spans="1:3" x14ac:dyDescent="0.3">
      <c r="A617">
        <v>35703</v>
      </c>
      <c r="B617" t="s">
        <v>878</v>
      </c>
      <c r="C617" t="s">
        <v>4883</v>
      </c>
    </row>
    <row r="618" spans="1:3" x14ac:dyDescent="0.3">
      <c r="A618">
        <v>35707</v>
      </c>
      <c r="B618" t="s">
        <v>878</v>
      </c>
      <c r="C618" t="s">
        <v>4883</v>
      </c>
    </row>
    <row r="619" spans="1:3" x14ac:dyDescent="0.3">
      <c r="A619">
        <v>35708</v>
      </c>
      <c r="B619" t="s">
        <v>878</v>
      </c>
      <c r="C619" t="s">
        <v>4883</v>
      </c>
    </row>
    <row r="620" spans="1:3" x14ac:dyDescent="0.3">
      <c r="A620">
        <v>35709</v>
      </c>
      <c r="B620" t="s">
        <v>878</v>
      </c>
      <c r="C620" t="s">
        <v>4883</v>
      </c>
    </row>
    <row r="621" spans="1:3" x14ac:dyDescent="0.3">
      <c r="A621">
        <v>35731</v>
      </c>
      <c r="B621" t="s">
        <v>878</v>
      </c>
      <c r="C621" t="s">
        <v>4883</v>
      </c>
    </row>
    <row r="622" spans="1:3" x14ac:dyDescent="0.3">
      <c r="A622">
        <v>35733</v>
      </c>
      <c r="B622" t="s">
        <v>878</v>
      </c>
      <c r="C622" t="s">
        <v>4883</v>
      </c>
    </row>
    <row r="623" spans="1:3" x14ac:dyDescent="0.3">
      <c r="A623">
        <v>35734</v>
      </c>
      <c r="B623" t="s">
        <v>878</v>
      </c>
      <c r="C623" t="s">
        <v>4883</v>
      </c>
    </row>
    <row r="624" spans="1:3" x14ac:dyDescent="0.3">
      <c r="A624">
        <v>35735</v>
      </c>
      <c r="B624" t="s">
        <v>878</v>
      </c>
      <c r="C624" t="s">
        <v>4883</v>
      </c>
    </row>
    <row r="625" spans="1:3" x14ac:dyDescent="0.3">
      <c r="A625">
        <v>35751</v>
      </c>
      <c r="B625" t="s">
        <v>878</v>
      </c>
      <c r="C625" t="s">
        <v>4883</v>
      </c>
    </row>
    <row r="626" spans="1:3" x14ac:dyDescent="0.3">
      <c r="A626">
        <v>35755</v>
      </c>
      <c r="B626" t="s">
        <v>878</v>
      </c>
      <c r="C626" t="s">
        <v>4883</v>
      </c>
    </row>
    <row r="627" spans="1:3" x14ac:dyDescent="0.3">
      <c r="A627">
        <v>35801</v>
      </c>
      <c r="B627" t="s">
        <v>878</v>
      </c>
      <c r="C627" t="s">
        <v>4883</v>
      </c>
    </row>
    <row r="628" spans="1:3" x14ac:dyDescent="0.3">
      <c r="A628">
        <v>36001</v>
      </c>
      <c r="B628" t="s">
        <v>4416</v>
      </c>
      <c r="C628" t="s">
        <v>4883</v>
      </c>
    </row>
    <row r="629" spans="1:3" x14ac:dyDescent="0.3">
      <c r="A629">
        <v>36002</v>
      </c>
      <c r="B629" t="s">
        <v>4416</v>
      </c>
      <c r="C629" t="s">
        <v>4883</v>
      </c>
    </row>
    <row r="630" spans="1:3" x14ac:dyDescent="0.3">
      <c r="A630">
        <v>36004</v>
      </c>
      <c r="B630" t="s">
        <v>4416</v>
      </c>
      <c r="C630" t="s">
        <v>4883</v>
      </c>
    </row>
    <row r="631" spans="1:3" x14ac:dyDescent="0.3">
      <c r="A631">
        <v>36005</v>
      </c>
      <c r="B631" t="s">
        <v>4416</v>
      </c>
      <c r="C631" t="s">
        <v>4883</v>
      </c>
    </row>
    <row r="632" spans="1:3" x14ac:dyDescent="0.3">
      <c r="A632">
        <v>36006</v>
      </c>
      <c r="B632" t="s">
        <v>4416</v>
      </c>
      <c r="C632" t="s">
        <v>4883</v>
      </c>
    </row>
    <row r="633" spans="1:3" x14ac:dyDescent="0.3">
      <c r="A633">
        <v>36007</v>
      </c>
      <c r="B633" t="s">
        <v>4416</v>
      </c>
      <c r="C633" t="s">
        <v>4883</v>
      </c>
    </row>
    <row r="634" spans="1:3" x14ac:dyDescent="0.3">
      <c r="A634">
        <v>36010</v>
      </c>
      <c r="B634" t="s">
        <v>4416</v>
      </c>
      <c r="C634" t="s">
        <v>4883</v>
      </c>
    </row>
    <row r="635" spans="1:3" x14ac:dyDescent="0.3">
      <c r="A635">
        <v>36017</v>
      </c>
      <c r="B635" t="s">
        <v>4416</v>
      </c>
      <c r="C635" t="s">
        <v>4883</v>
      </c>
    </row>
    <row r="636" spans="1:3" x14ac:dyDescent="0.3">
      <c r="A636">
        <v>36018</v>
      </c>
      <c r="B636" t="s">
        <v>4416</v>
      </c>
      <c r="C636" t="s">
        <v>4883</v>
      </c>
    </row>
    <row r="637" spans="1:3" x14ac:dyDescent="0.3">
      <c r="A637">
        <v>36221</v>
      </c>
      <c r="B637" t="s">
        <v>4416</v>
      </c>
      <c r="C637" t="s">
        <v>4883</v>
      </c>
    </row>
    <row r="638" spans="1:3" x14ac:dyDescent="0.3">
      <c r="A638">
        <v>36222</v>
      </c>
      <c r="B638" t="s">
        <v>4416</v>
      </c>
      <c r="C638" t="s">
        <v>4883</v>
      </c>
    </row>
    <row r="639" spans="1:3" x14ac:dyDescent="0.3">
      <c r="A639">
        <v>36225</v>
      </c>
      <c r="B639" t="s">
        <v>4416</v>
      </c>
      <c r="C639" t="s">
        <v>4883</v>
      </c>
    </row>
    <row r="640" spans="1:3" x14ac:dyDescent="0.3">
      <c r="A640">
        <v>36233</v>
      </c>
      <c r="B640" t="s">
        <v>4416</v>
      </c>
      <c r="C640" t="s">
        <v>4883</v>
      </c>
    </row>
    <row r="641" spans="1:3" x14ac:dyDescent="0.3">
      <c r="A641">
        <v>36234</v>
      </c>
      <c r="B641" t="s">
        <v>4416</v>
      </c>
      <c r="C641" t="s">
        <v>4883</v>
      </c>
    </row>
    <row r="642" spans="1:3" x14ac:dyDescent="0.3">
      <c r="A642">
        <v>36235</v>
      </c>
      <c r="B642" t="s">
        <v>4416</v>
      </c>
      <c r="C642" t="s">
        <v>4883</v>
      </c>
    </row>
    <row r="643" spans="1:3" x14ac:dyDescent="0.3">
      <c r="A643">
        <v>36236</v>
      </c>
      <c r="B643" t="s">
        <v>4416</v>
      </c>
      <c r="C643" t="s">
        <v>4883</v>
      </c>
    </row>
    <row r="644" spans="1:3" x14ac:dyDescent="0.3">
      <c r="A644">
        <v>36251</v>
      </c>
      <c r="B644" t="s">
        <v>4416</v>
      </c>
      <c r="C644" t="s">
        <v>4883</v>
      </c>
    </row>
    <row r="645" spans="1:3" x14ac:dyDescent="0.3">
      <c r="A645">
        <v>36263</v>
      </c>
      <c r="B645" t="s">
        <v>4416</v>
      </c>
      <c r="C645" t="s">
        <v>4883</v>
      </c>
    </row>
    <row r="646" spans="1:3" x14ac:dyDescent="0.3">
      <c r="A646">
        <v>36272</v>
      </c>
      <c r="B646" t="s">
        <v>4416</v>
      </c>
      <c r="C646" t="s">
        <v>4883</v>
      </c>
    </row>
    <row r="647" spans="1:3" x14ac:dyDescent="0.3">
      <c r="A647">
        <v>36273</v>
      </c>
      <c r="B647" t="s">
        <v>4416</v>
      </c>
      <c r="C647" t="s">
        <v>4883</v>
      </c>
    </row>
    <row r="648" spans="1:3" x14ac:dyDescent="0.3">
      <c r="A648">
        <v>36301</v>
      </c>
      <c r="B648" t="s">
        <v>4416</v>
      </c>
      <c r="C648" t="s">
        <v>4883</v>
      </c>
    </row>
    <row r="649" spans="1:3" x14ac:dyDescent="0.3">
      <c r="A649">
        <v>36401</v>
      </c>
      <c r="B649" t="s">
        <v>4416</v>
      </c>
      <c r="C649" t="s">
        <v>4883</v>
      </c>
    </row>
    <row r="650" spans="1:3" x14ac:dyDescent="0.3">
      <c r="A650">
        <v>36452</v>
      </c>
      <c r="B650" t="s">
        <v>4416</v>
      </c>
      <c r="C650" t="s">
        <v>4883</v>
      </c>
    </row>
    <row r="651" spans="1:3" x14ac:dyDescent="0.3">
      <c r="A651">
        <v>36453</v>
      </c>
      <c r="B651" t="s">
        <v>4416</v>
      </c>
      <c r="C651" t="s">
        <v>4883</v>
      </c>
    </row>
    <row r="652" spans="1:3" x14ac:dyDescent="0.3">
      <c r="A652">
        <v>36461</v>
      </c>
      <c r="B652" t="s">
        <v>3426</v>
      </c>
      <c r="C652" t="s">
        <v>4883</v>
      </c>
    </row>
    <row r="653" spans="1:3" x14ac:dyDescent="0.3">
      <c r="A653">
        <v>36464</v>
      </c>
      <c r="B653" t="s">
        <v>4416</v>
      </c>
      <c r="C653" t="s">
        <v>4883</v>
      </c>
    </row>
    <row r="654" spans="1:3" x14ac:dyDescent="0.3">
      <c r="A654">
        <v>36471</v>
      </c>
      <c r="B654" t="s">
        <v>4416</v>
      </c>
      <c r="C654" t="s">
        <v>4883</v>
      </c>
    </row>
    <row r="655" spans="1:3" x14ac:dyDescent="0.3">
      <c r="A655">
        <v>37001</v>
      </c>
      <c r="B655" t="s">
        <v>1489</v>
      </c>
      <c r="C655" t="s">
        <v>4874</v>
      </c>
    </row>
    <row r="656" spans="1:3" x14ac:dyDescent="0.3">
      <c r="A656">
        <v>37004</v>
      </c>
      <c r="B656" t="s">
        <v>1489</v>
      </c>
      <c r="C656" t="s">
        <v>4874</v>
      </c>
    </row>
    <row r="657" spans="1:3" x14ac:dyDescent="0.3">
      <c r="A657">
        <v>37005</v>
      </c>
      <c r="B657" t="s">
        <v>1489</v>
      </c>
      <c r="C657" t="s">
        <v>4874</v>
      </c>
    </row>
    <row r="658" spans="1:3" x14ac:dyDescent="0.3">
      <c r="A658">
        <v>37006</v>
      </c>
      <c r="B658" t="s">
        <v>1489</v>
      </c>
      <c r="C658" t="s">
        <v>4874</v>
      </c>
    </row>
    <row r="659" spans="1:3" x14ac:dyDescent="0.3">
      <c r="A659">
        <v>37007</v>
      </c>
      <c r="B659" t="s">
        <v>1489</v>
      </c>
      <c r="C659" t="s">
        <v>4874</v>
      </c>
    </row>
    <row r="660" spans="1:3" x14ac:dyDescent="0.3">
      <c r="A660">
        <v>37008</v>
      </c>
      <c r="B660" t="s">
        <v>1489</v>
      </c>
      <c r="C660" t="s">
        <v>4874</v>
      </c>
    </row>
    <row r="661" spans="1:3" x14ac:dyDescent="0.3">
      <c r="A661">
        <v>37010</v>
      </c>
      <c r="B661" t="s">
        <v>1489</v>
      </c>
      <c r="C661" t="s">
        <v>4874</v>
      </c>
    </row>
    <row r="662" spans="1:3" x14ac:dyDescent="0.3">
      <c r="A662">
        <v>37011</v>
      </c>
      <c r="B662" t="s">
        <v>1489</v>
      </c>
      <c r="C662" t="s">
        <v>4874</v>
      </c>
    </row>
    <row r="663" spans="1:3" x14ac:dyDescent="0.3">
      <c r="A663">
        <v>37301</v>
      </c>
      <c r="B663" t="s">
        <v>1489</v>
      </c>
      <c r="C663" t="s">
        <v>4874</v>
      </c>
    </row>
    <row r="664" spans="1:3" x14ac:dyDescent="0.3">
      <c r="A664">
        <v>37302</v>
      </c>
      <c r="B664" t="s">
        <v>1489</v>
      </c>
      <c r="C664" t="s">
        <v>4874</v>
      </c>
    </row>
    <row r="665" spans="1:3" x14ac:dyDescent="0.3">
      <c r="A665">
        <v>37304</v>
      </c>
      <c r="B665" t="s">
        <v>1489</v>
      </c>
      <c r="C665" t="s">
        <v>4874</v>
      </c>
    </row>
    <row r="666" spans="1:3" x14ac:dyDescent="0.3">
      <c r="A666">
        <v>37311</v>
      </c>
      <c r="B666" t="s">
        <v>1489</v>
      </c>
      <c r="C666" t="s">
        <v>4874</v>
      </c>
    </row>
    <row r="667" spans="1:3" x14ac:dyDescent="0.3">
      <c r="A667">
        <v>37312</v>
      </c>
      <c r="B667" t="s">
        <v>1489</v>
      </c>
      <c r="C667" t="s">
        <v>4874</v>
      </c>
    </row>
    <row r="668" spans="1:3" x14ac:dyDescent="0.3">
      <c r="A668">
        <v>37314</v>
      </c>
      <c r="B668" t="s">
        <v>1489</v>
      </c>
      <c r="C668" t="s">
        <v>4874</v>
      </c>
    </row>
    <row r="669" spans="1:3" x14ac:dyDescent="0.3">
      <c r="A669">
        <v>37315</v>
      </c>
      <c r="B669" t="s">
        <v>1489</v>
      </c>
      <c r="C669" t="s">
        <v>4874</v>
      </c>
    </row>
    <row r="670" spans="1:3" x14ac:dyDescent="0.3">
      <c r="A670">
        <v>37316</v>
      </c>
      <c r="B670" t="s">
        <v>1489</v>
      </c>
      <c r="C670" t="s">
        <v>4874</v>
      </c>
    </row>
    <row r="671" spans="1:3" x14ac:dyDescent="0.3">
      <c r="A671">
        <v>37321</v>
      </c>
      <c r="B671" t="s">
        <v>1489</v>
      </c>
      <c r="C671" t="s">
        <v>4874</v>
      </c>
    </row>
    <row r="672" spans="1:3" x14ac:dyDescent="0.3">
      <c r="A672">
        <v>37322</v>
      </c>
      <c r="B672" t="s">
        <v>1489</v>
      </c>
      <c r="C672" t="s">
        <v>4874</v>
      </c>
    </row>
    <row r="673" spans="1:3" x14ac:dyDescent="0.3">
      <c r="A673">
        <v>37323</v>
      </c>
      <c r="B673" t="s">
        <v>1489</v>
      </c>
      <c r="C673" t="s">
        <v>4874</v>
      </c>
    </row>
    <row r="674" spans="1:3" x14ac:dyDescent="0.3">
      <c r="A674">
        <v>37324</v>
      </c>
      <c r="B674" t="s">
        <v>1489</v>
      </c>
      <c r="C674" t="s">
        <v>4874</v>
      </c>
    </row>
    <row r="675" spans="1:3" x14ac:dyDescent="0.3">
      <c r="A675">
        <v>37331</v>
      </c>
      <c r="B675" t="s">
        <v>1489</v>
      </c>
      <c r="C675" t="s">
        <v>4874</v>
      </c>
    </row>
    <row r="676" spans="1:3" x14ac:dyDescent="0.3">
      <c r="A676">
        <v>37332</v>
      </c>
      <c r="B676" t="s">
        <v>1489</v>
      </c>
      <c r="C676" t="s">
        <v>4874</v>
      </c>
    </row>
    <row r="677" spans="1:3" x14ac:dyDescent="0.3">
      <c r="A677">
        <v>37333</v>
      </c>
      <c r="B677" t="s">
        <v>1489</v>
      </c>
      <c r="C677" t="s">
        <v>4874</v>
      </c>
    </row>
    <row r="678" spans="1:3" x14ac:dyDescent="0.3">
      <c r="A678">
        <v>37335</v>
      </c>
      <c r="B678" t="s">
        <v>1489</v>
      </c>
      <c r="C678" t="s">
        <v>4874</v>
      </c>
    </row>
    <row r="679" spans="1:3" x14ac:dyDescent="0.3">
      <c r="A679">
        <v>37336</v>
      </c>
      <c r="B679" t="s">
        <v>1489</v>
      </c>
      <c r="C679" t="s">
        <v>4874</v>
      </c>
    </row>
    <row r="680" spans="1:3" x14ac:dyDescent="0.3">
      <c r="A680">
        <v>37341</v>
      </c>
      <c r="B680" t="s">
        <v>1489</v>
      </c>
      <c r="C680" t="s">
        <v>4874</v>
      </c>
    </row>
    <row r="681" spans="1:3" x14ac:dyDescent="0.3">
      <c r="A681">
        <v>37343</v>
      </c>
      <c r="B681" t="s">
        <v>1489</v>
      </c>
      <c r="C681" t="s">
        <v>4874</v>
      </c>
    </row>
    <row r="682" spans="1:3" x14ac:dyDescent="0.3">
      <c r="A682">
        <v>37344</v>
      </c>
      <c r="B682" t="s">
        <v>1489</v>
      </c>
      <c r="C682" t="s">
        <v>4874</v>
      </c>
    </row>
    <row r="683" spans="1:3" x14ac:dyDescent="0.3">
      <c r="A683">
        <v>37346</v>
      </c>
      <c r="B683" t="s">
        <v>1489</v>
      </c>
      <c r="C683" t="s">
        <v>4874</v>
      </c>
    </row>
    <row r="684" spans="1:3" x14ac:dyDescent="0.3">
      <c r="A684">
        <v>37347</v>
      </c>
      <c r="B684" t="s">
        <v>1489</v>
      </c>
      <c r="C684" t="s">
        <v>4874</v>
      </c>
    </row>
    <row r="685" spans="1:3" x14ac:dyDescent="0.3">
      <c r="A685">
        <v>37348</v>
      </c>
      <c r="B685" t="s">
        <v>1489</v>
      </c>
      <c r="C685" t="s">
        <v>4874</v>
      </c>
    </row>
    <row r="686" spans="1:3" x14ac:dyDescent="0.3">
      <c r="A686">
        <v>37349</v>
      </c>
      <c r="B686" t="s">
        <v>1489</v>
      </c>
      <c r="C686" t="s">
        <v>4874</v>
      </c>
    </row>
    <row r="687" spans="1:3" x14ac:dyDescent="0.3">
      <c r="A687">
        <v>37350</v>
      </c>
      <c r="B687" t="s">
        <v>1489</v>
      </c>
      <c r="C687" t="s">
        <v>4874</v>
      </c>
    </row>
    <row r="688" spans="1:3" x14ac:dyDescent="0.3">
      <c r="A688">
        <v>37351</v>
      </c>
      <c r="B688" t="s">
        <v>1489</v>
      </c>
      <c r="C688" t="s">
        <v>4874</v>
      </c>
    </row>
    <row r="689" spans="1:3" x14ac:dyDescent="0.3">
      <c r="A689">
        <v>37361</v>
      </c>
      <c r="B689" t="s">
        <v>1489</v>
      </c>
      <c r="C689" t="s">
        <v>4874</v>
      </c>
    </row>
    <row r="690" spans="1:3" x14ac:dyDescent="0.3">
      <c r="A690">
        <v>37362</v>
      </c>
      <c r="B690" t="s">
        <v>1489</v>
      </c>
      <c r="C690" t="s">
        <v>4874</v>
      </c>
    </row>
    <row r="691" spans="1:3" x14ac:dyDescent="0.3">
      <c r="A691">
        <v>37363</v>
      </c>
      <c r="B691" t="s">
        <v>1489</v>
      </c>
      <c r="C691" t="s">
        <v>4874</v>
      </c>
    </row>
    <row r="692" spans="1:3" x14ac:dyDescent="0.3">
      <c r="A692">
        <v>37364</v>
      </c>
      <c r="B692" t="s">
        <v>1489</v>
      </c>
      <c r="C692" t="s">
        <v>4874</v>
      </c>
    </row>
    <row r="693" spans="1:3" x14ac:dyDescent="0.3">
      <c r="A693">
        <v>37365</v>
      </c>
      <c r="B693" t="s">
        <v>1489</v>
      </c>
      <c r="C693" t="s">
        <v>4874</v>
      </c>
    </row>
    <row r="694" spans="1:3" x14ac:dyDescent="0.3">
      <c r="A694">
        <v>37366</v>
      </c>
      <c r="B694" t="s">
        <v>1489</v>
      </c>
      <c r="C694" t="s">
        <v>4874</v>
      </c>
    </row>
    <row r="695" spans="1:3" x14ac:dyDescent="0.3">
      <c r="A695">
        <v>37367</v>
      </c>
      <c r="B695" t="s">
        <v>1489</v>
      </c>
      <c r="C695" t="s">
        <v>4874</v>
      </c>
    </row>
    <row r="696" spans="1:3" x14ac:dyDescent="0.3">
      <c r="A696">
        <v>37371</v>
      </c>
      <c r="B696" t="s">
        <v>1489</v>
      </c>
      <c r="C696" t="s">
        <v>4874</v>
      </c>
    </row>
    <row r="697" spans="1:3" x14ac:dyDescent="0.3">
      <c r="A697">
        <v>37372</v>
      </c>
      <c r="B697" t="s">
        <v>1489</v>
      </c>
      <c r="C697" t="s">
        <v>4874</v>
      </c>
    </row>
    <row r="698" spans="1:3" x14ac:dyDescent="0.3">
      <c r="A698">
        <v>37373</v>
      </c>
      <c r="B698" t="s">
        <v>1489</v>
      </c>
      <c r="C698" t="s">
        <v>4874</v>
      </c>
    </row>
    <row r="699" spans="1:3" x14ac:dyDescent="0.3">
      <c r="A699">
        <v>37381</v>
      </c>
      <c r="B699" t="s">
        <v>1489</v>
      </c>
      <c r="C699" t="s">
        <v>4874</v>
      </c>
    </row>
    <row r="700" spans="1:3" x14ac:dyDescent="0.3">
      <c r="A700">
        <v>37382</v>
      </c>
      <c r="B700" t="s">
        <v>1489</v>
      </c>
      <c r="C700" t="s">
        <v>4874</v>
      </c>
    </row>
    <row r="701" spans="1:3" x14ac:dyDescent="0.3">
      <c r="A701">
        <v>37384</v>
      </c>
      <c r="B701" t="s">
        <v>1489</v>
      </c>
      <c r="C701" t="s">
        <v>4874</v>
      </c>
    </row>
    <row r="702" spans="1:3" x14ac:dyDescent="0.3">
      <c r="A702">
        <v>37401</v>
      </c>
      <c r="B702" t="s">
        <v>1489</v>
      </c>
      <c r="C702" t="s">
        <v>4874</v>
      </c>
    </row>
    <row r="703" spans="1:3" x14ac:dyDescent="0.3">
      <c r="A703">
        <v>37501</v>
      </c>
      <c r="B703" t="s">
        <v>1489</v>
      </c>
      <c r="C703" t="s">
        <v>4874</v>
      </c>
    </row>
    <row r="704" spans="1:3" x14ac:dyDescent="0.3">
      <c r="A704">
        <v>37701</v>
      </c>
      <c r="B704" t="s">
        <v>4884</v>
      </c>
      <c r="C704" t="s">
        <v>4874</v>
      </c>
    </row>
    <row r="705" spans="1:3" x14ac:dyDescent="0.3">
      <c r="A705">
        <v>37801</v>
      </c>
      <c r="B705" t="s">
        <v>4884</v>
      </c>
      <c r="C705" t="s">
        <v>4874</v>
      </c>
    </row>
    <row r="706" spans="1:3" x14ac:dyDescent="0.3">
      <c r="A706">
        <v>37802</v>
      </c>
      <c r="B706" t="s">
        <v>4884</v>
      </c>
      <c r="C706" t="s">
        <v>4874</v>
      </c>
    </row>
    <row r="707" spans="1:3" x14ac:dyDescent="0.3">
      <c r="A707">
        <v>37803</v>
      </c>
      <c r="B707" t="s">
        <v>4884</v>
      </c>
      <c r="C707" t="s">
        <v>4874</v>
      </c>
    </row>
    <row r="708" spans="1:3" x14ac:dyDescent="0.3">
      <c r="A708">
        <v>37804</v>
      </c>
      <c r="B708" t="s">
        <v>4884</v>
      </c>
      <c r="C708" t="s">
        <v>4874</v>
      </c>
    </row>
    <row r="709" spans="1:3" x14ac:dyDescent="0.3">
      <c r="A709">
        <v>37805</v>
      </c>
      <c r="B709" t="s">
        <v>4884</v>
      </c>
      <c r="C709" t="s">
        <v>4874</v>
      </c>
    </row>
    <row r="710" spans="1:3" x14ac:dyDescent="0.3">
      <c r="A710">
        <v>37806</v>
      </c>
      <c r="B710" t="s">
        <v>4884</v>
      </c>
      <c r="C710" t="s">
        <v>4874</v>
      </c>
    </row>
    <row r="711" spans="1:3" x14ac:dyDescent="0.3">
      <c r="A711">
        <v>37807</v>
      </c>
      <c r="B711" t="s">
        <v>4884</v>
      </c>
      <c r="C711" t="s">
        <v>4874</v>
      </c>
    </row>
    <row r="712" spans="1:3" x14ac:dyDescent="0.3">
      <c r="A712">
        <v>37808</v>
      </c>
      <c r="B712" t="s">
        <v>4884</v>
      </c>
      <c r="C712" t="s">
        <v>4874</v>
      </c>
    </row>
    <row r="713" spans="1:3" x14ac:dyDescent="0.3">
      <c r="A713">
        <v>37809</v>
      </c>
      <c r="B713" t="s">
        <v>4884</v>
      </c>
      <c r="C713" t="s">
        <v>4874</v>
      </c>
    </row>
    <row r="714" spans="1:3" x14ac:dyDescent="0.3">
      <c r="A714">
        <v>37810</v>
      </c>
      <c r="B714" t="s">
        <v>4884</v>
      </c>
      <c r="C714" t="s">
        <v>4874</v>
      </c>
    </row>
    <row r="715" spans="1:3" x14ac:dyDescent="0.3">
      <c r="A715">
        <v>37816</v>
      </c>
      <c r="B715" t="s">
        <v>4884</v>
      </c>
      <c r="C715" t="s">
        <v>4874</v>
      </c>
    </row>
    <row r="716" spans="1:3" x14ac:dyDescent="0.3">
      <c r="A716">
        <v>37817</v>
      </c>
      <c r="B716" t="s">
        <v>4884</v>
      </c>
      <c r="C716" t="s">
        <v>4874</v>
      </c>
    </row>
    <row r="717" spans="1:3" x14ac:dyDescent="0.3">
      <c r="A717">
        <v>37818</v>
      </c>
      <c r="B717" t="s">
        <v>4884</v>
      </c>
      <c r="C717" t="s">
        <v>4874</v>
      </c>
    </row>
    <row r="718" spans="1:3" x14ac:dyDescent="0.3">
      <c r="A718">
        <v>37821</v>
      </c>
      <c r="B718" t="s">
        <v>4884</v>
      </c>
      <c r="C718" t="s">
        <v>4874</v>
      </c>
    </row>
    <row r="719" spans="1:3" x14ac:dyDescent="0.3">
      <c r="A719">
        <v>37824</v>
      </c>
      <c r="B719" t="s">
        <v>4884</v>
      </c>
      <c r="C719" t="s">
        <v>4874</v>
      </c>
    </row>
    <row r="720" spans="1:3" x14ac:dyDescent="0.3">
      <c r="A720">
        <v>37825</v>
      </c>
      <c r="B720" t="s">
        <v>4884</v>
      </c>
      <c r="C720" t="s">
        <v>4874</v>
      </c>
    </row>
    <row r="721" spans="1:3" x14ac:dyDescent="0.3">
      <c r="A721">
        <v>37826</v>
      </c>
      <c r="B721" t="s">
        <v>4884</v>
      </c>
      <c r="C721" t="s">
        <v>4874</v>
      </c>
    </row>
    <row r="722" spans="1:3" x14ac:dyDescent="0.3">
      <c r="A722">
        <v>37831</v>
      </c>
      <c r="B722" t="s">
        <v>4884</v>
      </c>
      <c r="C722" t="s">
        <v>4874</v>
      </c>
    </row>
    <row r="723" spans="1:3" x14ac:dyDescent="0.3">
      <c r="A723">
        <v>37832</v>
      </c>
      <c r="B723" t="s">
        <v>4884</v>
      </c>
      <c r="C723" t="s">
        <v>4874</v>
      </c>
    </row>
    <row r="724" spans="1:3" x14ac:dyDescent="0.3">
      <c r="A724">
        <v>37833</v>
      </c>
      <c r="B724" t="s">
        <v>4884</v>
      </c>
      <c r="C724" t="s">
        <v>4874</v>
      </c>
    </row>
    <row r="725" spans="1:3" x14ac:dyDescent="0.3">
      <c r="A725">
        <v>37841</v>
      </c>
      <c r="B725" t="s">
        <v>4884</v>
      </c>
      <c r="C725" t="s">
        <v>4874</v>
      </c>
    </row>
    <row r="726" spans="1:3" x14ac:dyDescent="0.3">
      <c r="A726">
        <v>37842</v>
      </c>
      <c r="B726" t="s">
        <v>4884</v>
      </c>
      <c r="C726" t="s">
        <v>4874</v>
      </c>
    </row>
    <row r="727" spans="1:3" x14ac:dyDescent="0.3">
      <c r="A727">
        <v>37843</v>
      </c>
      <c r="B727" t="s">
        <v>4884</v>
      </c>
      <c r="C727" t="s">
        <v>4874</v>
      </c>
    </row>
    <row r="728" spans="1:3" x14ac:dyDescent="0.3">
      <c r="A728">
        <v>37846</v>
      </c>
      <c r="B728" t="s">
        <v>4884</v>
      </c>
      <c r="C728" t="s">
        <v>4874</v>
      </c>
    </row>
    <row r="729" spans="1:3" x14ac:dyDescent="0.3">
      <c r="A729">
        <v>37852</v>
      </c>
      <c r="B729" t="s">
        <v>4884</v>
      </c>
      <c r="C729" t="s">
        <v>4874</v>
      </c>
    </row>
    <row r="730" spans="1:3" x14ac:dyDescent="0.3">
      <c r="A730">
        <v>37853</v>
      </c>
      <c r="B730" t="s">
        <v>4884</v>
      </c>
      <c r="C730" t="s">
        <v>4874</v>
      </c>
    </row>
    <row r="731" spans="1:3" x14ac:dyDescent="0.3">
      <c r="A731">
        <v>37855</v>
      </c>
      <c r="B731" t="s">
        <v>4884</v>
      </c>
      <c r="C731" t="s">
        <v>4874</v>
      </c>
    </row>
    <row r="732" spans="1:3" x14ac:dyDescent="0.3">
      <c r="A732">
        <v>37856</v>
      </c>
      <c r="B732" t="s">
        <v>4884</v>
      </c>
      <c r="C732" t="s">
        <v>4874</v>
      </c>
    </row>
    <row r="733" spans="1:3" x14ac:dyDescent="0.3">
      <c r="A733">
        <v>37858</v>
      </c>
      <c r="B733" t="s">
        <v>4884</v>
      </c>
      <c r="C733" t="s">
        <v>4874</v>
      </c>
    </row>
    <row r="734" spans="1:3" x14ac:dyDescent="0.3">
      <c r="A734">
        <v>37861</v>
      </c>
      <c r="B734" t="s">
        <v>4884</v>
      </c>
      <c r="C734" t="s">
        <v>4874</v>
      </c>
    </row>
    <row r="735" spans="1:3" x14ac:dyDescent="0.3">
      <c r="A735">
        <v>37862</v>
      </c>
      <c r="B735" t="s">
        <v>4884</v>
      </c>
      <c r="C735" t="s">
        <v>4874</v>
      </c>
    </row>
    <row r="736" spans="1:3" x14ac:dyDescent="0.3">
      <c r="A736">
        <v>37871</v>
      </c>
      <c r="B736" t="s">
        <v>4884</v>
      </c>
      <c r="C736" t="s">
        <v>4874</v>
      </c>
    </row>
    <row r="737" spans="1:3" x14ac:dyDescent="0.3">
      <c r="A737">
        <v>37872</v>
      </c>
      <c r="B737" t="s">
        <v>4884</v>
      </c>
      <c r="C737" t="s">
        <v>4874</v>
      </c>
    </row>
    <row r="738" spans="1:3" x14ac:dyDescent="0.3">
      <c r="A738">
        <v>37873</v>
      </c>
      <c r="B738" t="s">
        <v>4884</v>
      </c>
      <c r="C738" t="s">
        <v>4874</v>
      </c>
    </row>
    <row r="739" spans="1:3" x14ac:dyDescent="0.3">
      <c r="A739">
        <v>37881</v>
      </c>
      <c r="B739" t="s">
        <v>4884</v>
      </c>
      <c r="C739" t="s">
        <v>4874</v>
      </c>
    </row>
    <row r="740" spans="1:3" x14ac:dyDescent="0.3">
      <c r="A740">
        <v>37882</v>
      </c>
      <c r="B740" t="s">
        <v>4884</v>
      </c>
      <c r="C740" t="s">
        <v>4874</v>
      </c>
    </row>
    <row r="741" spans="1:3" x14ac:dyDescent="0.3">
      <c r="A741">
        <v>37883</v>
      </c>
      <c r="B741" t="s">
        <v>4884</v>
      </c>
      <c r="C741" t="s">
        <v>4874</v>
      </c>
    </row>
    <row r="742" spans="1:3" x14ac:dyDescent="0.3">
      <c r="A742">
        <v>37891</v>
      </c>
      <c r="B742" t="s">
        <v>4884</v>
      </c>
      <c r="C742" t="s">
        <v>4874</v>
      </c>
    </row>
    <row r="743" spans="1:3" x14ac:dyDescent="0.3">
      <c r="A743">
        <v>37892</v>
      </c>
      <c r="B743" t="s">
        <v>4884</v>
      </c>
      <c r="C743" t="s">
        <v>4874</v>
      </c>
    </row>
    <row r="744" spans="1:3" x14ac:dyDescent="0.3">
      <c r="A744">
        <v>37901</v>
      </c>
      <c r="B744" t="s">
        <v>4884</v>
      </c>
      <c r="C744" t="s">
        <v>4874</v>
      </c>
    </row>
    <row r="745" spans="1:3" x14ac:dyDescent="0.3">
      <c r="A745">
        <v>38001</v>
      </c>
      <c r="B745" t="s">
        <v>4884</v>
      </c>
      <c r="C745" t="s">
        <v>4874</v>
      </c>
    </row>
    <row r="746" spans="1:3" x14ac:dyDescent="0.3">
      <c r="A746">
        <v>38101</v>
      </c>
      <c r="B746" t="s">
        <v>4509</v>
      </c>
      <c r="C746" t="s">
        <v>4874</v>
      </c>
    </row>
    <row r="747" spans="1:3" x14ac:dyDescent="0.3">
      <c r="A747">
        <v>38201</v>
      </c>
      <c r="B747" t="s">
        <v>4509</v>
      </c>
      <c r="C747" t="s">
        <v>4874</v>
      </c>
    </row>
    <row r="748" spans="1:3" x14ac:dyDescent="0.3">
      <c r="A748">
        <v>38202</v>
      </c>
      <c r="B748" t="s">
        <v>4509</v>
      </c>
      <c r="C748" t="s">
        <v>4874</v>
      </c>
    </row>
    <row r="749" spans="1:3" x14ac:dyDescent="0.3">
      <c r="A749">
        <v>38203</v>
      </c>
      <c r="B749" t="s">
        <v>4509</v>
      </c>
      <c r="C749" t="s">
        <v>4874</v>
      </c>
    </row>
    <row r="750" spans="1:3" x14ac:dyDescent="0.3">
      <c r="A750">
        <v>38206</v>
      </c>
      <c r="B750" t="s">
        <v>4509</v>
      </c>
      <c r="C750" t="s">
        <v>4874</v>
      </c>
    </row>
    <row r="751" spans="1:3" x14ac:dyDescent="0.3">
      <c r="A751">
        <v>38208</v>
      </c>
      <c r="B751" t="s">
        <v>4509</v>
      </c>
      <c r="C751" t="s">
        <v>4874</v>
      </c>
    </row>
    <row r="752" spans="1:3" x14ac:dyDescent="0.3">
      <c r="A752">
        <v>38211</v>
      </c>
      <c r="B752" t="s">
        <v>4509</v>
      </c>
      <c r="C752" t="s">
        <v>4874</v>
      </c>
    </row>
    <row r="753" spans="1:3" x14ac:dyDescent="0.3">
      <c r="A753">
        <v>38216</v>
      </c>
      <c r="B753" t="s">
        <v>4509</v>
      </c>
      <c r="C753" t="s">
        <v>4874</v>
      </c>
    </row>
    <row r="754" spans="1:3" x14ac:dyDescent="0.3">
      <c r="A754">
        <v>38218</v>
      </c>
      <c r="B754" t="s">
        <v>4509</v>
      </c>
      <c r="C754" t="s">
        <v>4874</v>
      </c>
    </row>
    <row r="755" spans="1:3" x14ac:dyDescent="0.3">
      <c r="A755">
        <v>38221</v>
      </c>
      <c r="B755" t="s">
        <v>4509</v>
      </c>
      <c r="C755" t="s">
        <v>4874</v>
      </c>
    </row>
    <row r="756" spans="1:3" x14ac:dyDescent="0.3">
      <c r="A756">
        <v>38222</v>
      </c>
      <c r="B756" t="s">
        <v>4509</v>
      </c>
      <c r="C756" t="s">
        <v>4874</v>
      </c>
    </row>
    <row r="757" spans="1:3" x14ac:dyDescent="0.3">
      <c r="A757">
        <v>38223</v>
      </c>
      <c r="B757" t="s">
        <v>4509</v>
      </c>
      <c r="C757" t="s">
        <v>4874</v>
      </c>
    </row>
    <row r="758" spans="1:3" x14ac:dyDescent="0.3">
      <c r="A758">
        <v>38226</v>
      </c>
      <c r="B758" t="s">
        <v>4509</v>
      </c>
      <c r="C758" t="s">
        <v>4874</v>
      </c>
    </row>
    <row r="759" spans="1:3" x14ac:dyDescent="0.3">
      <c r="A759">
        <v>38229</v>
      </c>
      <c r="B759" t="s">
        <v>4509</v>
      </c>
      <c r="C759" t="s">
        <v>4874</v>
      </c>
    </row>
    <row r="760" spans="1:3" x14ac:dyDescent="0.3">
      <c r="A760">
        <v>38232</v>
      </c>
      <c r="B760" t="s">
        <v>4509</v>
      </c>
      <c r="C760" t="s">
        <v>4874</v>
      </c>
    </row>
    <row r="761" spans="1:3" x14ac:dyDescent="0.3">
      <c r="A761">
        <v>38241</v>
      </c>
      <c r="B761" t="s">
        <v>4509</v>
      </c>
      <c r="C761" t="s">
        <v>4874</v>
      </c>
    </row>
    <row r="762" spans="1:3" x14ac:dyDescent="0.3">
      <c r="A762">
        <v>38242</v>
      </c>
      <c r="B762" t="s">
        <v>4509</v>
      </c>
      <c r="C762" t="s">
        <v>4874</v>
      </c>
    </row>
    <row r="763" spans="1:3" x14ac:dyDescent="0.3">
      <c r="A763">
        <v>38272</v>
      </c>
      <c r="B763" t="s">
        <v>4509</v>
      </c>
      <c r="C763" t="s">
        <v>4874</v>
      </c>
    </row>
    <row r="764" spans="1:3" x14ac:dyDescent="0.3">
      <c r="A764">
        <v>38273</v>
      </c>
      <c r="B764" t="s">
        <v>4509</v>
      </c>
      <c r="C764" t="s">
        <v>4874</v>
      </c>
    </row>
    <row r="765" spans="1:3" x14ac:dyDescent="0.3">
      <c r="A765">
        <v>38276</v>
      </c>
      <c r="B765" t="s">
        <v>4509</v>
      </c>
      <c r="C765" t="s">
        <v>4874</v>
      </c>
    </row>
    <row r="766" spans="1:3" x14ac:dyDescent="0.3">
      <c r="A766">
        <v>38278</v>
      </c>
      <c r="B766" t="s">
        <v>4509</v>
      </c>
      <c r="C766" t="s">
        <v>4874</v>
      </c>
    </row>
    <row r="767" spans="1:3" x14ac:dyDescent="0.3">
      <c r="A767">
        <v>38279</v>
      </c>
      <c r="B767" t="s">
        <v>4509</v>
      </c>
      <c r="C767" t="s">
        <v>4874</v>
      </c>
    </row>
    <row r="768" spans="1:3" x14ac:dyDescent="0.3">
      <c r="A768">
        <v>38281</v>
      </c>
      <c r="B768" t="s">
        <v>4509</v>
      </c>
      <c r="C768" t="s">
        <v>4874</v>
      </c>
    </row>
    <row r="769" spans="1:3" x14ac:dyDescent="0.3">
      <c r="A769">
        <v>38282</v>
      </c>
      <c r="B769" t="s">
        <v>4509</v>
      </c>
      <c r="C769" t="s">
        <v>4874</v>
      </c>
    </row>
    <row r="770" spans="1:3" x14ac:dyDescent="0.3">
      <c r="A770">
        <v>38283</v>
      </c>
      <c r="B770" t="s">
        <v>4509</v>
      </c>
      <c r="C770" t="s">
        <v>4874</v>
      </c>
    </row>
    <row r="771" spans="1:3" x14ac:dyDescent="0.3">
      <c r="A771">
        <v>38291</v>
      </c>
      <c r="B771" t="s">
        <v>4509</v>
      </c>
      <c r="C771" t="s">
        <v>4874</v>
      </c>
    </row>
    <row r="772" spans="1:3" x14ac:dyDescent="0.3">
      <c r="A772">
        <v>38292</v>
      </c>
      <c r="B772" t="s">
        <v>4509</v>
      </c>
      <c r="C772" t="s">
        <v>4874</v>
      </c>
    </row>
    <row r="773" spans="1:3" x14ac:dyDescent="0.3">
      <c r="A773">
        <v>38293</v>
      </c>
      <c r="B773" t="s">
        <v>4509</v>
      </c>
      <c r="C773" t="s">
        <v>4874</v>
      </c>
    </row>
    <row r="774" spans="1:3" x14ac:dyDescent="0.3">
      <c r="A774">
        <v>38301</v>
      </c>
      <c r="B774" t="s">
        <v>2167</v>
      </c>
      <c r="C774" t="s">
        <v>4874</v>
      </c>
    </row>
    <row r="775" spans="1:3" x14ac:dyDescent="0.3">
      <c r="A775">
        <v>38401</v>
      </c>
      <c r="B775" t="s">
        <v>2167</v>
      </c>
      <c r="C775" t="s">
        <v>4874</v>
      </c>
    </row>
    <row r="776" spans="1:3" x14ac:dyDescent="0.3">
      <c r="A776">
        <v>38402</v>
      </c>
      <c r="B776" t="s">
        <v>2167</v>
      </c>
      <c r="C776" t="s">
        <v>4874</v>
      </c>
    </row>
    <row r="777" spans="1:3" x14ac:dyDescent="0.3">
      <c r="A777">
        <v>38403</v>
      </c>
      <c r="B777" t="s">
        <v>2167</v>
      </c>
      <c r="C777" t="s">
        <v>4874</v>
      </c>
    </row>
    <row r="778" spans="1:3" x14ac:dyDescent="0.3">
      <c r="A778">
        <v>38404</v>
      </c>
      <c r="B778" t="s">
        <v>2167</v>
      </c>
      <c r="C778" t="s">
        <v>4874</v>
      </c>
    </row>
    <row r="779" spans="1:3" x14ac:dyDescent="0.3">
      <c r="A779">
        <v>38411</v>
      </c>
      <c r="B779" t="s">
        <v>2167</v>
      </c>
      <c r="C779" t="s">
        <v>4874</v>
      </c>
    </row>
    <row r="780" spans="1:3" x14ac:dyDescent="0.3">
      <c r="A780">
        <v>38421</v>
      </c>
      <c r="B780" t="s">
        <v>2167</v>
      </c>
      <c r="C780" t="s">
        <v>4874</v>
      </c>
    </row>
    <row r="781" spans="1:3" x14ac:dyDescent="0.3">
      <c r="A781">
        <v>38422</v>
      </c>
      <c r="B781" t="s">
        <v>2167</v>
      </c>
      <c r="C781" t="s">
        <v>4874</v>
      </c>
    </row>
    <row r="782" spans="1:3" x14ac:dyDescent="0.3">
      <c r="A782">
        <v>38425</v>
      </c>
      <c r="B782" t="s">
        <v>2167</v>
      </c>
      <c r="C782" t="s">
        <v>4874</v>
      </c>
    </row>
    <row r="783" spans="1:3" x14ac:dyDescent="0.3">
      <c r="A783">
        <v>38426</v>
      </c>
      <c r="B783" t="s">
        <v>2167</v>
      </c>
      <c r="C783" t="s">
        <v>4874</v>
      </c>
    </row>
    <row r="784" spans="1:3" x14ac:dyDescent="0.3">
      <c r="A784">
        <v>38427</v>
      </c>
      <c r="B784" t="s">
        <v>2167</v>
      </c>
      <c r="C784" t="s">
        <v>4874</v>
      </c>
    </row>
    <row r="785" spans="1:3" x14ac:dyDescent="0.3">
      <c r="A785">
        <v>38432</v>
      </c>
      <c r="B785" t="s">
        <v>2167</v>
      </c>
      <c r="C785" t="s">
        <v>4874</v>
      </c>
    </row>
    <row r="786" spans="1:3" x14ac:dyDescent="0.3">
      <c r="A786">
        <v>38433</v>
      </c>
      <c r="B786" t="s">
        <v>2167</v>
      </c>
      <c r="C786" t="s">
        <v>4874</v>
      </c>
    </row>
    <row r="787" spans="1:3" x14ac:dyDescent="0.3">
      <c r="A787">
        <v>38441</v>
      </c>
      <c r="B787" t="s">
        <v>2167</v>
      </c>
      <c r="C787" t="s">
        <v>4874</v>
      </c>
    </row>
    <row r="788" spans="1:3" x14ac:dyDescent="0.3">
      <c r="A788">
        <v>38442</v>
      </c>
      <c r="B788" t="s">
        <v>2167</v>
      </c>
      <c r="C788" t="s">
        <v>4874</v>
      </c>
    </row>
    <row r="789" spans="1:3" x14ac:dyDescent="0.3">
      <c r="A789">
        <v>38443</v>
      </c>
      <c r="B789" t="s">
        <v>2167</v>
      </c>
      <c r="C789" t="s">
        <v>4874</v>
      </c>
    </row>
    <row r="790" spans="1:3" x14ac:dyDescent="0.3">
      <c r="A790">
        <v>38444</v>
      </c>
      <c r="B790" t="s">
        <v>2167</v>
      </c>
      <c r="C790" t="s">
        <v>4874</v>
      </c>
    </row>
    <row r="791" spans="1:3" x14ac:dyDescent="0.3">
      <c r="A791">
        <v>38451</v>
      </c>
      <c r="B791" t="s">
        <v>2167</v>
      </c>
      <c r="C791" t="s">
        <v>4874</v>
      </c>
    </row>
    <row r="792" spans="1:3" x14ac:dyDescent="0.3">
      <c r="A792">
        <v>38462</v>
      </c>
      <c r="B792" t="s">
        <v>2167</v>
      </c>
      <c r="C792" t="s">
        <v>4874</v>
      </c>
    </row>
    <row r="793" spans="1:3" x14ac:dyDescent="0.3">
      <c r="A793">
        <v>38471</v>
      </c>
      <c r="B793" t="s">
        <v>2167</v>
      </c>
      <c r="C793" t="s">
        <v>4874</v>
      </c>
    </row>
    <row r="794" spans="1:3" x14ac:dyDescent="0.3">
      <c r="A794">
        <v>38472</v>
      </c>
      <c r="B794" t="s">
        <v>2167</v>
      </c>
      <c r="C794" t="s">
        <v>4874</v>
      </c>
    </row>
    <row r="795" spans="1:3" x14ac:dyDescent="0.3">
      <c r="A795">
        <v>38473</v>
      </c>
      <c r="B795" t="s">
        <v>2167</v>
      </c>
      <c r="C795" t="s">
        <v>4874</v>
      </c>
    </row>
    <row r="796" spans="1:3" x14ac:dyDescent="0.3">
      <c r="A796">
        <v>38481</v>
      </c>
      <c r="B796" t="s">
        <v>2167</v>
      </c>
      <c r="C796" t="s">
        <v>4874</v>
      </c>
    </row>
    <row r="797" spans="1:3" x14ac:dyDescent="0.3">
      <c r="A797">
        <v>38486</v>
      </c>
      <c r="B797" t="s">
        <v>2167</v>
      </c>
      <c r="C797" t="s">
        <v>4874</v>
      </c>
    </row>
    <row r="798" spans="1:3" x14ac:dyDescent="0.3">
      <c r="A798">
        <v>38491</v>
      </c>
      <c r="B798" t="s">
        <v>2167</v>
      </c>
      <c r="C798" t="s">
        <v>4874</v>
      </c>
    </row>
    <row r="799" spans="1:3" x14ac:dyDescent="0.3">
      <c r="A799">
        <v>38492</v>
      </c>
      <c r="B799" t="s">
        <v>2167</v>
      </c>
      <c r="C799" t="s">
        <v>4874</v>
      </c>
    </row>
    <row r="800" spans="1:3" x14ac:dyDescent="0.3">
      <c r="A800">
        <v>38493</v>
      </c>
      <c r="B800" t="s">
        <v>2167</v>
      </c>
      <c r="C800" t="s">
        <v>4874</v>
      </c>
    </row>
    <row r="801" spans="1:3" x14ac:dyDescent="0.3">
      <c r="A801">
        <v>38501</v>
      </c>
      <c r="B801" t="s">
        <v>2167</v>
      </c>
      <c r="C801" t="s">
        <v>4874</v>
      </c>
    </row>
    <row r="802" spans="1:3" x14ac:dyDescent="0.3">
      <c r="A802">
        <v>38601</v>
      </c>
      <c r="B802" t="s">
        <v>2159</v>
      </c>
      <c r="C802" t="s">
        <v>4874</v>
      </c>
    </row>
    <row r="803" spans="1:3" x14ac:dyDescent="0.3">
      <c r="A803">
        <v>38701</v>
      </c>
      <c r="B803" t="s">
        <v>2159</v>
      </c>
      <c r="C803" t="s">
        <v>4874</v>
      </c>
    </row>
    <row r="804" spans="1:3" x14ac:dyDescent="0.3">
      <c r="A804">
        <v>38706</v>
      </c>
      <c r="B804" t="s">
        <v>2159</v>
      </c>
      <c r="C804" t="s">
        <v>4874</v>
      </c>
    </row>
    <row r="805" spans="1:3" x14ac:dyDescent="0.3">
      <c r="A805">
        <v>38711</v>
      </c>
      <c r="B805" t="s">
        <v>2159</v>
      </c>
      <c r="C805" t="s">
        <v>4874</v>
      </c>
    </row>
    <row r="806" spans="1:3" x14ac:dyDescent="0.3">
      <c r="A806">
        <v>38715</v>
      </c>
      <c r="B806" t="s">
        <v>2159</v>
      </c>
      <c r="C806" t="s">
        <v>4874</v>
      </c>
    </row>
    <row r="807" spans="1:3" x14ac:dyDescent="0.3">
      <c r="A807">
        <v>38716</v>
      </c>
      <c r="B807" t="s">
        <v>2159</v>
      </c>
      <c r="C807" t="s">
        <v>4874</v>
      </c>
    </row>
    <row r="808" spans="1:3" x14ac:dyDescent="0.3">
      <c r="A808">
        <v>38719</v>
      </c>
      <c r="B808" t="s">
        <v>2159</v>
      </c>
      <c r="C808" t="s">
        <v>4874</v>
      </c>
    </row>
    <row r="809" spans="1:3" x14ac:dyDescent="0.3">
      <c r="A809">
        <v>38731</v>
      </c>
      <c r="B809" t="s">
        <v>2159</v>
      </c>
      <c r="C809" t="s">
        <v>4874</v>
      </c>
    </row>
    <row r="810" spans="1:3" x14ac:dyDescent="0.3">
      <c r="A810">
        <v>38732</v>
      </c>
      <c r="B810" t="s">
        <v>2159</v>
      </c>
      <c r="C810" t="s">
        <v>4874</v>
      </c>
    </row>
    <row r="811" spans="1:3" x14ac:dyDescent="0.3">
      <c r="A811">
        <v>38733</v>
      </c>
      <c r="B811" t="s">
        <v>2159</v>
      </c>
      <c r="C811" t="s">
        <v>4874</v>
      </c>
    </row>
    <row r="812" spans="1:3" x14ac:dyDescent="0.3">
      <c r="A812">
        <v>38734</v>
      </c>
      <c r="B812" t="s">
        <v>2159</v>
      </c>
      <c r="C812" t="s">
        <v>4874</v>
      </c>
    </row>
    <row r="813" spans="1:3" x14ac:dyDescent="0.3">
      <c r="A813">
        <v>38735</v>
      </c>
      <c r="B813" t="s">
        <v>2159</v>
      </c>
      <c r="C813" t="s">
        <v>4874</v>
      </c>
    </row>
    <row r="814" spans="1:3" x14ac:dyDescent="0.3">
      <c r="A814">
        <v>38736</v>
      </c>
      <c r="B814" t="s">
        <v>2159</v>
      </c>
      <c r="C814" t="s">
        <v>4874</v>
      </c>
    </row>
    <row r="815" spans="1:3" x14ac:dyDescent="0.3">
      <c r="A815">
        <v>38737</v>
      </c>
      <c r="B815" t="s">
        <v>2159</v>
      </c>
      <c r="C815" t="s">
        <v>4874</v>
      </c>
    </row>
    <row r="816" spans="1:3" x14ac:dyDescent="0.3">
      <c r="A816">
        <v>38742</v>
      </c>
      <c r="B816" t="s">
        <v>2159</v>
      </c>
      <c r="C816" t="s">
        <v>4874</v>
      </c>
    </row>
    <row r="817" spans="1:3" x14ac:dyDescent="0.3">
      <c r="A817">
        <v>38743</v>
      </c>
      <c r="B817" t="s">
        <v>2159</v>
      </c>
      <c r="C817" t="s">
        <v>4874</v>
      </c>
    </row>
    <row r="818" spans="1:3" x14ac:dyDescent="0.3">
      <c r="A818">
        <v>38751</v>
      </c>
      <c r="B818" t="s">
        <v>2159</v>
      </c>
      <c r="C818" t="s">
        <v>4874</v>
      </c>
    </row>
    <row r="819" spans="1:3" x14ac:dyDescent="0.3">
      <c r="A819">
        <v>38752</v>
      </c>
      <c r="B819" t="s">
        <v>2159</v>
      </c>
      <c r="C819" t="s">
        <v>4874</v>
      </c>
    </row>
    <row r="820" spans="1:3" x14ac:dyDescent="0.3">
      <c r="A820">
        <v>38756</v>
      </c>
      <c r="B820" t="s">
        <v>2159</v>
      </c>
      <c r="C820" t="s">
        <v>4874</v>
      </c>
    </row>
    <row r="821" spans="1:3" x14ac:dyDescent="0.3">
      <c r="A821">
        <v>38771</v>
      </c>
      <c r="B821" t="s">
        <v>2159</v>
      </c>
      <c r="C821" t="s">
        <v>4874</v>
      </c>
    </row>
    <row r="822" spans="1:3" x14ac:dyDescent="0.3">
      <c r="A822">
        <v>38772</v>
      </c>
      <c r="B822" t="s">
        <v>2159</v>
      </c>
      <c r="C822" t="s">
        <v>4874</v>
      </c>
    </row>
    <row r="823" spans="1:3" x14ac:dyDescent="0.3">
      <c r="A823">
        <v>38773</v>
      </c>
      <c r="B823" t="s">
        <v>2159</v>
      </c>
      <c r="C823" t="s">
        <v>4874</v>
      </c>
    </row>
    <row r="824" spans="1:3" x14ac:dyDescent="0.3">
      <c r="A824">
        <v>38775</v>
      </c>
      <c r="B824" t="s">
        <v>2159</v>
      </c>
      <c r="C824" t="s">
        <v>4874</v>
      </c>
    </row>
    <row r="825" spans="1:3" x14ac:dyDescent="0.3">
      <c r="A825">
        <v>38801</v>
      </c>
      <c r="B825" t="s">
        <v>2159</v>
      </c>
      <c r="C825" t="s">
        <v>4874</v>
      </c>
    </row>
    <row r="826" spans="1:3" x14ac:dyDescent="0.3">
      <c r="A826">
        <v>38901</v>
      </c>
      <c r="B826" t="s">
        <v>2159</v>
      </c>
      <c r="C826" t="s">
        <v>4874</v>
      </c>
    </row>
    <row r="827" spans="1:3" x14ac:dyDescent="0.3">
      <c r="A827">
        <v>39001</v>
      </c>
      <c r="B827" t="s">
        <v>106</v>
      </c>
      <c r="C827" t="s">
        <v>4874</v>
      </c>
    </row>
    <row r="828" spans="1:3" x14ac:dyDescent="0.3">
      <c r="A828">
        <v>39002</v>
      </c>
      <c r="B828" t="s">
        <v>106</v>
      </c>
      <c r="C828" t="s">
        <v>4874</v>
      </c>
    </row>
    <row r="829" spans="1:3" x14ac:dyDescent="0.3">
      <c r="A829">
        <v>39003</v>
      </c>
      <c r="B829" t="s">
        <v>106</v>
      </c>
      <c r="C829" t="s">
        <v>4874</v>
      </c>
    </row>
    <row r="830" spans="1:3" x14ac:dyDescent="0.3">
      <c r="A830">
        <v>39005</v>
      </c>
      <c r="B830" t="s">
        <v>106</v>
      </c>
      <c r="C830" t="s">
        <v>4874</v>
      </c>
    </row>
    <row r="831" spans="1:3" x14ac:dyDescent="0.3">
      <c r="A831">
        <v>39101</v>
      </c>
      <c r="B831" t="s">
        <v>106</v>
      </c>
      <c r="C831" t="s">
        <v>4874</v>
      </c>
    </row>
    <row r="832" spans="1:3" x14ac:dyDescent="0.3">
      <c r="A832">
        <v>39102</v>
      </c>
      <c r="B832" t="s">
        <v>106</v>
      </c>
      <c r="C832" t="s">
        <v>4874</v>
      </c>
    </row>
    <row r="833" spans="1:3" x14ac:dyDescent="0.3">
      <c r="A833">
        <v>39111</v>
      </c>
      <c r="B833" t="s">
        <v>106</v>
      </c>
      <c r="C833" t="s">
        <v>4874</v>
      </c>
    </row>
    <row r="834" spans="1:3" x14ac:dyDescent="0.3">
      <c r="A834">
        <v>39116</v>
      </c>
      <c r="B834" t="s">
        <v>106</v>
      </c>
      <c r="C834" t="s">
        <v>4874</v>
      </c>
    </row>
    <row r="835" spans="1:3" x14ac:dyDescent="0.3">
      <c r="A835">
        <v>39117</v>
      </c>
      <c r="B835" t="s">
        <v>106</v>
      </c>
      <c r="C835" t="s">
        <v>4874</v>
      </c>
    </row>
    <row r="836" spans="1:3" x14ac:dyDescent="0.3">
      <c r="A836">
        <v>39118</v>
      </c>
      <c r="B836" t="s">
        <v>106</v>
      </c>
      <c r="C836" t="s">
        <v>4874</v>
      </c>
    </row>
    <row r="837" spans="1:3" x14ac:dyDescent="0.3">
      <c r="A837">
        <v>39120</v>
      </c>
      <c r="B837" t="s">
        <v>106</v>
      </c>
      <c r="C837" t="s">
        <v>4874</v>
      </c>
    </row>
    <row r="838" spans="1:3" x14ac:dyDescent="0.3">
      <c r="A838">
        <v>39121</v>
      </c>
      <c r="B838" t="s">
        <v>106</v>
      </c>
      <c r="C838" t="s">
        <v>4874</v>
      </c>
    </row>
    <row r="839" spans="1:3" x14ac:dyDescent="0.3">
      <c r="A839">
        <v>39126</v>
      </c>
      <c r="B839" t="s">
        <v>106</v>
      </c>
      <c r="C839" t="s">
        <v>4874</v>
      </c>
    </row>
    <row r="840" spans="1:3" x14ac:dyDescent="0.3">
      <c r="A840">
        <v>39127</v>
      </c>
      <c r="B840" t="s">
        <v>106</v>
      </c>
      <c r="C840" t="s">
        <v>4874</v>
      </c>
    </row>
    <row r="841" spans="1:3" x14ac:dyDescent="0.3">
      <c r="A841">
        <v>39131</v>
      </c>
      <c r="B841" t="s">
        <v>106</v>
      </c>
      <c r="C841" t="s">
        <v>4874</v>
      </c>
    </row>
    <row r="842" spans="1:3" x14ac:dyDescent="0.3">
      <c r="A842">
        <v>39132</v>
      </c>
      <c r="B842" t="s">
        <v>106</v>
      </c>
      <c r="C842" t="s">
        <v>4874</v>
      </c>
    </row>
    <row r="843" spans="1:3" x14ac:dyDescent="0.3">
      <c r="A843">
        <v>39133</v>
      </c>
      <c r="B843" t="s">
        <v>106</v>
      </c>
      <c r="C843" t="s">
        <v>4874</v>
      </c>
    </row>
    <row r="844" spans="1:3" x14ac:dyDescent="0.3">
      <c r="A844">
        <v>39135</v>
      </c>
      <c r="B844" t="s">
        <v>106</v>
      </c>
      <c r="C844" t="s">
        <v>4874</v>
      </c>
    </row>
    <row r="845" spans="1:3" x14ac:dyDescent="0.3">
      <c r="A845">
        <v>39136</v>
      </c>
      <c r="B845" t="s">
        <v>106</v>
      </c>
      <c r="C845" t="s">
        <v>4874</v>
      </c>
    </row>
    <row r="846" spans="1:3" x14ac:dyDescent="0.3">
      <c r="A846">
        <v>39137</v>
      </c>
      <c r="B846" t="s">
        <v>106</v>
      </c>
      <c r="C846" t="s">
        <v>4874</v>
      </c>
    </row>
    <row r="847" spans="1:3" x14ac:dyDescent="0.3">
      <c r="A847">
        <v>39142</v>
      </c>
      <c r="B847" t="s">
        <v>106</v>
      </c>
      <c r="C847" t="s">
        <v>4874</v>
      </c>
    </row>
    <row r="848" spans="1:3" x14ac:dyDescent="0.3">
      <c r="A848">
        <v>39143</v>
      </c>
      <c r="B848" t="s">
        <v>106</v>
      </c>
      <c r="C848" t="s">
        <v>4874</v>
      </c>
    </row>
    <row r="849" spans="1:3" x14ac:dyDescent="0.3">
      <c r="A849">
        <v>39152</v>
      </c>
      <c r="B849" t="s">
        <v>106</v>
      </c>
      <c r="C849" t="s">
        <v>4874</v>
      </c>
    </row>
    <row r="850" spans="1:3" x14ac:dyDescent="0.3">
      <c r="A850">
        <v>39153</v>
      </c>
      <c r="B850" t="s">
        <v>106</v>
      </c>
      <c r="C850" t="s">
        <v>4874</v>
      </c>
    </row>
    <row r="851" spans="1:3" x14ac:dyDescent="0.3">
      <c r="A851">
        <v>39155</v>
      </c>
      <c r="B851" t="s">
        <v>106</v>
      </c>
      <c r="C851" t="s">
        <v>4874</v>
      </c>
    </row>
    <row r="852" spans="1:3" x14ac:dyDescent="0.3">
      <c r="A852">
        <v>39156</v>
      </c>
      <c r="B852" t="s">
        <v>106</v>
      </c>
      <c r="C852" t="s">
        <v>4874</v>
      </c>
    </row>
    <row r="853" spans="1:3" x14ac:dyDescent="0.3">
      <c r="A853">
        <v>39161</v>
      </c>
      <c r="B853" t="s">
        <v>106</v>
      </c>
      <c r="C853" t="s">
        <v>4874</v>
      </c>
    </row>
    <row r="854" spans="1:3" x14ac:dyDescent="0.3">
      <c r="A854">
        <v>39162</v>
      </c>
      <c r="B854" t="s">
        <v>106</v>
      </c>
      <c r="C854" t="s">
        <v>4874</v>
      </c>
    </row>
    <row r="855" spans="1:3" x14ac:dyDescent="0.3">
      <c r="A855">
        <v>39165</v>
      </c>
      <c r="B855" t="s">
        <v>106</v>
      </c>
      <c r="C855" t="s">
        <v>4874</v>
      </c>
    </row>
    <row r="856" spans="1:3" x14ac:dyDescent="0.3">
      <c r="A856">
        <v>39171</v>
      </c>
      <c r="B856" t="s">
        <v>106</v>
      </c>
      <c r="C856" t="s">
        <v>4874</v>
      </c>
    </row>
    <row r="857" spans="1:3" x14ac:dyDescent="0.3">
      <c r="A857">
        <v>39172</v>
      </c>
      <c r="B857" t="s">
        <v>106</v>
      </c>
      <c r="C857" t="s">
        <v>4874</v>
      </c>
    </row>
    <row r="858" spans="1:3" x14ac:dyDescent="0.3">
      <c r="A858">
        <v>39173</v>
      </c>
      <c r="B858" t="s">
        <v>106</v>
      </c>
      <c r="C858" t="s">
        <v>4874</v>
      </c>
    </row>
    <row r="859" spans="1:3" x14ac:dyDescent="0.3">
      <c r="A859">
        <v>39174</v>
      </c>
      <c r="B859" t="s">
        <v>106</v>
      </c>
      <c r="C859" t="s">
        <v>4874</v>
      </c>
    </row>
    <row r="860" spans="1:3" x14ac:dyDescent="0.3">
      <c r="A860">
        <v>39175</v>
      </c>
      <c r="B860" t="s">
        <v>106</v>
      </c>
      <c r="C860" t="s">
        <v>4874</v>
      </c>
    </row>
    <row r="861" spans="1:3" x14ac:dyDescent="0.3">
      <c r="A861">
        <v>39176</v>
      </c>
      <c r="B861" t="s">
        <v>106</v>
      </c>
      <c r="C861" t="s">
        <v>4874</v>
      </c>
    </row>
    <row r="862" spans="1:3" x14ac:dyDescent="0.3">
      <c r="A862">
        <v>39181</v>
      </c>
      <c r="B862" t="s">
        <v>106</v>
      </c>
      <c r="C862" t="s">
        <v>4874</v>
      </c>
    </row>
    <row r="863" spans="1:3" x14ac:dyDescent="0.3">
      <c r="A863">
        <v>39201</v>
      </c>
      <c r="B863" t="s">
        <v>106</v>
      </c>
      <c r="C863" t="s">
        <v>4874</v>
      </c>
    </row>
    <row r="864" spans="1:3" x14ac:dyDescent="0.3">
      <c r="A864">
        <v>39301</v>
      </c>
      <c r="B864" t="s">
        <v>899</v>
      </c>
      <c r="C864" t="s">
        <v>4885</v>
      </c>
    </row>
    <row r="865" spans="1:3" x14ac:dyDescent="0.3">
      <c r="A865">
        <v>39401</v>
      </c>
      <c r="B865" t="s">
        <v>899</v>
      </c>
      <c r="C865" t="s">
        <v>4885</v>
      </c>
    </row>
    <row r="866" spans="1:3" x14ac:dyDescent="0.3">
      <c r="A866">
        <v>39403</v>
      </c>
      <c r="B866" t="s">
        <v>899</v>
      </c>
      <c r="C866" t="s">
        <v>4885</v>
      </c>
    </row>
    <row r="867" spans="1:3" x14ac:dyDescent="0.3">
      <c r="A867">
        <v>39404</v>
      </c>
      <c r="B867" t="s">
        <v>899</v>
      </c>
      <c r="C867" t="s">
        <v>4885</v>
      </c>
    </row>
    <row r="868" spans="1:3" x14ac:dyDescent="0.3">
      <c r="A868">
        <v>39405</v>
      </c>
      <c r="B868" t="s">
        <v>899</v>
      </c>
      <c r="C868" t="s">
        <v>4885</v>
      </c>
    </row>
    <row r="869" spans="1:3" x14ac:dyDescent="0.3">
      <c r="A869">
        <v>39409</v>
      </c>
      <c r="B869" t="s">
        <v>899</v>
      </c>
      <c r="C869" t="s">
        <v>4885</v>
      </c>
    </row>
    <row r="870" spans="1:3" x14ac:dyDescent="0.3">
      <c r="A870">
        <v>39411</v>
      </c>
      <c r="B870" t="s">
        <v>899</v>
      </c>
      <c r="C870" t="s">
        <v>4885</v>
      </c>
    </row>
    <row r="871" spans="1:3" x14ac:dyDescent="0.3">
      <c r="A871">
        <v>39412</v>
      </c>
      <c r="B871" t="s">
        <v>899</v>
      </c>
      <c r="C871" t="s">
        <v>4885</v>
      </c>
    </row>
    <row r="872" spans="1:3" x14ac:dyDescent="0.3">
      <c r="A872">
        <v>39413</v>
      </c>
      <c r="B872" t="s">
        <v>899</v>
      </c>
      <c r="C872" t="s">
        <v>4885</v>
      </c>
    </row>
    <row r="873" spans="1:3" x14ac:dyDescent="0.3">
      <c r="A873">
        <v>39414</v>
      </c>
      <c r="B873" t="s">
        <v>899</v>
      </c>
      <c r="C873" t="s">
        <v>4885</v>
      </c>
    </row>
    <row r="874" spans="1:3" x14ac:dyDescent="0.3">
      <c r="A874">
        <v>39415</v>
      </c>
      <c r="B874" t="s">
        <v>899</v>
      </c>
      <c r="C874" t="s">
        <v>4885</v>
      </c>
    </row>
    <row r="875" spans="1:3" x14ac:dyDescent="0.3">
      <c r="A875">
        <v>39421</v>
      </c>
      <c r="B875" t="s">
        <v>899</v>
      </c>
      <c r="C875" t="s">
        <v>4885</v>
      </c>
    </row>
    <row r="876" spans="1:3" x14ac:dyDescent="0.3">
      <c r="A876">
        <v>39422</v>
      </c>
      <c r="B876" t="s">
        <v>899</v>
      </c>
      <c r="C876" t="s">
        <v>4885</v>
      </c>
    </row>
    <row r="877" spans="1:3" x14ac:dyDescent="0.3">
      <c r="A877">
        <v>39424</v>
      </c>
      <c r="B877" t="s">
        <v>899</v>
      </c>
      <c r="C877" t="s">
        <v>4885</v>
      </c>
    </row>
    <row r="878" spans="1:3" x14ac:dyDescent="0.3">
      <c r="A878">
        <v>39426</v>
      </c>
      <c r="B878" t="s">
        <v>899</v>
      </c>
      <c r="C878" t="s">
        <v>4885</v>
      </c>
    </row>
    <row r="879" spans="1:3" x14ac:dyDescent="0.3">
      <c r="A879">
        <v>39427</v>
      </c>
      <c r="B879" t="s">
        <v>899</v>
      </c>
      <c r="C879" t="s">
        <v>4885</v>
      </c>
    </row>
    <row r="880" spans="1:3" x14ac:dyDescent="0.3">
      <c r="A880">
        <v>39428</v>
      </c>
      <c r="B880" t="s">
        <v>899</v>
      </c>
      <c r="C880" t="s">
        <v>4885</v>
      </c>
    </row>
    <row r="881" spans="1:3" x14ac:dyDescent="0.3">
      <c r="A881">
        <v>39443</v>
      </c>
      <c r="B881" t="s">
        <v>899</v>
      </c>
      <c r="C881" t="s">
        <v>4885</v>
      </c>
    </row>
    <row r="882" spans="1:3" x14ac:dyDescent="0.3">
      <c r="A882">
        <v>39444</v>
      </c>
      <c r="B882" t="s">
        <v>899</v>
      </c>
      <c r="C882" t="s">
        <v>4885</v>
      </c>
    </row>
    <row r="883" spans="1:3" x14ac:dyDescent="0.3">
      <c r="A883">
        <v>39445</v>
      </c>
      <c r="B883" t="s">
        <v>899</v>
      </c>
      <c r="C883" t="s">
        <v>4885</v>
      </c>
    </row>
    <row r="884" spans="1:3" x14ac:dyDescent="0.3">
      <c r="A884">
        <v>39446</v>
      </c>
      <c r="B884" t="s">
        <v>899</v>
      </c>
      <c r="C884" t="s">
        <v>4885</v>
      </c>
    </row>
    <row r="885" spans="1:3" x14ac:dyDescent="0.3">
      <c r="A885">
        <v>39451</v>
      </c>
      <c r="B885" t="s">
        <v>899</v>
      </c>
      <c r="C885" t="s">
        <v>4885</v>
      </c>
    </row>
    <row r="886" spans="1:3" x14ac:dyDescent="0.3">
      <c r="A886">
        <v>39452</v>
      </c>
      <c r="B886" t="s">
        <v>899</v>
      </c>
      <c r="C886" t="s">
        <v>4885</v>
      </c>
    </row>
    <row r="887" spans="1:3" x14ac:dyDescent="0.3">
      <c r="A887">
        <v>39456</v>
      </c>
      <c r="B887" t="s">
        <v>899</v>
      </c>
      <c r="C887" t="s">
        <v>4885</v>
      </c>
    </row>
    <row r="888" spans="1:3" x14ac:dyDescent="0.3">
      <c r="A888">
        <v>39459</v>
      </c>
      <c r="B888" t="s">
        <v>899</v>
      </c>
      <c r="C888" t="s">
        <v>4885</v>
      </c>
    </row>
    <row r="889" spans="1:3" x14ac:dyDescent="0.3">
      <c r="A889">
        <v>39461</v>
      </c>
      <c r="B889" t="s">
        <v>899</v>
      </c>
      <c r="C889" t="s">
        <v>4885</v>
      </c>
    </row>
    <row r="890" spans="1:3" x14ac:dyDescent="0.3">
      <c r="A890">
        <v>39462</v>
      </c>
      <c r="B890" t="s">
        <v>899</v>
      </c>
      <c r="C890" t="s">
        <v>4885</v>
      </c>
    </row>
    <row r="891" spans="1:3" x14ac:dyDescent="0.3">
      <c r="A891">
        <v>39463</v>
      </c>
      <c r="B891" t="s">
        <v>899</v>
      </c>
      <c r="C891" t="s">
        <v>4885</v>
      </c>
    </row>
    <row r="892" spans="1:3" x14ac:dyDescent="0.3">
      <c r="A892">
        <v>39464</v>
      </c>
      <c r="B892" t="s">
        <v>899</v>
      </c>
      <c r="C892" t="s">
        <v>4885</v>
      </c>
    </row>
    <row r="893" spans="1:3" x14ac:dyDescent="0.3">
      <c r="A893">
        <v>39468</v>
      </c>
      <c r="B893" t="s">
        <v>899</v>
      </c>
      <c r="C893" t="s">
        <v>4885</v>
      </c>
    </row>
    <row r="894" spans="1:3" x14ac:dyDescent="0.3">
      <c r="A894">
        <v>39470</v>
      </c>
      <c r="B894" t="s">
        <v>899</v>
      </c>
      <c r="C894" t="s">
        <v>4885</v>
      </c>
    </row>
    <row r="895" spans="1:3" x14ac:dyDescent="0.3">
      <c r="A895">
        <v>39491</v>
      </c>
      <c r="B895" t="s">
        <v>899</v>
      </c>
      <c r="C895" t="s">
        <v>4885</v>
      </c>
    </row>
    <row r="896" spans="1:3" x14ac:dyDescent="0.3">
      <c r="A896">
        <v>39492</v>
      </c>
      <c r="B896" t="s">
        <v>899</v>
      </c>
      <c r="C896" t="s">
        <v>4885</v>
      </c>
    </row>
    <row r="897" spans="1:3" x14ac:dyDescent="0.3">
      <c r="A897">
        <v>39493</v>
      </c>
      <c r="B897" t="s">
        <v>899</v>
      </c>
      <c r="C897" t="s">
        <v>4885</v>
      </c>
    </row>
    <row r="898" spans="1:3" x14ac:dyDescent="0.3">
      <c r="A898">
        <v>39494</v>
      </c>
      <c r="B898" t="s">
        <v>899</v>
      </c>
      <c r="C898" t="s">
        <v>4885</v>
      </c>
    </row>
    <row r="899" spans="1:3" x14ac:dyDescent="0.3">
      <c r="A899">
        <v>39495</v>
      </c>
      <c r="B899" t="s">
        <v>899</v>
      </c>
      <c r="C899" t="s">
        <v>4885</v>
      </c>
    </row>
    <row r="900" spans="1:3" x14ac:dyDescent="0.3">
      <c r="A900">
        <v>39496</v>
      </c>
      <c r="B900" t="s">
        <v>899</v>
      </c>
      <c r="C900" t="s">
        <v>4885</v>
      </c>
    </row>
    <row r="901" spans="1:3" x14ac:dyDescent="0.3">
      <c r="A901">
        <v>39501</v>
      </c>
      <c r="B901" t="s">
        <v>106</v>
      </c>
      <c r="C901" t="s">
        <v>4874</v>
      </c>
    </row>
    <row r="902" spans="1:3" x14ac:dyDescent="0.3">
      <c r="A902">
        <v>39601</v>
      </c>
      <c r="B902" t="s">
        <v>899</v>
      </c>
      <c r="C902" t="s">
        <v>4885</v>
      </c>
    </row>
    <row r="903" spans="1:3" x14ac:dyDescent="0.3">
      <c r="A903">
        <v>39701</v>
      </c>
      <c r="B903" t="s">
        <v>1180</v>
      </c>
      <c r="C903" t="s">
        <v>4874</v>
      </c>
    </row>
    <row r="904" spans="1:3" x14ac:dyDescent="0.3">
      <c r="A904">
        <v>39801</v>
      </c>
      <c r="B904" t="s">
        <v>1180</v>
      </c>
      <c r="C904" t="s">
        <v>4874</v>
      </c>
    </row>
    <row r="905" spans="1:3" x14ac:dyDescent="0.3">
      <c r="A905">
        <v>39804</v>
      </c>
      <c r="B905" t="s">
        <v>1180</v>
      </c>
      <c r="C905" t="s">
        <v>4874</v>
      </c>
    </row>
    <row r="906" spans="1:3" x14ac:dyDescent="0.3">
      <c r="A906">
        <v>39806</v>
      </c>
      <c r="B906" t="s">
        <v>1180</v>
      </c>
      <c r="C906" t="s">
        <v>4874</v>
      </c>
    </row>
    <row r="907" spans="1:3" x14ac:dyDescent="0.3">
      <c r="A907">
        <v>39807</v>
      </c>
      <c r="B907" t="s">
        <v>1180</v>
      </c>
      <c r="C907" t="s">
        <v>4874</v>
      </c>
    </row>
    <row r="908" spans="1:3" x14ac:dyDescent="0.3">
      <c r="A908">
        <v>39811</v>
      </c>
      <c r="B908" t="s">
        <v>1180</v>
      </c>
      <c r="C908" t="s">
        <v>4874</v>
      </c>
    </row>
    <row r="909" spans="1:3" x14ac:dyDescent="0.3">
      <c r="A909">
        <v>39815</v>
      </c>
      <c r="B909" t="s">
        <v>1180</v>
      </c>
      <c r="C909" t="s">
        <v>4874</v>
      </c>
    </row>
    <row r="910" spans="1:3" x14ac:dyDescent="0.3">
      <c r="A910">
        <v>39816</v>
      </c>
      <c r="B910" t="s">
        <v>1180</v>
      </c>
      <c r="C910" t="s">
        <v>4874</v>
      </c>
    </row>
    <row r="911" spans="1:3" x14ac:dyDescent="0.3">
      <c r="A911">
        <v>39817</v>
      </c>
      <c r="B911" t="s">
        <v>1180</v>
      </c>
      <c r="C911" t="s">
        <v>4874</v>
      </c>
    </row>
    <row r="912" spans="1:3" x14ac:dyDescent="0.3">
      <c r="A912">
        <v>39818</v>
      </c>
      <c r="B912" t="s">
        <v>1180</v>
      </c>
      <c r="C912" t="s">
        <v>4874</v>
      </c>
    </row>
    <row r="913" spans="1:3" x14ac:dyDescent="0.3">
      <c r="A913">
        <v>39819</v>
      </c>
      <c r="B913" t="s">
        <v>1180</v>
      </c>
      <c r="C913" t="s">
        <v>4874</v>
      </c>
    </row>
    <row r="914" spans="1:3" x14ac:dyDescent="0.3">
      <c r="A914">
        <v>39821</v>
      </c>
      <c r="B914" t="s">
        <v>1180</v>
      </c>
      <c r="C914" t="s">
        <v>4874</v>
      </c>
    </row>
    <row r="915" spans="1:3" x14ac:dyDescent="0.3">
      <c r="A915">
        <v>39822</v>
      </c>
      <c r="B915" t="s">
        <v>1180</v>
      </c>
      <c r="C915" t="s">
        <v>4874</v>
      </c>
    </row>
    <row r="916" spans="1:3" x14ac:dyDescent="0.3">
      <c r="A916">
        <v>39831</v>
      </c>
      <c r="B916" t="s">
        <v>1180</v>
      </c>
      <c r="C916" t="s">
        <v>4874</v>
      </c>
    </row>
    <row r="917" spans="1:3" x14ac:dyDescent="0.3">
      <c r="A917">
        <v>39832</v>
      </c>
      <c r="B917" t="s">
        <v>1180</v>
      </c>
      <c r="C917" t="s">
        <v>4874</v>
      </c>
    </row>
    <row r="918" spans="1:3" x14ac:dyDescent="0.3">
      <c r="A918">
        <v>39833</v>
      </c>
      <c r="B918" t="s">
        <v>1180</v>
      </c>
      <c r="C918" t="s">
        <v>4874</v>
      </c>
    </row>
    <row r="919" spans="1:3" x14ac:dyDescent="0.3">
      <c r="A919">
        <v>39834</v>
      </c>
      <c r="B919" t="s">
        <v>1180</v>
      </c>
      <c r="C919" t="s">
        <v>4874</v>
      </c>
    </row>
    <row r="920" spans="1:3" x14ac:dyDescent="0.3">
      <c r="A920">
        <v>39835</v>
      </c>
      <c r="B920" t="s">
        <v>1180</v>
      </c>
      <c r="C920" t="s">
        <v>4874</v>
      </c>
    </row>
    <row r="921" spans="1:3" x14ac:dyDescent="0.3">
      <c r="A921">
        <v>39842</v>
      </c>
      <c r="B921" t="s">
        <v>1180</v>
      </c>
      <c r="C921" t="s">
        <v>4874</v>
      </c>
    </row>
    <row r="922" spans="1:3" x14ac:dyDescent="0.3">
      <c r="A922">
        <v>39843</v>
      </c>
      <c r="B922" t="s">
        <v>1180</v>
      </c>
      <c r="C922" t="s">
        <v>4874</v>
      </c>
    </row>
    <row r="923" spans="1:3" x14ac:dyDescent="0.3">
      <c r="A923">
        <v>39847</v>
      </c>
      <c r="B923" t="s">
        <v>1180</v>
      </c>
      <c r="C923" t="s">
        <v>4874</v>
      </c>
    </row>
    <row r="924" spans="1:3" x14ac:dyDescent="0.3">
      <c r="A924">
        <v>39848</v>
      </c>
      <c r="B924" t="s">
        <v>1180</v>
      </c>
      <c r="C924" t="s">
        <v>4874</v>
      </c>
    </row>
    <row r="925" spans="1:3" x14ac:dyDescent="0.3">
      <c r="A925">
        <v>39851</v>
      </c>
      <c r="B925" t="s">
        <v>1180</v>
      </c>
      <c r="C925" t="s">
        <v>4874</v>
      </c>
    </row>
    <row r="926" spans="1:3" x14ac:dyDescent="0.3">
      <c r="A926">
        <v>39852</v>
      </c>
      <c r="B926" t="s">
        <v>106</v>
      </c>
      <c r="C926" t="s">
        <v>4874</v>
      </c>
    </row>
    <row r="927" spans="1:3" x14ac:dyDescent="0.3">
      <c r="A927">
        <v>39853</v>
      </c>
      <c r="B927" t="s">
        <v>1180</v>
      </c>
      <c r="C927" t="s">
        <v>4874</v>
      </c>
    </row>
    <row r="928" spans="1:3" x14ac:dyDescent="0.3">
      <c r="A928">
        <v>39854</v>
      </c>
      <c r="B928" t="s">
        <v>1180</v>
      </c>
      <c r="C928" t="s">
        <v>4874</v>
      </c>
    </row>
    <row r="929" spans="1:3" x14ac:dyDescent="0.3">
      <c r="A929">
        <v>39855</v>
      </c>
      <c r="B929" t="s">
        <v>1180</v>
      </c>
      <c r="C929" t="s">
        <v>4874</v>
      </c>
    </row>
    <row r="930" spans="1:3" x14ac:dyDescent="0.3">
      <c r="A930">
        <v>39858</v>
      </c>
      <c r="B930" t="s">
        <v>1180</v>
      </c>
      <c r="C930" t="s">
        <v>4874</v>
      </c>
    </row>
    <row r="931" spans="1:3" x14ac:dyDescent="0.3">
      <c r="A931">
        <v>39859</v>
      </c>
      <c r="B931" t="s">
        <v>1180</v>
      </c>
      <c r="C931" t="s">
        <v>4874</v>
      </c>
    </row>
    <row r="932" spans="1:3" x14ac:dyDescent="0.3">
      <c r="A932">
        <v>39901</v>
      </c>
      <c r="B932" t="s">
        <v>106</v>
      </c>
      <c r="C932" t="s">
        <v>4874</v>
      </c>
    </row>
    <row r="933" spans="1:3" x14ac:dyDescent="0.3">
      <c r="A933">
        <v>40001</v>
      </c>
      <c r="B933" t="s">
        <v>4886</v>
      </c>
      <c r="C933" t="s">
        <v>4887</v>
      </c>
    </row>
    <row r="934" spans="1:3" x14ac:dyDescent="0.3">
      <c r="A934">
        <v>40002</v>
      </c>
      <c r="B934" t="s">
        <v>4886</v>
      </c>
      <c r="C934" t="s">
        <v>4887</v>
      </c>
    </row>
    <row r="935" spans="1:3" x14ac:dyDescent="0.3">
      <c r="A935">
        <v>40003</v>
      </c>
      <c r="B935" t="s">
        <v>4886</v>
      </c>
      <c r="C935" t="s">
        <v>4887</v>
      </c>
    </row>
    <row r="936" spans="1:3" x14ac:dyDescent="0.3">
      <c r="A936">
        <v>40004</v>
      </c>
      <c r="B936" t="s">
        <v>4886</v>
      </c>
      <c r="C936" t="s">
        <v>4887</v>
      </c>
    </row>
    <row r="937" spans="1:3" x14ac:dyDescent="0.3">
      <c r="A937">
        <v>40007</v>
      </c>
      <c r="B937" t="s">
        <v>4886</v>
      </c>
      <c r="C937" t="s">
        <v>4887</v>
      </c>
    </row>
    <row r="938" spans="1:3" x14ac:dyDescent="0.3">
      <c r="A938">
        <v>40010</v>
      </c>
      <c r="B938" t="s">
        <v>4886</v>
      </c>
      <c r="C938" t="s">
        <v>4887</v>
      </c>
    </row>
    <row r="939" spans="1:3" x14ac:dyDescent="0.3">
      <c r="A939">
        <v>40011</v>
      </c>
      <c r="B939" t="s">
        <v>4886</v>
      </c>
      <c r="C939" t="s">
        <v>4887</v>
      </c>
    </row>
    <row r="940" spans="1:3" x14ac:dyDescent="0.3">
      <c r="A940">
        <v>40301</v>
      </c>
      <c r="B940" t="s">
        <v>4886</v>
      </c>
      <c r="C940" t="s">
        <v>4887</v>
      </c>
    </row>
    <row r="941" spans="1:3" x14ac:dyDescent="0.3">
      <c r="A941">
        <v>40302</v>
      </c>
      <c r="B941" t="s">
        <v>4886</v>
      </c>
      <c r="C941" t="s">
        <v>4887</v>
      </c>
    </row>
    <row r="942" spans="1:3" x14ac:dyDescent="0.3">
      <c r="A942">
        <v>40313</v>
      </c>
      <c r="B942" t="s">
        <v>4886</v>
      </c>
      <c r="C942" t="s">
        <v>4887</v>
      </c>
    </row>
    <row r="943" spans="1:3" x14ac:dyDescent="0.3">
      <c r="A943">
        <v>40317</v>
      </c>
      <c r="B943" t="s">
        <v>4886</v>
      </c>
      <c r="C943" t="s">
        <v>4887</v>
      </c>
    </row>
    <row r="944" spans="1:3" x14ac:dyDescent="0.3">
      <c r="A944">
        <v>40321</v>
      </c>
      <c r="B944" t="s">
        <v>4886</v>
      </c>
      <c r="C944" t="s">
        <v>4887</v>
      </c>
    </row>
    <row r="945" spans="1:3" x14ac:dyDescent="0.3">
      <c r="A945">
        <v>40322</v>
      </c>
      <c r="B945" t="s">
        <v>4886</v>
      </c>
      <c r="C945" t="s">
        <v>4887</v>
      </c>
    </row>
    <row r="946" spans="1:3" x14ac:dyDescent="0.3">
      <c r="A946">
        <v>40323</v>
      </c>
      <c r="B946" t="s">
        <v>4886</v>
      </c>
      <c r="C946" t="s">
        <v>4887</v>
      </c>
    </row>
    <row r="947" spans="1:3" x14ac:dyDescent="0.3">
      <c r="A947">
        <v>40327</v>
      </c>
      <c r="B947" t="s">
        <v>4886</v>
      </c>
      <c r="C947" t="s">
        <v>4887</v>
      </c>
    </row>
    <row r="948" spans="1:3" x14ac:dyDescent="0.3">
      <c r="A948">
        <v>40331</v>
      </c>
      <c r="B948" t="s">
        <v>4886</v>
      </c>
      <c r="C948" t="s">
        <v>4887</v>
      </c>
    </row>
    <row r="949" spans="1:3" x14ac:dyDescent="0.3">
      <c r="A949">
        <v>40332</v>
      </c>
      <c r="B949" t="s">
        <v>4886</v>
      </c>
      <c r="C949" t="s">
        <v>4887</v>
      </c>
    </row>
    <row r="950" spans="1:3" x14ac:dyDescent="0.3">
      <c r="A950">
        <v>40334</v>
      </c>
      <c r="B950" t="s">
        <v>4886</v>
      </c>
      <c r="C950" t="s">
        <v>4887</v>
      </c>
    </row>
    <row r="951" spans="1:3" x14ac:dyDescent="0.3">
      <c r="A951">
        <v>40335</v>
      </c>
      <c r="B951" t="s">
        <v>4886</v>
      </c>
      <c r="C951" t="s">
        <v>4887</v>
      </c>
    </row>
    <row r="952" spans="1:3" x14ac:dyDescent="0.3">
      <c r="A952">
        <v>40336</v>
      </c>
      <c r="B952" t="s">
        <v>4886</v>
      </c>
      <c r="C952" t="s">
        <v>4887</v>
      </c>
    </row>
    <row r="953" spans="1:3" x14ac:dyDescent="0.3">
      <c r="A953">
        <v>40337</v>
      </c>
      <c r="B953" t="s">
        <v>4886</v>
      </c>
      <c r="C953" t="s">
        <v>4887</v>
      </c>
    </row>
    <row r="954" spans="1:3" x14ac:dyDescent="0.3">
      <c r="A954">
        <v>40338</v>
      </c>
      <c r="B954" t="s">
        <v>4886</v>
      </c>
      <c r="C954" t="s">
        <v>4887</v>
      </c>
    </row>
    <row r="955" spans="1:3" x14ac:dyDescent="0.3">
      <c r="A955">
        <v>40339</v>
      </c>
      <c r="B955" t="s">
        <v>4886</v>
      </c>
      <c r="C955" t="s">
        <v>4887</v>
      </c>
    </row>
    <row r="956" spans="1:3" x14ac:dyDescent="0.3">
      <c r="A956">
        <v>40340</v>
      </c>
      <c r="B956" t="s">
        <v>4886</v>
      </c>
      <c r="C956" t="s">
        <v>4887</v>
      </c>
    </row>
    <row r="957" spans="1:3" x14ac:dyDescent="0.3">
      <c r="A957">
        <v>40502</v>
      </c>
      <c r="B957" t="s">
        <v>4466</v>
      </c>
      <c r="C957" t="s">
        <v>4887</v>
      </c>
    </row>
    <row r="958" spans="1:3" x14ac:dyDescent="0.3">
      <c r="A958">
        <v>40505</v>
      </c>
      <c r="B958" t="s">
        <v>4466</v>
      </c>
      <c r="C958" t="s">
        <v>4887</v>
      </c>
    </row>
    <row r="959" spans="1:3" x14ac:dyDescent="0.3">
      <c r="A959">
        <v>40701</v>
      </c>
      <c r="B959" t="s">
        <v>4466</v>
      </c>
      <c r="C959" t="s">
        <v>4887</v>
      </c>
    </row>
    <row r="960" spans="1:3" x14ac:dyDescent="0.3">
      <c r="A960">
        <v>40702</v>
      </c>
      <c r="B960" t="s">
        <v>4466</v>
      </c>
      <c r="C960" t="s">
        <v>4887</v>
      </c>
    </row>
    <row r="961" spans="1:3" x14ac:dyDescent="0.3">
      <c r="A961">
        <v>40703</v>
      </c>
      <c r="B961" t="s">
        <v>4466</v>
      </c>
      <c r="C961" t="s">
        <v>4887</v>
      </c>
    </row>
    <row r="962" spans="1:3" x14ac:dyDescent="0.3">
      <c r="A962">
        <v>40711</v>
      </c>
      <c r="B962" t="s">
        <v>4466</v>
      </c>
      <c r="C962" t="s">
        <v>4887</v>
      </c>
    </row>
    <row r="963" spans="1:3" x14ac:dyDescent="0.3">
      <c r="A963">
        <v>40713</v>
      </c>
      <c r="B963" t="s">
        <v>4466</v>
      </c>
      <c r="C963" t="s">
        <v>4887</v>
      </c>
    </row>
    <row r="964" spans="1:3" x14ac:dyDescent="0.3">
      <c r="A964">
        <v>40714</v>
      </c>
      <c r="B964" t="s">
        <v>4466</v>
      </c>
      <c r="C964" t="s">
        <v>4887</v>
      </c>
    </row>
    <row r="965" spans="1:3" x14ac:dyDescent="0.3">
      <c r="A965">
        <v>40715</v>
      </c>
      <c r="B965" t="s">
        <v>4466</v>
      </c>
      <c r="C965" t="s">
        <v>4887</v>
      </c>
    </row>
    <row r="966" spans="1:3" x14ac:dyDescent="0.3">
      <c r="A966">
        <v>40716</v>
      </c>
      <c r="B966" t="s">
        <v>4466</v>
      </c>
      <c r="C966" t="s">
        <v>4887</v>
      </c>
    </row>
    <row r="967" spans="1:3" x14ac:dyDescent="0.3">
      <c r="A967">
        <v>40717</v>
      </c>
      <c r="B967" t="s">
        <v>4466</v>
      </c>
      <c r="C967" t="s">
        <v>4887</v>
      </c>
    </row>
    <row r="968" spans="1:3" x14ac:dyDescent="0.3">
      <c r="A968">
        <v>40721</v>
      </c>
      <c r="B968" t="s">
        <v>4466</v>
      </c>
      <c r="C968" t="s">
        <v>4887</v>
      </c>
    </row>
    <row r="969" spans="1:3" x14ac:dyDescent="0.3">
      <c r="A969">
        <v>40722</v>
      </c>
      <c r="B969" t="s">
        <v>4466</v>
      </c>
      <c r="C969" t="s">
        <v>4887</v>
      </c>
    </row>
    <row r="970" spans="1:3" x14ac:dyDescent="0.3">
      <c r="A970">
        <v>40723</v>
      </c>
      <c r="B970" t="s">
        <v>4466</v>
      </c>
      <c r="C970" t="s">
        <v>4887</v>
      </c>
    </row>
    <row r="971" spans="1:3" x14ac:dyDescent="0.3">
      <c r="A971">
        <v>40724</v>
      </c>
      <c r="B971" t="s">
        <v>4466</v>
      </c>
      <c r="C971" t="s">
        <v>4887</v>
      </c>
    </row>
    <row r="972" spans="1:3" x14ac:dyDescent="0.3">
      <c r="A972">
        <v>40725</v>
      </c>
      <c r="B972" t="s">
        <v>4466</v>
      </c>
      <c r="C972" t="s">
        <v>4887</v>
      </c>
    </row>
    <row r="973" spans="1:3" x14ac:dyDescent="0.3">
      <c r="A973">
        <v>40729</v>
      </c>
      <c r="B973" t="s">
        <v>4466</v>
      </c>
      <c r="C973" t="s">
        <v>4887</v>
      </c>
    </row>
    <row r="974" spans="1:3" x14ac:dyDescent="0.3">
      <c r="A974">
        <v>40741</v>
      </c>
      <c r="B974" t="s">
        <v>4466</v>
      </c>
      <c r="C974" t="s">
        <v>4887</v>
      </c>
    </row>
    <row r="975" spans="1:3" x14ac:dyDescent="0.3">
      <c r="A975">
        <v>40742</v>
      </c>
      <c r="B975" t="s">
        <v>4466</v>
      </c>
      <c r="C975" t="s">
        <v>4887</v>
      </c>
    </row>
    <row r="976" spans="1:3" x14ac:dyDescent="0.3">
      <c r="A976">
        <v>40744</v>
      </c>
      <c r="B976" t="s">
        <v>4466</v>
      </c>
      <c r="C976" t="s">
        <v>4887</v>
      </c>
    </row>
    <row r="977" spans="1:3" x14ac:dyDescent="0.3">
      <c r="A977">
        <v>40745</v>
      </c>
      <c r="B977" t="s">
        <v>4466</v>
      </c>
      <c r="C977" t="s">
        <v>4887</v>
      </c>
    </row>
    <row r="978" spans="1:3" x14ac:dyDescent="0.3">
      <c r="A978">
        <v>40746</v>
      </c>
      <c r="B978" t="s">
        <v>4466</v>
      </c>
      <c r="C978" t="s">
        <v>4887</v>
      </c>
    </row>
    <row r="979" spans="1:3" x14ac:dyDescent="0.3">
      <c r="A979">
        <v>40747</v>
      </c>
      <c r="B979" t="s">
        <v>4466</v>
      </c>
      <c r="C979" t="s">
        <v>4887</v>
      </c>
    </row>
    <row r="980" spans="1:3" x14ac:dyDescent="0.3">
      <c r="A980">
        <v>40751</v>
      </c>
      <c r="B980" t="s">
        <v>4466</v>
      </c>
      <c r="C980" t="s">
        <v>4887</v>
      </c>
    </row>
    <row r="981" spans="1:3" x14ac:dyDescent="0.3">
      <c r="A981">
        <v>40752</v>
      </c>
      <c r="B981" t="s">
        <v>4466</v>
      </c>
      <c r="C981" t="s">
        <v>4887</v>
      </c>
    </row>
    <row r="982" spans="1:3" x14ac:dyDescent="0.3">
      <c r="A982">
        <v>40753</v>
      </c>
      <c r="B982" t="s">
        <v>4466</v>
      </c>
      <c r="C982" t="s">
        <v>4887</v>
      </c>
    </row>
    <row r="983" spans="1:3" x14ac:dyDescent="0.3">
      <c r="A983">
        <v>40755</v>
      </c>
      <c r="B983" t="s">
        <v>4466</v>
      </c>
      <c r="C983" t="s">
        <v>4887</v>
      </c>
    </row>
    <row r="984" spans="1:3" x14ac:dyDescent="0.3">
      <c r="A984">
        <v>40756</v>
      </c>
      <c r="B984" t="s">
        <v>4466</v>
      </c>
      <c r="C984" t="s">
        <v>4887</v>
      </c>
    </row>
    <row r="985" spans="1:3" x14ac:dyDescent="0.3">
      <c r="A985">
        <v>40757</v>
      </c>
      <c r="B985" t="s">
        <v>4466</v>
      </c>
      <c r="C985" t="s">
        <v>4887</v>
      </c>
    </row>
    <row r="986" spans="1:3" x14ac:dyDescent="0.3">
      <c r="A986">
        <v>40760</v>
      </c>
      <c r="B986" t="s">
        <v>4466</v>
      </c>
      <c r="C986" t="s">
        <v>4887</v>
      </c>
    </row>
    <row r="987" spans="1:3" x14ac:dyDescent="0.3">
      <c r="A987">
        <v>40761</v>
      </c>
      <c r="B987" t="s">
        <v>4466</v>
      </c>
      <c r="C987" t="s">
        <v>4887</v>
      </c>
    </row>
    <row r="988" spans="1:3" x14ac:dyDescent="0.3">
      <c r="A988">
        <v>40777</v>
      </c>
      <c r="B988" t="s">
        <v>4466</v>
      </c>
      <c r="C988" t="s">
        <v>4887</v>
      </c>
    </row>
    <row r="989" spans="1:3" x14ac:dyDescent="0.3">
      <c r="A989">
        <v>40778</v>
      </c>
      <c r="B989" t="s">
        <v>4466</v>
      </c>
      <c r="C989" t="s">
        <v>4887</v>
      </c>
    </row>
    <row r="990" spans="1:3" x14ac:dyDescent="0.3">
      <c r="A990">
        <v>40779</v>
      </c>
      <c r="B990" t="s">
        <v>4466</v>
      </c>
      <c r="C990" t="s">
        <v>4887</v>
      </c>
    </row>
    <row r="991" spans="1:3" x14ac:dyDescent="0.3">
      <c r="A991">
        <v>40780</v>
      </c>
      <c r="B991" t="s">
        <v>4466</v>
      </c>
      <c r="C991" t="s">
        <v>4887</v>
      </c>
    </row>
    <row r="992" spans="1:3" x14ac:dyDescent="0.3">
      <c r="A992">
        <v>40781</v>
      </c>
      <c r="B992" t="s">
        <v>4466</v>
      </c>
      <c r="C992" t="s">
        <v>4887</v>
      </c>
    </row>
    <row r="993" spans="1:3" x14ac:dyDescent="0.3">
      <c r="A993">
        <v>40782</v>
      </c>
      <c r="B993" t="s">
        <v>4466</v>
      </c>
      <c r="C993" t="s">
        <v>4887</v>
      </c>
    </row>
    <row r="994" spans="1:3" x14ac:dyDescent="0.3">
      <c r="A994">
        <v>40784</v>
      </c>
      <c r="B994" t="s">
        <v>4466</v>
      </c>
      <c r="C994" t="s">
        <v>4887</v>
      </c>
    </row>
    <row r="995" spans="1:3" x14ac:dyDescent="0.3">
      <c r="A995">
        <v>40801</v>
      </c>
      <c r="B995" t="s">
        <v>4466</v>
      </c>
      <c r="C995" t="s">
        <v>4887</v>
      </c>
    </row>
    <row r="996" spans="1:3" x14ac:dyDescent="0.3">
      <c r="A996">
        <v>41002</v>
      </c>
      <c r="B996" t="s">
        <v>3983</v>
      </c>
      <c r="C996" t="s">
        <v>4887</v>
      </c>
    </row>
    <row r="997" spans="1:3" x14ac:dyDescent="0.3">
      <c r="A997">
        <v>41101</v>
      </c>
      <c r="B997" t="s">
        <v>3983</v>
      </c>
      <c r="C997" t="s">
        <v>4887</v>
      </c>
    </row>
    <row r="998" spans="1:3" x14ac:dyDescent="0.3">
      <c r="A998">
        <v>41103</v>
      </c>
      <c r="B998" t="s">
        <v>3983</v>
      </c>
      <c r="C998" t="s">
        <v>4887</v>
      </c>
    </row>
    <row r="999" spans="1:3" x14ac:dyDescent="0.3">
      <c r="A999">
        <v>41108</v>
      </c>
      <c r="B999" t="s">
        <v>3983</v>
      </c>
      <c r="C999" t="s">
        <v>4887</v>
      </c>
    </row>
    <row r="1000" spans="1:3" x14ac:dyDescent="0.3">
      <c r="A1000">
        <v>41111</v>
      </c>
      <c r="B1000" t="s">
        <v>3983</v>
      </c>
      <c r="C1000" t="s">
        <v>4887</v>
      </c>
    </row>
    <row r="1001" spans="1:3" x14ac:dyDescent="0.3">
      <c r="A1001">
        <v>41112</v>
      </c>
      <c r="B1001" t="s">
        <v>3983</v>
      </c>
      <c r="C1001" t="s">
        <v>4887</v>
      </c>
    </row>
    <row r="1002" spans="1:3" x14ac:dyDescent="0.3">
      <c r="A1002">
        <v>41113</v>
      </c>
      <c r="B1002" t="s">
        <v>3983</v>
      </c>
      <c r="C1002" t="s">
        <v>4887</v>
      </c>
    </row>
    <row r="1003" spans="1:3" x14ac:dyDescent="0.3">
      <c r="A1003">
        <v>41114</v>
      </c>
      <c r="B1003" t="s">
        <v>3983</v>
      </c>
      <c r="C1003" t="s">
        <v>4887</v>
      </c>
    </row>
    <row r="1004" spans="1:3" x14ac:dyDescent="0.3">
      <c r="A1004">
        <v>41115</v>
      </c>
      <c r="B1004" t="s">
        <v>3983</v>
      </c>
      <c r="C1004" t="s">
        <v>4887</v>
      </c>
    </row>
    <row r="1005" spans="1:3" x14ac:dyDescent="0.3">
      <c r="A1005">
        <v>41116</v>
      </c>
      <c r="B1005" t="s">
        <v>3983</v>
      </c>
      <c r="C1005" t="s">
        <v>4887</v>
      </c>
    </row>
    <row r="1006" spans="1:3" x14ac:dyDescent="0.3">
      <c r="A1006">
        <v>41117</v>
      </c>
      <c r="B1006" t="s">
        <v>3983</v>
      </c>
      <c r="C1006" t="s">
        <v>4887</v>
      </c>
    </row>
    <row r="1007" spans="1:3" x14ac:dyDescent="0.3">
      <c r="A1007">
        <v>41118</v>
      </c>
      <c r="B1007" t="s">
        <v>3983</v>
      </c>
      <c r="C1007" t="s">
        <v>4887</v>
      </c>
    </row>
    <row r="1008" spans="1:3" x14ac:dyDescent="0.3">
      <c r="A1008">
        <v>41119</v>
      </c>
      <c r="B1008" t="s">
        <v>3983</v>
      </c>
      <c r="C1008" t="s">
        <v>4887</v>
      </c>
    </row>
    <row r="1009" spans="1:3" x14ac:dyDescent="0.3">
      <c r="A1009">
        <v>41120</v>
      </c>
      <c r="B1009" t="s">
        <v>3983</v>
      </c>
      <c r="C1009" t="s">
        <v>4887</v>
      </c>
    </row>
    <row r="1010" spans="1:3" x14ac:dyDescent="0.3">
      <c r="A1010">
        <v>41121</v>
      </c>
      <c r="B1010" t="s">
        <v>3983</v>
      </c>
      <c r="C1010" t="s">
        <v>4887</v>
      </c>
    </row>
    <row r="1011" spans="1:3" x14ac:dyDescent="0.3">
      <c r="A1011">
        <v>41131</v>
      </c>
      <c r="B1011" t="s">
        <v>3983</v>
      </c>
      <c r="C1011" t="s">
        <v>4887</v>
      </c>
    </row>
    <row r="1012" spans="1:3" x14ac:dyDescent="0.3">
      <c r="A1012">
        <v>41132</v>
      </c>
      <c r="B1012" t="s">
        <v>3983</v>
      </c>
      <c r="C1012" t="s">
        <v>4887</v>
      </c>
    </row>
    <row r="1013" spans="1:3" x14ac:dyDescent="0.3">
      <c r="A1013">
        <v>41133</v>
      </c>
      <c r="B1013" t="s">
        <v>3983</v>
      </c>
      <c r="C1013" t="s">
        <v>4887</v>
      </c>
    </row>
    <row r="1014" spans="1:3" x14ac:dyDescent="0.3">
      <c r="A1014">
        <v>41141</v>
      </c>
      <c r="B1014" t="s">
        <v>3983</v>
      </c>
      <c r="C1014" t="s">
        <v>4887</v>
      </c>
    </row>
    <row r="1015" spans="1:3" x14ac:dyDescent="0.3">
      <c r="A1015">
        <v>41142</v>
      </c>
      <c r="B1015" t="s">
        <v>3983</v>
      </c>
      <c r="C1015" t="s">
        <v>4887</v>
      </c>
    </row>
    <row r="1016" spans="1:3" x14ac:dyDescent="0.3">
      <c r="A1016">
        <v>41145</v>
      </c>
      <c r="B1016" t="s">
        <v>3983</v>
      </c>
      <c r="C1016" t="s">
        <v>4887</v>
      </c>
    </row>
    <row r="1017" spans="1:3" x14ac:dyDescent="0.3">
      <c r="A1017">
        <v>41146</v>
      </c>
      <c r="B1017" t="s">
        <v>3983</v>
      </c>
      <c r="C1017" t="s">
        <v>4887</v>
      </c>
    </row>
    <row r="1018" spans="1:3" x14ac:dyDescent="0.3">
      <c r="A1018">
        <v>41147</v>
      </c>
      <c r="B1018" t="s">
        <v>3983</v>
      </c>
      <c r="C1018" t="s">
        <v>4887</v>
      </c>
    </row>
    <row r="1019" spans="1:3" x14ac:dyDescent="0.3">
      <c r="A1019">
        <v>41148</v>
      </c>
      <c r="B1019" t="s">
        <v>3983</v>
      </c>
      <c r="C1019" t="s">
        <v>4887</v>
      </c>
    </row>
    <row r="1020" spans="1:3" x14ac:dyDescent="0.3">
      <c r="A1020">
        <v>41155</v>
      </c>
      <c r="B1020" t="s">
        <v>3983</v>
      </c>
      <c r="C1020" t="s">
        <v>4887</v>
      </c>
    </row>
    <row r="1021" spans="1:3" x14ac:dyDescent="0.3">
      <c r="A1021">
        <v>41156</v>
      </c>
      <c r="B1021" t="s">
        <v>3983</v>
      </c>
      <c r="C1021" t="s">
        <v>4887</v>
      </c>
    </row>
    <row r="1022" spans="1:3" x14ac:dyDescent="0.3">
      <c r="A1022">
        <v>41162</v>
      </c>
      <c r="B1022" t="s">
        <v>3983</v>
      </c>
      <c r="C1022" t="s">
        <v>4887</v>
      </c>
    </row>
    <row r="1023" spans="1:3" x14ac:dyDescent="0.3">
      <c r="A1023">
        <v>41164</v>
      </c>
      <c r="B1023" t="s">
        <v>3983</v>
      </c>
      <c r="C1023" t="s">
        <v>4887</v>
      </c>
    </row>
    <row r="1024" spans="1:3" x14ac:dyDescent="0.3">
      <c r="A1024">
        <v>41171</v>
      </c>
      <c r="B1024" t="s">
        <v>3983</v>
      </c>
      <c r="C1024" t="s">
        <v>4887</v>
      </c>
    </row>
    <row r="1025" spans="1:3" x14ac:dyDescent="0.3">
      <c r="A1025">
        <v>41172</v>
      </c>
      <c r="B1025" t="s">
        <v>3983</v>
      </c>
      <c r="C1025" t="s">
        <v>4887</v>
      </c>
    </row>
    <row r="1026" spans="1:3" x14ac:dyDescent="0.3">
      <c r="A1026">
        <v>41173</v>
      </c>
      <c r="B1026" t="s">
        <v>3983</v>
      </c>
      <c r="C1026" t="s">
        <v>4887</v>
      </c>
    </row>
    <row r="1027" spans="1:3" x14ac:dyDescent="0.3">
      <c r="A1027">
        <v>41174</v>
      </c>
      <c r="B1027" t="s">
        <v>3983</v>
      </c>
      <c r="C1027" t="s">
        <v>4887</v>
      </c>
    </row>
    <row r="1028" spans="1:3" x14ac:dyDescent="0.3">
      <c r="A1028">
        <v>41181</v>
      </c>
      <c r="B1028" t="s">
        <v>3983</v>
      </c>
      <c r="C1028" t="s">
        <v>4887</v>
      </c>
    </row>
    <row r="1029" spans="1:3" x14ac:dyDescent="0.3">
      <c r="A1029">
        <v>41182</v>
      </c>
      <c r="B1029" t="s">
        <v>3983</v>
      </c>
      <c r="C1029" t="s">
        <v>4887</v>
      </c>
    </row>
    <row r="1030" spans="1:3" x14ac:dyDescent="0.3">
      <c r="A1030">
        <v>41183</v>
      </c>
      <c r="B1030" t="s">
        <v>3983</v>
      </c>
      <c r="C1030" t="s">
        <v>4887</v>
      </c>
    </row>
    <row r="1031" spans="1:3" x14ac:dyDescent="0.3">
      <c r="A1031">
        <v>41184</v>
      </c>
      <c r="B1031" t="s">
        <v>3983</v>
      </c>
      <c r="C1031" t="s">
        <v>4887</v>
      </c>
    </row>
    <row r="1032" spans="1:3" x14ac:dyDescent="0.3">
      <c r="A1032">
        <v>41185</v>
      </c>
      <c r="B1032" t="s">
        <v>3983</v>
      </c>
      <c r="C1032" t="s">
        <v>4887</v>
      </c>
    </row>
    <row r="1033" spans="1:3" x14ac:dyDescent="0.3">
      <c r="A1033">
        <v>41186</v>
      </c>
      <c r="B1033" t="s">
        <v>3983</v>
      </c>
      <c r="C1033" t="s">
        <v>4887</v>
      </c>
    </row>
    <row r="1034" spans="1:3" x14ac:dyDescent="0.3">
      <c r="A1034">
        <v>41187</v>
      </c>
      <c r="B1034" t="s">
        <v>3983</v>
      </c>
      <c r="C1034" t="s">
        <v>4887</v>
      </c>
    </row>
    <row r="1035" spans="1:3" x14ac:dyDescent="0.3">
      <c r="A1035">
        <v>41201</v>
      </c>
      <c r="B1035" t="s">
        <v>3983</v>
      </c>
      <c r="C1035" t="s">
        <v>4887</v>
      </c>
    </row>
    <row r="1036" spans="1:3" x14ac:dyDescent="0.3">
      <c r="A1036">
        <v>41301</v>
      </c>
      <c r="B1036" t="s">
        <v>3983</v>
      </c>
      <c r="C1036" t="s">
        <v>4887</v>
      </c>
    </row>
    <row r="1037" spans="1:3" x14ac:dyDescent="0.3">
      <c r="A1037">
        <v>41501</v>
      </c>
      <c r="B1037" t="s">
        <v>2648</v>
      </c>
      <c r="C1037" t="s">
        <v>4887</v>
      </c>
    </row>
    <row r="1038" spans="1:3" x14ac:dyDescent="0.3">
      <c r="A1038">
        <v>41503</v>
      </c>
      <c r="B1038" t="s">
        <v>2648</v>
      </c>
      <c r="C1038" t="s">
        <v>4887</v>
      </c>
    </row>
    <row r="1039" spans="1:3" x14ac:dyDescent="0.3">
      <c r="A1039">
        <v>41510</v>
      </c>
      <c r="B1039" t="s">
        <v>2648</v>
      </c>
      <c r="C1039" t="s">
        <v>4887</v>
      </c>
    </row>
    <row r="1040" spans="1:3" x14ac:dyDescent="0.3">
      <c r="A1040">
        <v>41701</v>
      </c>
      <c r="B1040" t="s">
        <v>2648</v>
      </c>
      <c r="C1040" t="s">
        <v>4887</v>
      </c>
    </row>
    <row r="1041" spans="1:3" x14ac:dyDescent="0.3">
      <c r="A1041">
        <v>41702</v>
      </c>
      <c r="B1041" t="s">
        <v>2648</v>
      </c>
      <c r="C1041" t="s">
        <v>4887</v>
      </c>
    </row>
    <row r="1042" spans="1:3" x14ac:dyDescent="0.3">
      <c r="A1042">
        <v>41703</v>
      </c>
      <c r="B1042" t="s">
        <v>2648</v>
      </c>
      <c r="C1042" t="s">
        <v>4887</v>
      </c>
    </row>
    <row r="1043" spans="1:3" x14ac:dyDescent="0.3">
      <c r="A1043">
        <v>41704</v>
      </c>
      <c r="B1043" t="s">
        <v>2648</v>
      </c>
      <c r="C1043" t="s">
        <v>4887</v>
      </c>
    </row>
    <row r="1044" spans="1:3" x14ac:dyDescent="0.3">
      <c r="A1044">
        <v>41705</v>
      </c>
      <c r="B1044" t="s">
        <v>2648</v>
      </c>
      <c r="C1044" t="s">
        <v>4887</v>
      </c>
    </row>
    <row r="1045" spans="1:3" x14ac:dyDescent="0.3">
      <c r="A1045">
        <v>41712</v>
      </c>
      <c r="B1045" t="s">
        <v>2648</v>
      </c>
      <c r="C1045" t="s">
        <v>4887</v>
      </c>
    </row>
    <row r="1046" spans="1:3" x14ac:dyDescent="0.3">
      <c r="A1046">
        <v>41713</v>
      </c>
      <c r="B1046" t="s">
        <v>2648</v>
      </c>
      <c r="C1046" t="s">
        <v>4887</v>
      </c>
    </row>
    <row r="1047" spans="1:3" x14ac:dyDescent="0.3">
      <c r="A1047">
        <v>41722</v>
      </c>
      <c r="B1047" t="s">
        <v>2648</v>
      </c>
      <c r="C1047" t="s">
        <v>4887</v>
      </c>
    </row>
    <row r="1048" spans="1:3" x14ac:dyDescent="0.3">
      <c r="A1048">
        <v>41723</v>
      </c>
      <c r="B1048" t="s">
        <v>2648</v>
      </c>
      <c r="C1048" t="s">
        <v>4887</v>
      </c>
    </row>
    <row r="1049" spans="1:3" x14ac:dyDescent="0.3">
      <c r="A1049">
        <v>41724</v>
      </c>
      <c r="B1049" t="s">
        <v>2648</v>
      </c>
      <c r="C1049" t="s">
        <v>4887</v>
      </c>
    </row>
    <row r="1050" spans="1:3" x14ac:dyDescent="0.3">
      <c r="A1050">
        <v>41725</v>
      </c>
      <c r="B1050" t="s">
        <v>2648</v>
      </c>
      <c r="C1050" t="s">
        <v>4887</v>
      </c>
    </row>
    <row r="1051" spans="1:3" x14ac:dyDescent="0.3">
      <c r="A1051">
        <v>41731</v>
      </c>
      <c r="B1051" t="s">
        <v>2648</v>
      </c>
      <c r="C1051" t="s">
        <v>4887</v>
      </c>
    </row>
    <row r="1052" spans="1:3" x14ac:dyDescent="0.3">
      <c r="A1052">
        <v>41741</v>
      </c>
      <c r="B1052" t="s">
        <v>2648</v>
      </c>
      <c r="C1052" t="s">
        <v>4887</v>
      </c>
    </row>
    <row r="1053" spans="1:3" x14ac:dyDescent="0.3">
      <c r="A1053">
        <v>41742</v>
      </c>
      <c r="B1053" t="s">
        <v>2648</v>
      </c>
      <c r="C1053" t="s">
        <v>4887</v>
      </c>
    </row>
    <row r="1054" spans="1:3" x14ac:dyDescent="0.3">
      <c r="A1054">
        <v>41752</v>
      </c>
      <c r="B1054" t="s">
        <v>2648</v>
      </c>
      <c r="C1054" t="s">
        <v>4887</v>
      </c>
    </row>
    <row r="1055" spans="1:3" x14ac:dyDescent="0.3">
      <c r="A1055">
        <v>41753</v>
      </c>
      <c r="B1055" t="s">
        <v>2648</v>
      </c>
      <c r="C1055" t="s">
        <v>4887</v>
      </c>
    </row>
    <row r="1056" spans="1:3" x14ac:dyDescent="0.3">
      <c r="A1056">
        <v>41754</v>
      </c>
      <c r="B1056" t="s">
        <v>2648</v>
      </c>
      <c r="C1056" t="s">
        <v>4887</v>
      </c>
    </row>
    <row r="1057" spans="1:3" x14ac:dyDescent="0.3">
      <c r="A1057">
        <v>41757</v>
      </c>
      <c r="B1057" t="s">
        <v>2648</v>
      </c>
      <c r="C1057" t="s">
        <v>4887</v>
      </c>
    </row>
    <row r="1058" spans="1:3" x14ac:dyDescent="0.3">
      <c r="A1058">
        <v>41761</v>
      </c>
      <c r="B1058" t="s">
        <v>2648</v>
      </c>
      <c r="C1058" t="s">
        <v>4887</v>
      </c>
    </row>
    <row r="1059" spans="1:3" x14ac:dyDescent="0.3">
      <c r="A1059">
        <v>41762</v>
      </c>
      <c r="B1059" t="s">
        <v>2648</v>
      </c>
      <c r="C1059" t="s">
        <v>4887</v>
      </c>
    </row>
    <row r="1060" spans="1:3" x14ac:dyDescent="0.3">
      <c r="A1060">
        <v>41763</v>
      </c>
      <c r="B1060" t="s">
        <v>2648</v>
      </c>
      <c r="C1060" t="s">
        <v>4887</v>
      </c>
    </row>
    <row r="1061" spans="1:3" x14ac:dyDescent="0.3">
      <c r="A1061">
        <v>41765</v>
      </c>
      <c r="B1061" t="s">
        <v>2648</v>
      </c>
      <c r="C1061" t="s">
        <v>4887</v>
      </c>
    </row>
    <row r="1062" spans="1:3" x14ac:dyDescent="0.3">
      <c r="A1062">
        <v>41771</v>
      </c>
      <c r="B1062" t="s">
        <v>2648</v>
      </c>
      <c r="C1062" t="s">
        <v>4887</v>
      </c>
    </row>
    <row r="1063" spans="1:3" x14ac:dyDescent="0.3">
      <c r="A1063">
        <v>41772</v>
      </c>
      <c r="B1063" t="s">
        <v>2648</v>
      </c>
      <c r="C1063" t="s">
        <v>4887</v>
      </c>
    </row>
    <row r="1064" spans="1:3" x14ac:dyDescent="0.3">
      <c r="A1064">
        <v>41781</v>
      </c>
      <c r="B1064" t="s">
        <v>2648</v>
      </c>
      <c r="C1064" t="s">
        <v>4887</v>
      </c>
    </row>
    <row r="1065" spans="1:3" x14ac:dyDescent="0.3">
      <c r="A1065">
        <v>41801</v>
      </c>
      <c r="B1065" t="s">
        <v>2648</v>
      </c>
      <c r="C1065" t="s">
        <v>4887</v>
      </c>
    </row>
    <row r="1066" spans="1:3" x14ac:dyDescent="0.3">
      <c r="A1066">
        <v>41804</v>
      </c>
      <c r="B1066" t="s">
        <v>2648</v>
      </c>
      <c r="C1066" t="s">
        <v>4887</v>
      </c>
    </row>
    <row r="1067" spans="1:3" x14ac:dyDescent="0.3">
      <c r="A1067">
        <v>41901</v>
      </c>
      <c r="B1067" t="s">
        <v>2648</v>
      </c>
      <c r="C1067" t="s">
        <v>4887</v>
      </c>
    </row>
    <row r="1068" spans="1:3" x14ac:dyDescent="0.3">
      <c r="A1068">
        <v>43001</v>
      </c>
      <c r="B1068" t="s">
        <v>2017</v>
      </c>
      <c r="C1068" t="s">
        <v>4887</v>
      </c>
    </row>
    <row r="1069" spans="1:3" x14ac:dyDescent="0.3">
      <c r="A1069">
        <v>43003</v>
      </c>
      <c r="B1069" t="s">
        <v>2017</v>
      </c>
      <c r="C1069" t="s">
        <v>4887</v>
      </c>
    </row>
    <row r="1070" spans="1:3" x14ac:dyDescent="0.3">
      <c r="A1070">
        <v>43004</v>
      </c>
      <c r="B1070" t="s">
        <v>2017</v>
      </c>
      <c r="C1070" t="s">
        <v>4887</v>
      </c>
    </row>
    <row r="1071" spans="1:3" x14ac:dyDescent="0.3">
      <c r="A1071">
        <v>43101</v>
      </c>
      <c r="B1071" t="s">
        <v>2017</v>
      </c>
      <c r="C1071" t="s">
        <v>4887</v>
      </c>
    </row>
    <row r="1072" spans="1:3" x14ac:dyDescent="0.3">
      <c r="A1072">
        <v>43102</v>
      </c>
      <c r="B1072" t="s">
        <v>2017</v>
      </c>
      <c r="C1072" t="s">
        <v>4887</v>
      </c>
    </row>
    <row r="1073" spans="1:3" x14ac:dyDescent="0.3">
      <c r="A1073">
        <v>43111</v>
      </c>
      <c r="B1073" t="s">
        <v>2017</v>
      </c>
      <c r="C1073" t="s">
        <v>4887</v>
      </c>
    </row>
    <row r="1074" spans="1:3" x14ac:dyDescent="0.3">
      <c r="A1074">
        <v>43114</v>
      </c>
      <c r="B1074" t="s">
        <v>2017</v>
      </c>
      <c r="C1074" t="s">
        <v>4887</v>
      </c>
    </row>
    <row r="1075" spans="1:3" x14ac:dyDescent="0.3">
      <c r="A1075">
        <v>43115</v>
      </c>
      <c r="B1075" t="s">
        <v>2017</v>
      </c>
      <c r="C1075" t="s">
        <v>4887</v>
      </c>
    </row>
    <row r="1076" spans="1:3" x14ac:dyDescent="0.3">
      <c r="A1076">
        <v>43121</v>
      </c>
      <c r="B1076" t="s">
        <v>2017</v>
      </c>
      <c r="C1076" t="s">
        <v>4887</v>
      </c>
    </row>
    <row r="1077" spans="1:3" x14ac:dyDescent="0.3">
      <c r="A1077">
        <v>43132</v>
      </c>
      <c r="B1077" t="s">
        <v>2017</v>
      </c>
      <c r="C1077" t="s">
        <v>4887</v>
      </c>
    </row>
    <row r="1078" spans="1:3" x14ac:dyDescent="0.3">
      <c r="A1078">
        <v>43141</v>
      </c>
      <c r="B1078" t="s">
        <v>2017</v>
      </c>
      <c r="C1078" t="s">
        <v>4887</v>
      </c>
    </row>
    <row r="1079" spans="1:3" x14ac:dyDescent="0.3">
      <c r="A1079">
        <v>43143</v>
      </c>
      <c r="B1079" t="s">
        <v>2017</v>
      </c>
      <c r="C1079" t="s">
        <v>4887</v>
      </c>
    </row>
    <row r="1080" spans="1:3" x14ac:dyDescent="0.3">
      <c r="A1080">
        <v>43144</v>
      </c>
      <c r="B1080" t="s">
        <v>2017</v>
      </c>
      <c r="C1080" t="s">
        <v>4887</v>
      </c>
    </row>
    <row r="1081" spans="1:3" x14ac:dyDescent="0.3">
      <c r="A1081">
        <v>43145</v>
      </c>
      <c r="B1081" t="s">
        <v>2017</v>
      </c>
      <c r="C1081" t="s">
        <v>4887</v>
      </c>
    </row>
    <row r="1082" spans="1:3" x14ac:dyDescent="0.3">
      <c r="A1082">
        <v>43151</v>
      </c>
      <c r="B1082" t="s">
        <v>4416</v>
      </c>
      <c r="C1082" t="s">
        <v>4883</v>
      </c>
    </row>
    <row r="1083" spans="1:3" x14ac:dyDescent="0.3">
      <c r="A1083">
        <v>43153</v>
      </c>
      <c r="B1083" t="s">
        <v>2017</v>
      </c>
      <c r="C1083" t="s">
        <v>4887</v>
      </c>
    </row>
    <row r="1084" spans="1:3" x14ac:dyDescent="0.3">
      <c r="A1084">
        <v>43154</v>
      </c>
      <c r="B1084" t="s">
        <v>2017</v>
      </c>
      <c r="C1084" t="s">
        <v>4887</v>
      </c>
    </row>
    <row r="1085" spans="1:3" x14ac:dyDescent="0.3">
      <c r="A1085">
        <v>43155</v>
      </c>
      <c r="B1085" t="s">
        <v>2017</v>
      </c>
      <c r="C1085" t="s">
        <v>4887</v>
      </c>
    </row>
    <row r="1086" spans="1:3" x14ac:dyDescent="0.3">
      <c r="A1086">
        <v>43156</v>
      </c>
      <c r="B1086" t="s">
        <v>2017</v>
      </c>
      <c r="C1086" t="s">
        <v>4887</v>
      </c>
    </row>
    <row r="1087" spans="1:3" x14ac:dyDescent="0.3">
      <c r="A1087">
        <v>43157</v>
      </c>
      <c r="B1087" t="s">
        <v>2017</v>
      </c>
      <c r="C1087" t="s">
        <v>4887</v>
      </c>
    </row>
    <row r="1088" spans="1:3" x14ac:dyDescent="0.3">
      <c r="A1088">
        <v>43158</v>
      </c>
      <c r="B1088" t="s">
        <v>2017</v>
      </c>
      <c r="C1088" t="s">
        <v>4887</v>
      </c>
    </row>
    <row r="1089" spans="1:3" x14ac:dyDescent="0.3">
      <c r="A1089">
        <v>43159</v>
      </c>
      <c r="B1089" t="s">
        <v>2017</v>
      </c>
      <c r="C1089" t="s">
        <v>4887</v>
      </c>
    </row>
    <row r="1090" spans="1:3" x14ac:dyDescent="0.3">
      <c r="A1090">
        <v>43163</v>
      </c>
      <c r="B1090" t="s">
        <v>2017</v>
      </c>
      <c r="C1090" t="s">
        <v>4887</v>
      </c>
    </row>
    <row r="1091" spans="1:3" x14ac:dyDescent="0.3">
      <c r="A1091">
        <v>43182</v>
      </c>
      <c r="B1091" t="s">
        <v>2017</v>
      </c>
      <c r="C1091" t="s">
        <v>4887</v>
      </c>
    </row>
    <row r="1092" spans="1:3" x14ac:dyDescent="0.3">
      <c r="A1092">
        <v>43183</v>
      </c>
      <c r="B1092" t="s">
        <v>2017</v>
      </c>
      <c r="C1092" t="s">
        <v>4887</v>
      </c>
    </row>
    <row r="1093" spans="1:3" x14ac:dyDescent="0.3">
      <c r="A1093">
        <v>43184</v>
      </c>
      <c r="B1093" t="s">
        <v>2017</v>
      </c>
      <c r="C1093" t="s">
        <v>4887</v>
      </c>
    </row>
    <row r="1094" spans="1:3" x14ac:dyDescent="0.3">
      <c r="A1094">
        <v>43186</v>
      </c>
      <c r="B1094" t="s">
        <v>2017</v>
      </c>
      <c r="C1094" t="s">
        <v>4887</v>
      </c>
    </row>
    <row r="1095" spans="1:3" x14ac:dyDescent="0.3">
      <c r="A1095">
        <v>43191</v>
      </c>
      <c r="B1095" t="s">
        <v>2017</v>
      </c>
      <c r="C1095" t="s">
        <v>4887</v>
      </c>
    </row>
    <row r="1096" spans="1:3" x14ac:dyDescent="0.3">
      <c r="A1096">
        <v>43201</v>
      </c>
      <c r="B1096" t="s">
        <v>4416</v>
      </c>
      <c r="C1096" t="s">
        <v>4883</v>
      </c>
    </row>
    <row r="1097" spans="1:3" x14ac:dyDescent="0.3">
      <c r="A1097">
        <v>43401</v>
      </c>
      <c r="B1097" t="s">
        <v>503</v>
      </c>
      <c r="C1097" t="s">
        <v>4887</v>
      </c>
    </row>
    <row r="1098" spans="1:3" x14ac:dyDescent="0.3">
      <c r="A1098">
        <v>43501</v>
      </c>
      <c r="B1098" t="s">
        <v>503</v>
      </c>
      <c r="C1098" t="s">
        <v>4887</v>
      </c>
    </row>
    <row r="1099" spans="1:3" x14ac:dyDescent="0.3">
      <c r="A1099">
        <v>43502</v>
      </c>
      <c r="B1099" t="s">
        <v>503</v>
      </c>
      <c r="C1099" t="s">
        <v>4887</v>
      </c>
    </row>
    <row r="1100" spans="1:3" x14ac:dyDescent="0.3">
      <c r="A1100">
        <v>43511</v>
      </c>
      <c r="B1100" t="s">
        <v>503</v>
      </c>
      <c r="C1100" t="s">
        <v>4887</v>
      </c>
    </row>
    <row r="1101" spans="1:3" x14ac:dyDescent="0.3">
      <c r="A1101">
        <v>43513</v>
      </c>
      <c r="B1101" t="s">
        <v>503</v>
      </c>
      <c r="C1101" t="s">
        <v>4887</v>
      </c>
    </row>
    <row r="1102" spans="1:3" x14ac:dyDescent="0.3">
      <c r="A1102">
        <v>43521</v>
      </c>
      <c r="B1102" t="s">
        <v>503</v>
      </c>
      <c r="C1102" t="s">
        <v>4887</v>
      </c>
    </row>
    <row r="1103" spans="1:3" x14ac:dyDescent="0.3">
      <c r="A1103">
        <v>43522</v>
      </c>
      <c r="B1103" t="s">
        <v>503</v>
      </c>
      <c r="C1103" t="s">
        <v>4887</v>
      </c>
    </row>
    <row r="1104" spans="1:3" x14ac:dyDescent="0.3">
      <c r="A1104">
        <v>43524</v>
      </c>
      <c r="B1104" t="s">
        <v>503</v>
      </c>
      <c r="C1104" t="s">
        <v>4887</v>
      </c>
    </row>
    <row r="1105" spans="1:3" x14ac:dyDescent="0.3">
      <c r="A1105">
        <v>43526</v>
      </c>
      <c r="B1105" t="s">
        <v>503</v>
      </c>
      <c r="C1105" t="s">
        <v>4887</v>
      </c>
    </row>
    <row r="1106" spans="1:3" x14ac:dyDescent="0.3">
      <c r="A1106">
        <v>43532</v>
      </c>
      <c r="B1106" t="s">
        <v>503</v>
      </c>
      <c r="C1106" t="s">
        <v>4887</v>
      </c>
    </row>
    <row r="1107" spans="1:3" x14ac:dyDescent="0.3">
      <c r="A1107">
        <v>43533</v>
      </c>
      <c r="B1107" t="s">
        <v>503</v>
      </c>
      <c r="C1107" t="s">
        <v>4887</v>
      </c>
    </row>
    <row r="1108" spans="1:3" x14ac:dyDescent="0.3">
      <c r="A1108">
        <v>43542</v>
      </c>
      <c r="B1108" t="s">
        <v>503</v>
      </c>
      <c r="C1108" t="s">
        <v>4887</v>
      </c>
    </row>
    <row r="1109" spans="1:3" x14ac:dyDescent="0.3">
      <c r="A1109">
        <v>43543</v>
      </c>
      <c r="B1109" t="s">
        <v>503</v>
      </c>
      <c r="C1109" t="s">
        <v>4887</v>
      </c>
    </row>
    <row r="1110" spans="1:3" x14ac:dyDescent="0.3">
      <c r="A1110">
        <v>43545</v>
      </c>
      <c r="B1110" t="s">
        <v>503</v>
      </c>
      <c r="C1110" t="s">
        <v>4887</v>
      </c>
    </row>
    <row r="1111" spans="1:3" x14ac:dyDescent="0.3">
      <c r="A1111">
        <v>43546</v>
      </c>
      <c r="B1111" t="s">
        <v>503</v>
      </c>
      <c r="C1111" t="s">
        <v>4887</v>
      </c>
    </row>
    <row r="1112" spans="1:3" x14ac:dyDescent="0.3">
      <c r="A1112">
        <v>43547</v>
      </c>
      <c r="B1112" t="s">
        <v>503</v>
      </c>
      <c r="C1112" t="s">
        <v>4887</v>
      </c>
    </row>
    <row r="1113" spans="1:3" x14ac:dyDescent="0.3">
      <c r="A1113">
        <v>43601</v>
      </c>
      <c r="B1113" t="s">
        <v>503</v>
      </c>
      <c r="C1113" t="s">
        <v>4887</v>
      </c>
    </row>
    <row r="1114" spans="1:3" x14ac:dyDescent="0.3">
      <c r="A1114">
        <v>43801</v>
      </c>
      <c r="B1114" t="s">
        <v>440</v>
      </c>
      <c r="C1114" t="s">
        <v>4887</v>
      </c>
    </row>
    <row r="1115" spans="1:3" x14ac:dyDescent="0.3">
      <c r="A1115">
        <v>43901</v>
      </c>
      <c r="B1115" t="s">
        <v>440</v>
      </c>
      <c r="C1115" t="s">
        <v>4887</v>
      </c>
    </row>
    <row r="1116" spans="1:3" x14ac:dyDescent="0.3">
      <c r="A1116">
        <v>43902</v>
      </c>
      <c r="B1116" t="s">
        <v>440</v>
      </c>
      <c r="C1116" t="s">
        <v>4887</v>
      </c>
    </row>
    <row r="1117" spans="1:3" x14ac:dyDescent="0.3">
      <c r="A1117">
        <v>43903</v>
      </c>
      <c r="B1117" t="s">
        <v>440</v>
      </c>
      <c r="C1117" t="s">
        <v>4887</v>
      </c>
    </row>
    <row r="1118" spans="1:3" x14ac:dyDescent="0.3">
      <c r="A1118">
        <v>43904</v>
      </c>
      <c r="B1118" t="s">
        <v>440</v>
      </c>
      <c r="C1118" t="s">
        <v>4887</v>
      </c>
    </row>
    <row r="1119" spans="1:3" x14ac:dyDescent="0.3">
      <c r="A1119">
        <v>43905</v>
      </c>
      <c r="B1119" t="s">
        <v>440</v>
      </c>
      <c r="C1119" t="s">
        <v>4887</v>
      </c>
    </row>
    <row r="1120" spans="1:3" x14ac:dyDescent="0.3">
      <c r="A1120">
        <v>43906</v>
      </c>
      <c r="B1120" t="s">
        <v>440</v>
      </c>
      <c r="C1120" t="s">
        <v>4887</v>
      </c>
    </row>
    <row r="1121" spans="1:3" x14ac:dyDescent="0.3">
      <c r="A1121">
        <v>43907</v>
      </c>
      <c r="B1121" t="s">
        <v>440</v>
      </c>
      <c r="C1121" t="s">
        <v>4887</v>
      </c>
    </row>
    <row r="1122" spans="1:3" x14ac:dyDescent="0.3">
      <c r="A1122">
        <v>43908</v>
      </c>
      <c r="B1122" t="s">
        <v>440</v>
      </c>
      <c r="C1122" t="s">
        <v>4887</v>
      </c>
    </row>
    <row r="1123" spans="1:3" x14ac:dyDescent="0.3">
      <c r="A1123">
        <v>43909</v>
      </c>
      <c r="B1123" t="s">
        <v>440</v>
      </c>
      <c r="C1123" t="s">
        <v>4887</v>
      </c>
    </row>
    <row r="1124" spans="1:3" x14ac:dyDescent="0.3">
      <c r="A1124">
        <v>43914</v>
      </c>
      <c r="B1124" t="s">
        <v>440</v>
      </c>
      <c r="C1124" t="s">
        <v>4887</v>
      </c>
    </row>
    <row r="1125" spans="1:3" x14ac:dyDescent="0.3">
      <c r="A1125">
        <v>43915</v>
      </c>
      <c r="B1125" t="s">
        <v>440</v>
      </c>
      <c r="C1125" t="s">
        <v>4887</v>
      </c>
    </row>
    <row r="1126" spans="1:3" x14ac:dyDescent="0.3">
      <c r="A1126">
        <v>43921</v>
      </c>
      <c r="B1126" t="s">
        <v>440</v>
      </c>
      <c r="C1126" t="s">
        <v>4887</v>
      </c>
    </row>
    <row r="1127" spans="1:3" x14ac:dyDescent="0.3">
      <c r="A1127">
        <v>43922</v>
      </c>
      <c r="B1127" t="s">
        <v>440</v>
      </c>
      <c r="C1127" t="s">
        <v>4887</v>
      </c>
    </row>
    <row r="1128" spans="1:3" x14ac:dyDescent="0.3">
      <c r="A1128">
        <v>43923</v>
      </c>
      <c r="B1128" t="s">
        <v>440</v>
      </c>
      <c r="C1128" t="s">
        <v>4887</v>
      </c>
    </row>
    <row r="1129" spans="1:3" x14ac:dyDescent="0.3">
      <c r="A1129">
        <v>43924</v>
      </c>
      <c r="B1129" t="s">
        <v>440</v>
      </c>
      <c r="C1129" t="s">
        <v>4887</v>
      </c>
    </row>
    <row r="1130" spans="1:3" x14ac:dyDescent="0.3">
      <c r="A1130">
        <v>43926</v>
      </c>
      <c r="B1130" t="s">
        <v>440</v>
      </c>
      <c r="C1130" t="s">
        <v>4887</v>
      </c>
    </row>
    <row r="1131" spans="1:3" x14ac:dyDescent="0.3">
      <c r="A1131">
        <v>43931</v>
      </c>
      <c r="B1131" t="s">
        <v>440</v>
      </c>
      <c r="C1131" t="s">
        <v>4887</v>
      </c>
    </row>
    <row r="1132" spans="1:3" x14ac:dyDescent="0.3">
      <c r="A1132">
        <v>43942</v>
      </c>
      <c r="B1132" t="s">
        <v>440</v>
      </c>
      <c r="C1132" t="s">
        <v>4887</v>
      </c>
    </row>
    <row r="1133" spans="1:3" x14ac:dyDescent="0.3">
      <c r="A1133">
        <v>43949</v>
      </c>
      <c r="B1133" t="s">
        <v>440</v>
      </c>
      <c r="C1133" t="s">
        <v>4887</v>
      </c>
    </row>
    <row r="1134" spans="1:3" x14ac:dyDescent="0.3">
      <c r="A1134">
        <v>43963</v>
      </c>
      <c r="B1134" t="s">
        <v>440</v>
      </c>
      <c r="C1134" t="s">
        <v>4887</v>
      </c>
    </row>
    <row r="1135" spans="1:3" x14ac:dyDescent="0.3">
      <c r="A1135">
        <v>43965</v>
      </c>
      <c r="B1135" t="s">
        <v>440</v>
      </c>
      <c r="C1135" t="s">
        <v>4887</v>
      </c>
    </row>
    <row r="1136" spans="1:3" x14ac:dyDescent="0.3">
      <c r="A1136">
        <v>43967</v>
      </c>
      <c r="B1136" t="s">
        <v>440</v>
      </c>
      <c r="C1136" t="s">
        <v>4887</v>
      </c>
    </row>
    <row r="1137" spans="1:3" x14ac:dyDescent="0.3">
      <c r="A1137">
        <v>43968</v>
      </c>
      <c r="B1137" t="s">
        <v>440</v>
      </c>
      <c r="C1137" t="s">
        <v>4887</v>
      </c>
    </row>
    <row r="1138" spans="1:3" x14ac:dyDescent="0.3">
      <c r="A1138">
        <v>43969</v>
      </c>
      <c r="B1138" t="s">
        <v>440</v>
      </c>
      <c r="C1138" t="s">
        <v>4887</v>
      </c>
    </row>
    <row r="1139" spans="1:3" x14ac:dyDescent="0.3">
      <c r="A1139">
        <v>43971</v>
      </c>
      <c r="B1139" t="s">
        <v>440</v>
      </c>
      <c r="C1139" t="s">
        <v>4887</v>
      </c>
    </row>
    <row r="1140" spans="1:3" x14ac:dyDescent="0.3">
      <c r="A1140">
        <v>43972</v>
      </c>
      <c r="B1140" t="s">
        <v>440</v>
      </c>
      <c r="C1140" t="s">
        <v>4887</v>
      </c>
    </row>
    <row r="1141" spans="1:3" x14ac:dyDescent="0.3">
      <c r="A1141">
        <v>43975</v>
      </c>
      <c r="B1141" t="s">
        <v>440</v>
      </c>
      <c r="C1141" t="s">
        <v>4887</v>
      </c>
    </row>
    <row r="1142" spans="1:3" x14ac:dyDescent="0.3">
      <c r="A1142">
        <v>43981</v>
      </c>
      <c r="B1142" t="s">
        <v>440</v>
      </c>
      <c r="C1142" t="s">
        <v>4887</v>
      </c>
    </row>
    <row r="1143" spans="1:3" x14ac:dyDescent="0.3">
      <c r="A1143">
        <v>43982</v>
      </c>
      <c r="B1143" t="s">
        <v>440</v>
      </c>
      <c r="C1143" t="s">
        <v>4887</v>
      </c>
    </row>
    <row r="1144" spans="1:3" x14ac:dyDescent="0.3">
      <c r="A1144">
        <v>43983</v>
      </c>
      <c r="B1144" t="s">
        <v>440</v>
      </c>
      <c r="C1144" t="s">
        <v>4887</v>
      </c>
    </row>
    <row r="1145" spans="1:3" x14ac:dyDescent="0.3">
      <c r="A1145">
        <v>43984</v>
      </c>
      <c r="B1145" t="s">
        <v>440</v>
      </c>
      <c r="C1145" t="s">
        <v>4887</v>
      </c>
    </row>
    <row r="1146" spans="1:3" x14ac:dyDescent="0.3">
      <c r="A1146">
        <v>43985</v>
      </c>
      <c r="B1146" t="s">
        <v>440</v>
      </c>
      <c r="C1146" t="s">
        <v>4887</v>
      </c>
    </row>
    <row r="1147" spans="1:3" x14ac:dyDescent="0.3">
      <c r="A1147">
        <v>43986</v>
      </c>
      <c r="B1147" t="s">
        <v>440</v>
      </c>
      <c r="C1147" t="s">
        <v>4887</v>
      </c>
    </row>
    <row r="1148" spans="1:3" x14ac:dyDescent="0.3">
      <c r="A1148">
        <v>43987</v>
      </c>
      <c r="B1148" t="s">
        <v>440</v>
      </c>
      <c r="C1148" t="s">
        <v>4887</v>
      </c>
    </row>
    <row r="1149" spans="1:3" x14ac:dyDescent="0.3">
      <c r="A1149">
        <v>43988</v>
      </c>
      <c r="B1149" t="s">
        <v>440</v>
      </c>
      <c r="C1149" t="s">
        <v>4887</v>
      </c>
    </row>
    <row r="1150" spans="1:3" x14ac:dyDescent="0.3">
      <c r="A1150">
        <v>44001</v>
      </c>
      <c r="B1150" t="s">
        <v>440</v>
      </c>
      <c r="C1150" t="s">
        <v>4887</v>
      </c>
    </row>
    <row r="1151" spans="1:3" x14ac:dyDescent="0.3">
      <c r="A1151">
        <v>44101</v>
      </c>
      <c r="B1151" t="s">
        <v>4416</v>
      </c>
      <c r="C1151" t="s">
        <v>4883</v>
      </c>
    </row>
    <row r="1152" spans="1:3" x14ac:dyDescent="0.3">
      <c r="A1152">
        <v>46001</v>
      </c>
      <c r="B1152" t="s">
        <v>1220</v>
      </c>
      <c r="C1152" t="s">
        <v>4878</v>
      </c>
    </row>
    <row r="1153" spans="1:3" x14ac:dyDescent="0.3">
      <c r="A1153">
        <v>46005</v>
      </c>
      <c r="B1153" t="s">
        <v>1220</v>
      </c>
      <c r="C1153" t="s">
        <v>4878</v>
      </c>
    </row>
    <row r="1154" spans="1:3" x14ac:dyDescent="0.3">
      <c r="A1154">
        <v>46006</v>
      </c>
      <c r="B1154" t="s">
        <v>1220</v>
      </c>
      <c r="C1154" t="s">
        <v>4878</v>
      </c>
    </row>
    <row r="1155" spans="1:3" x14ac:dyDescent="0.3">
      <c r="A1155">
        <v>46007</v>
      </c>
      <c r="B1155" t="s">
        <v>1220</v>
      </c>
      <c r="C1155" t="s">
        <v>4878</v>
      </c>
    </row>
    <row r="1156" spans="1:3" x14ac:dyDescent="0.3">
      <c r="A1156">
        <v>46008</v>
      </c>
      <c r="B1156" t="s">
        <v>1220</v>
      </c>
      <c r="C1156" t="s">
        <v>4878</v>
      </c>
    </row>
    <row r="1157" spans="1:3" x14ac:dyDescent="0.3">
      <c r="A1157">
        <v>46010</v>
      </c>
      <c r="B1157" t="s">
        <v>1220</v>
      </c>
      <c r="C1157" t="s">
        <v>4878</v>
      </c>
    </row>
    <row r="1158" spans="1:3" x14ac:dyDescent="0.3">
      <c r="A1158">
        <v>46014</v>
      </c>
      <c r="B1158" t="s">
        <v>1220</v>
      </c>
      <c r="C1158" t="s">
        <v>4878</v>
      </c>
    </row>
    <row r="1159" spans="1:3" x14ac:dyDescent="0.3">
      <c r="A1159">
        <v>46015</v>
      </c>
      <c r="B1159" t="s">
        <v>1220</v>
      </c>
      <c r="C1159" t="s">
        <v>4878</v>
      </c>
    </row>
    <row r="1160" spans="1:3" x14ac:dyDescent="0.3">
      <c r="A1160">
        <v>46303</v>
      </c>
      <c r="B1160" t="s">
        <v>1220</v>
      </c>
      <c r="C1160" t="s">
        <v>4878</v>
      </c>
    </row>
    <row r="1161" spans="1:3" x14ac:dyDescent="0.3">
      <c r="A1161">
        <v>46311</v>
      </c>
      <c r="B1161" t="s">
        <v>1220</v>
      </c>
      <c r="C1161" t="s">
        <v>4878</v>
      </c>
    </row>
    <row r="1162" spans="1:3" x14ac:dyDescent="0.3">
      <c r="A1162">
        <v>46312</v>
      </c>
      <c r="B1162" t="s">
        <v>1220</v>
      </c>
      <c r="C1162" t="s">
        <v>4878</v>
      </c>
    </row>
    <row r="1163" spans="1:3" x14ac:dyDescent="0.3">
      <c r="A1163">
        <v>46331</v>
      </c>
      <c r="B1163" t="s">
        <v>1220</v>
      </c>
      <c r="C1163" t="s">
        <v>4878</v>
      </c>
    </row>
    <row r="1164" spans="1:3" x14ac:dyDescent="0.3">
      <c r="A1164">
        <v>46334</v>
      </c>
      <c r="B1164" t="s">
        <v>1220</v>
      </c>
      <c r="C1164" t="s">
        <v>4878</v>
      </c>
    </row>
    <row r="1165" spans="1:3" x14ac:dyDescent="0.3">
      <c r="A1165">
        <v>46342</v>
      </c>
      <c r="B1165" t="s">
        <v>743</v>
      </c>
      <c r="C1165" t="s">
        <v>4878</v>
      </c>
    </row>
    <row r="1166" spans="1:3" x14ac:dyDescent="0.3">
      <c r="A1166">
        <v>46343</v>
      </c>
      <c r="B1166" t="s">
        <v>1220</v>
      </c>
      <c r="C1166" t="s">
        <v>4878</v>
      </c>
    </row>
    <row r="1167" spans="1:3" x14ac:dyDescent="0.3">
      <c r="A1167">
        <v>46344</v>
      </c>
      <c r="B1167" t="s">
        <v>1220</v>
      </c>
      <c r="C1167" t="s">
        <v>4878</v>
      </c>
    </row>
    <row r="1168" spans="1:3" x14ac:dyDescent="0.3">
      <c r="A1168">
        <v>46345</v>
      </c>
      <c r="B1168" t="s">
        <v>1220</v>
      </c>
      <c r="C1168" t="s">
        <v>4878</v>
      </c>
    </row>
    <row r="1169" spans="1:3" x14ac:dyDescent="0.3">
      <c r="A1169">
        <v>46346</v>
      </c>
      <c r="B1169" t="s">
        <v>1220</v>
      </c>
      <c r="C1169" t="s">
        <v>4878</v>
      </c>
    </row>
    <row r="1170" spans="1:3" x14ac:dyDescent="0.3">
      <c r="A1170">
        <v>46348</v>
      </c>
      <c r="B1170" t="s">
        <v>1220</v>
      </c>
      <c r="C1170" t="s">
        <v>4878</v>
      </c>
    </row>
    <row r="1171" spans="1:3" x14ac:dyDescent="0.3">
      <c r="A1171">
        <v>46352</v>
      </c>
      <c r="B1171" t="s">
        <v>1220</v>
      </c>
      <c r="C1171" t="s">
        <v>4878</v>
      </c>
    </row>
    <row r="1172" spans="1:3" x14ac:dyDescent="0.3">
      <c r="A1172">
        <v>46353</v>
      </c>
      <c r="B1172" t="s">
        <v>1220</v>
      </c>
      <c r="C1172" t="s">
        <v>4878</v>
      </c>
    </row>
    <row r="1173" spans="1:3" x14ac:dyDescent="0.3">
      <c r="A1173">
        <v>46362</v>
      </c>
      <c r="B1173" t="s">
        <v>1220</v>
      </c>
      <c r="C1173" t="s">
        <v>4878</v>
      </c>
    </row>
    <row r="1174" spans="1:3" x14ac:dyDescent="0.3">
      <c r="A1174">
        <v>46365</v>
      </c>
      <c r="B1174" t="s">
        <v>1220</v>
      </c>
      <c r="C1174" t="s">
        <v>4878</v>
      </c>
    </row>
    <row r="1175" spans="1:3" x14ac:dyDescent="0.3">
      <c r="A1175">
        <v>46373</v>
      </c>
      <c r="B1175" t="s">
        <v>1220</v>
      </c>
      <c r="C1175" t="s">
        <v>4878</v>
      </c>
    </row>
    <row r="1176" spans="1:3" x14ac:dyDescent="0.3">
      <c r="A1176">
        <v>46401</v>
      </c>
      <c r="B1176" t="s">
        <v>1220</v>
      </c>
      <c r="C1176" t="s">
        <v>4878</v>
      </c>
    </row>
    <row r="1177" spans="1:3" x14ac:dyDescent="0.3">
      <c r="A1177">
        <v>46601</v>
      </c>
      <c r="B1177" t="s">
        <v>743</v>
      </c>
      <c r="C1177" t="s">
        <v>4878</v>
      </c>
    </row>
    <row r="1178" spans="1:3" x14ac:dyDescent="0.3">
      <c r="A1178">
        <v>46602</v>
      </c>
      <c r="B1178" t="s">
        <v>743</v>
      </c>
      <c r="C1178" t="s">
        <v>4878</v>
      </c>
    </row>
    <row r="1179" spans="1:3" x14ac:dyDescent="0.3">
      <c r="A1179">
        <v>46604</v>
      </c>
      <c r="B1179" t="s">
        <v>743</v>
      </c>
      <c r="C1179" t="s">
        <v>4878</v>
      </c>
    </row>
    <row r="1180" spans="1:3" x14ac:dyDescent="0.3">
      <c r="A1180">
        <v>46605</v>
      </c>
      <c r="B1180" t="s">
        <v>743</v>
      </c>
      <c r="C1180" t="s">
        <v>4878</v>
      </c>
    </row>
    <row r="1181" spans="1:3" x14ac:dyDescent="0.3">
      <c r="A1181">
        <v>46606</v>
      </c>
      <c r="B1181" t="s">
        <v>743</v>
      </c>
      <c r="C1181" t="s">
        <v>4878</v>
      </c>
    </row>
    <row r="1182" spans="1:3" x14ac:dyDescent="0.3">
      <c r="A1182">
        <v>46801</v>
      </c>
      <c r="B1182" t="s">
        <v>743</v>
      </c>
      <c r="C1182" t="s">
        <v>4878</v>
      </c>
    </row>
    <row r="1183" spans="1:3" x14ac:dyDescent="0.3">
      <c r="A1183">
        <v>46802</v>
      </c>
      <c r="B1183" t="s">
        <v>743</v>
      </c>
      <c r="C1183" t="s">
        <v>4878</v>
      </c>
    </row>
    <row r="1184" spans="1:3" x14ac:dyDescent="0.3">
      <c r="A1184">
        <v>46803</v>
      </c>
      <c r="B1184" t="s">
        <v>743</v>
      </c>
      <c r="C1184" t="s">
        <v>4878</v>
      </c>
    </row>
    <row r="1185" spans="1:3" x14ac:dyDescent="0.3">
      <c r="A1185">
        <v>46804</v>
      </c>
      <c r="B1185" t="s">
        <v>743</v>
      </c>
      <c r="C1185" t="s">
        <v>4878</v>
      </c>
    </row>
    <row r="1186" spans="1:3" x14ac:dyDescent="0.3">
      <c r="A1186">
        <v>46811</v>
      </c>
      <c r="B1186" t="s">
        <v>743</v>
      </c>
      <c r="C1186" t="s">
        <v>4878</v>
      </c>
    </row>
    <row r="1187" spans="1:3" x14ac:dyDescent="0.3">
      <c r="A1187">
        <v>46812</v>
      </c>
      <c r="B1187" t="s">
        <v>743</v>
      </c>
      <c r="C1187" t="s">
        <v>4878</v>
      </c>
    </row>
    <row r="1188" spans="1:3" x14ac:dyDescent="0.3">
      <c r="A1188">
        <v>46821</v>
      </c>
      <c r="B1188" t="s">
        <v>743</v>
      </c>
      <c r="C1188" t="s">
        <v>4878</v>
      </c>
    </row>
    <row r="1189" spans="1:3" x14ac:dyDescent="0.3">
      <c r="A1189">
        <v>46822</v>
      </c>
      <c r="B1189" t="s">
        <v>743</v>
      </c>
      <c r="C1189" t="s">
        <v>4878</v>
      </c>
    </row>
    <row r="1190" spans="1:3" x14ac:dyDescent="0.3">
      <c r="A1190">
        <v>46824</v>
      </c>
      <c r="B1190" t="s">
        <v>743</v>
      </c>
      <c r="C1190" t="s">
        <v>4878</v>
      </c>
    </row>
    <row r="1191" spans="1:3" x14ac:dyDescent="0.3">
      <c r="A1191">
        <v>46825</v>
      </c>
      <c r="B1191" t="s">
        <v>743</v>
      </c>
      <c r="C1191" t="s">
        <v>4878</v>
      </c>
    </row>
    <row r="1192" spans="1:3" x14ac:dyDescent="0.3">
      <c r="A1192">
        <v>46826</v>
      </c>
      <c r="B1192" t="s">
        <v>743</v>
      </c>
      <c r="C1192" t="s">
        <v>4878</v>
      </c>
    </row>
    <row r="1193" spans="1:3" x14ac:dyDescent="0.3">
      <c r="A1193">
        <v>46827</v>
      </c>
      <c r="B1193" t="s">
        <v>743</v>
      </c>
      <c r="C1193" t="s">
        <v>4878</v>
      </c>
    </row>
    <row r="1194" spans="1:3" x14ac:dyDescent="0.3">
      <c r="A1194">
        <v>46833</v>
      </c>
      <c r="B1194" t="s">
        <v>743</v>
      </c>
      <c r="C1194" t="s">
        <v>4878</v>
      </c>
    </row>
    <row r="1195" spans="1:3" x14ac:dyDescent="0.3">
      <c r="A1195">
        <v>46841</v>
      </c>
      <c r="B1195" t="s">
        <v>743</v>
      </c>
      <c r="C1195" t="s">
        <v>4878</v>
      </c>
    </row>
    <row r="1196" spans="1:3" x14ac:dyDescent="0.3">
      <c r="A1196">
        <v>46843</v>
      </c>
      <c r="B1196" t="s">
        <v>743</v>
      </c>
      <c r="C1196" t="s">
        <v>4878</v>
      </c>
    </row>
    <row r="1197" spans="1:3" x14ac:dyDescent="0.3">
      <c r="A1197">
        <v>46844</v>
      </c>
      <c r="B1197" t="s">
        <v>743</v>
      </c>
      <c r="C1197" t="s">
        <v>4878</v>
      </c>
    </row>
    <row r="1198" spans="1:3" x14ac:dyDescent="0.3">
      <c r="A1198">
        <v>46845</v>
      </c>
      <c r="B1198" t="s">
        <v>743</v>
      </c>
      <c r="C1198" t="s">
        <v>4878</v>
      </c>
    </row>
    <row r="1199" spans="1:3" x14ac:dyDescent="0.3">
      <c r="A1199">
        <v>46846</v>
      </c>
      <c r="B1199" t="s">
        <v>743</v>
      </c>
      <c r="C1199" t="s">
        <v>4878</v>
      </c>
    </row>
    <row r="1200" spans="1:3" x14ac:dyDescent="0.3">
      <c r="A1200">
        <v>46847</v>
      </c>
      <c r="B1200" t="s">
        <v>743</v>
      </c>
      <c r="C1200" t="s">
        <v>4878</v>
      </c>
    </row>
    <row r="1201" spans="1:3" x14ac:dyDescent="0.3">
      <c r="A1201">
        <v>46848</v>
      </c>
      <c r="B1201" t="s">
        <v>743</v>
      </c>
      <c r="C1201" t="s">
        <v>4878</v>
      </c>
    </row>
    <row r="1202" spans="1:3" x14ac:dyDescent="0.3">
      <c r="A1202">
        <v>46849</v>
      </c>
      <c r="B1202" t="s">
        <v>743</v>
      </c>
      <c r="C1202" t="s">
        <v>4878</v>
      </c>
    </row>
    <row r="1203" spans="1:3" x14ac:dyDescent="0.3">
      <c r="A1203">
        <v>46850</v>
      </c>
      <c r="B1203" t="s">
        <v>743</v>
      </c>
      <c r="C1203" t="s">
        <v>4878</v>
      </c>
    </row>
    <row r="1204" spans="1:3" x14ac:dyDescent="0.3">
      <c r="A1204">
        <v>46851</v>
      </c>
      <c r="B1204" t="s">
        <v>743</v>
      </c>
      <c r="C1204" t="s">
        <v>4878</v>
      </c>
    </row>
    <row r="1205" spans="1:3" x14ac:dyDescent="0.3">
      <c r="A1205">
        <v>46861</v>
      </c>
      <c r="B1205" t="s">
        <v>743</v>
      </c>
      <c r="C1205" t="s">
        <v>4878</v>
      </c>
    </row>
    <row r="1206" spans="1:3" x14ac:dyDescent="0.3">
      <c r="A1206">
        <v>46871</v>
      </c>
      <c r="B1206" t="s">
        <v>743</v>
      </c>
      <c r="C1206" t="s">
        <v>4878</v>
      </c>
    </row>
    <row r="1207" spans="1:3" x14ac:dyDescent="0.3">
      <c r="A1207">
        <v>47001</v>
      </c>
      <c r="B1207" t="s">
        <v>3909</v>
      </c>
      <c r="C1207" t="s">
        <v>4878</v>
      </c>
    </row>
    <row r="1208" spans="1:3" x14ac:dyDescent="0.3">
      <c r="A1208">
        <v>47002</v>
      </c>
      <c r="B1208" t="s">
        <v>3909</v>
      </c>
      <c r="C1208" t="s">
        <v>4878</v>
      </c>
    </row>
    <row r="1209" spans="1:3" x14ac:dyDescent="0.3">
      <c r="A1209">
        <v>47006</v>
      </c>
      <c r="B1209" t="s">
        <v>3909</v>
      </c>
      <c r="C1209" t="s">
        <v>4878</v>
      </c>
    </row>
    <row r="1210" spans="1:3" x14ac:dyDescent="0.3">
      <c r="A1210">
        <v>47101</v>
      </c>
      <c r="B1210" t="s">
        <v>3909</v>
      </c>
      <c r="C1210" t="s">
        <v>4878</v>
      </c>
    </row>
    <row r="1211" spans="1:3" x14ac:dyDescent="0.3">
      <c r="A1211">
        <v>47102</v>
      </c>
      <c r="B1211" t="s">
        <v>3909</v>
      </c>
      <c r="C1211" t="s">
        <v>4878</v>
      </c>
    </row>
    <row r="1212" spans="1:3" x14ac:dyDescent="0.3">
      <c r="A1212">
        <v>47103</v>
      </c>
      <c r="B1212" t="s">
        <v>3909</v>
      </c>
      <c r="C1212" t="s">
        <v>4878</v>
      </c>
    </row>
    <row r="1213" spans="1:3" x14ac:dyDescent="0.3">
      <c r="A1213">
        <v>47104</v>
      </c>
      <c r="B1213" t="s">
        <v>3909</v>
      </c>
      <c r="C1213" t="s">
        <v>4878</v>
      </c>
    </row>
    <row r="1214" spans="1:3" x14ac:dyDescent="0.3">
      <c r="A1214">
        <v>47105</v>
      </c>
      <c r="B1214" t="s">
        <v>3909</v>
      </c>
      <c r="C1214" t="s">
        <v>4878</v>
      </c>
    </row>
    <row r="1215" spans="1:3" x14ac:dyDescent="0.3">
      <c r="A1215">
        <v>47106</v>
      </c>
      <c r="B1215" t="s">
        <v>3909</v>
      </c>
      <c r="C1215" t="s">
        <v>4878</v>
      </c>
    </row>
    <row r="1216" spans="1:3" x14ac:dyDescent="0.3">
      <c r="A1216">
        <v>47107</v>
      </c>
      <c r="B1216" t="s">
        <v>3909</v>
      </c>
      <c r="C1216" t="s">
        <v>4878</v>
      </c>
    </row>
    <row r="1217" spans="1:3" x14ac:dyDescent="0.3">
      <c r="A1217">
        <v>47108</v>
      </c>
      <c r="B1217" t="s">
        <v>3909</v>
      </c>
      <c r="C1217" t="s">
        <v>4878</v>
      </c>
    </row>
    <row r="1218" spans="1:3" x14ac:dyDescent="0.3">
      <c r="A1218">
        <v>47111</v>
      </c>
      <c r="B1218" t="s">
        <v>3909</v>
      </c>
      <c r="C1218" t="s">
        <v>4878</v>
      </c>
    </row>
    <row r="1219" spans="1:3" x14ac:dyDescent="0.3">
      <c r="A1219">
        <v>47112</v>
      </c>
      <c r="B1219" t="s">
        <v>3909</v>
      </c>
      <c r="C1219" t="s">
        <v>4878</v>
      </c>
    </row>
    <row r="1220" spans="1:3" x14ac:dyDescent="0.3">
      <c r="A1220">
        <v>47113</v>
      </c>
      <c r="B1220" t="s">
        <v>3909</v>
      </c>
      <c r="C1220" t="s">
        <v>4878</v>
      </c>
    </row>
    <row r="1221" spans="1:3" x14ac:dyDescent="0.3">
      <c r="A1221">
        <v>47114</v>
      </c>
      <c r="B1221" t="s">
        <v>3909</v>
      </c>
      <c r="C1221" t="s">
        <v>4878</v>
      </c>
    </row>
    <row r="1222" spans="1:3" x14ac:dyDescent="0.3">
      <c r="A1222">
        <v>47115</v>
      </c>
      <c r="B1222" t="s">
        <v>3909</v>
      </c>
      <c r="C1222" t="s">
        <v>4878</v>
      </c>
    </row>
    <row r="1223" spans="1:3" x14ac:dyDescent="0.3">
      <c r="A1223">
        <v>47116</v>
      </c>
      <c r="B1223" t="s">
        <v>3909</v>
      </c>
      <c r="C1223" t="s">
        <v>4878</v>
      </c>
    </row>
    <row r="1224" spans="1:3" x14ac:dyDescent="0.3">
      <c r="A1224">
        <v>47117</v>
      </c>
      <c r="B1224" t="s">
        <v>3909</v>
      </c>
      <c r="C1224" t="s">
        <v>4878</v>
      </c>
    </row>
    <row r="1225" spans="1:3" x14ac:dyDescent="0.3">
      <c r="A1225">
        <v>47118</v>
      </c>
      <c r="B1225" t="s">
        <v>3909</v>
      </c>
      <c r="C1225" t="s">
        <v>4878</v>
      </c>
    </row>
    <row r="1226" spans="1:3" x14ac:dyDescent="0.3">
      <c r="A1226">
        <v>47121</v>
      </c>
      <c r="B1226" t="s">
        <v>3909</v>
      </c>
      <c r="C1226" t="s">
        <v>4878</v>
      </c>
    </row>
    <row r="1227" spans="1:3" x14ac:dyDescent="0.3">
      <c r="A1227">
        <v>47123</v>
      </c>
      <c r="B1227" t="s">
        <v>3909</v>
      </c>
      <c r="C1227" t="s">
        <v>4878</v>
      </c>
    </row>
    <row r="1228" spans="1:3" x14ac:dyDescent="0.3">
      <c r="A1228">
        <v>47124</v>
      </c>
      <c r="B1228" t="s">
        <v>3909</v>
      </c>
      <c r="C1228" t="s">
        <v>4878</v>
      </c>
    </row>
    <row r="1229" spans="1:3" x14ac:dyDescent="0.3">
      <c r="A1229">
        <v>47125</v>
      </c>
      <c r="B1229" t="s">
        <v>1220</v>
      </c>
      <c r="C1229" t="s">
        <v>4878</v>
      </c>
    </row>
    <row r="1230" spans="1:3" x14ac:dyDescent="0.3">
      <c r="A1230">
        <v>47126</v>
      </c>
      <c r="B1230" t="s">
        <v>3909</v>
      </c>
      <c r="C1230" t="s">
        <v>4878</v>
      </c>
    </row>
    <row r="1231" spans="1:3" x14ac:dyDescent="0.3">
      <c r="A1231">
        <v>47127</v>
      </c>
      <c r="B1231" t="s">
        <v>3909</v>
      </c>
      <c r="C1231" t="s">
        <v>4878</v>
      </c>
    </row>
    <row r="1232" spans="1:3" x14ac:dyDescent="0.3">
      <c r="A1232">
        <v>47128</v>
      </c>
      <c r="B1232" t="s">
        <v>3909</v>
      </c>
      <c r="C1232" t="s">
        <v>4878</v>
      </c>
    </row>
    <row r="1233" spans="1:3" x14ac:dyDescent="0.3">
      <c r="A1233">
        <v>47129</v>
      </c>
      <c r="B1233" t="s">
        <v>3909</v>
      </c>
      <c r="C1233" t="s">
        <v>4878</v>
      </c>
    </row>
    <row r="1234" spans="1:3" x14ac:dyDescent="0.3">
      <c r="A1234">
        <v>47141</v>
      </c>
      <c r="B1234" t="s">
        <v>3909</v>
      </c>
      <c r="C1234" t="s">
        <v>4878</v>
      </c>
    </row>
    <row r="1235" spans="1:3" x14ac:dyDescent="0.3">
      <c r="A1235">
        <v>47151</v>
      </c>
      <c r="B1235" t="s">
        <v>3909</v>
      </c>
      <c r="C1235" t="s">
        <v>4878</v>
      </c>
    </row>
    <row r="1236" spans="1:3" x14ac:dyDescent="0.3">
      <c r="A1236">
        <v>47152</v>
      </c>
      <c r="B1236" t="s">
        <v>3909</v>
      </c>
      <c r="C1236" t="s">
        <v>4878</v>
      </c>
    </row>
    <row r="1237" spans="1:3" x14ac:dyDescent="0.3">
      <c r="A1237">
        <v>47153</v>
      </c>
      <c r="B1237" t="s">
        <v>3909</v>
      </c>
      <c r="C1237" t="s">
        <v>4878</v>
      </c>
    </row>
    <row r="1238" spans="1:3" x14ac:dyDescent="0.3">
      <c r="A1238">
        <v>47154</v>
      </c>
      <c r="B1238" t="s">
        <v>3909</v>
      </c>
      <c r="C1238" t="s">
        <v>4878</v>
      </c>
    </row>
    <row r="1239" spans="1:3" x14ac:dyDescent="0.3">
      <c r="A1239">
        <v>47155</v>
      </c>
      <c r="B1239" t="s">
        <v>3909</v>
      </c>
      <c r="C1239" t="s">
        <v>4878</v>
      </c>
    </row>
    <row r="1240" spans="1:3" x14ac:dyDescent="0.3">
      <c r="A1240">
        <v>47156</v>
      </c>
      <c r="B1240" t="s">
        <v>3909</v>
      </c>
      <c r="C1240" t="s">
        <v>4878</v>
      </c>
    </row>
    <row r="1241" spans="1:3" x14ac:dyDescent="0.3">
      <c r="A1241">
        <v>47157</v>
      </c>
      <c r="B1241" t="s">
        <v>3909</v>
      </c>
      <c r="C1241" t="s">
        <v>4878</v>
      </c>
    </row>
    <row r="1242" spans="1:3" x14ac:dyDescent="0.3">
      <c r="A1242">
        <v>47158</v>
      </c>
      <c r="B1242" t="s">
        <v>3909</v>
      </c>
      <c r="C1242" t="s">
        <v>4878</v>
      </c>
    </row>
    <row r="1243" spans="1:3" x14ac:dyDescent="0.3">
      <c r="A1243">
        <v>47161</v>
      </c>
      <c r="B1243" t="s">
        <v>3909</v>
      </c>
      <c r="C1243" t="s">
        <v>4878</v>
      </c>
    </row>
    <row r="1244" spans="1:3" x14ac:dyDescent="0.3">
      <c r="A1244">
        <v>47162</v>
      </c>
      <c r="B1244" t="s">
        <v>3909</v>
      </c>
      <c r="C1244" t="s">
        <v>4878</v>
      </c>
    </row>
    <row r="1245" spans="1:3" x14ac:dyDescent="0.3">
      <c r="A1245">
        <v>47163</v>
      </c>
      <c r="B1245" t="s">
        <v>3909</v>
      </c>
      <c r="C1245" t="s">
        <v>4878</v>
      </c>
    </row>
    <row r="1246" spans="1:3" x14ac:dyDescent="0.3">
      <c r="A1246">
        <v>47167</v>
      </c>
      <c r="B1246" t="s">
        <v>3909</v>
      </c>
      <c r="C1246" t="s">
        <v>4878</v>
      </c>
    </row>
    <row r="1247" spans="1:3" x14ac:dyDescent="0.3">
      <c r="A1247">
        <v>47201</v>
      </c>
      <c r="B1247" t="s">
        <v>3909</v>
      </c>
      <c r="C1247" t="s">
        <v>4878</v>
      </c>
    </row>
    <row r="1248" spans="1:3" x14ac:dyDescent="0.3">
      <c r="A1248">
        <v>47301</v>
      </c>
      <c r="B1248" t="s">
        <v>3909</v>
      </c>
      <c r="C1248" t="s">
        <v>4878</v>
      </c>
    </row>
    <row r="1249" spans="1:3" x14ac:dyDescent="0.3">
      <c r="A1249">
        <v>50002</v>
      </c>
      <c r="B1249" t="s">
        <v>4402</v>
      </c>
      <c r="C1249" t="s">
        <v>4877</v>
      </c>
    </row>
    <row r="1250" spans="1:3" x14ac:dyDescent="0.3">
      <c r="A1250">
        <v>50003</v>
      </c>
      <c r="B1250" t="s">
        <v>4402</v>
      </c>
      <c r="C1250" t="s">
        <v>4877</v>
      </c>
    </row>
    <row r="1251" spans="1:3" x14ac:dyDescent="0.3">
      <c r="A1251">
        <v>50004</v>
      </c>
      <c r="B1251" t="s">
        <v>4402</v>
      </c>
      <c r="C1251" t="s">
        <v>4877</v>
      </c>
    </row>
    <row r="1252" spans="1:3" x14ac:dyDescent="0.3">
      <c r="A1252">
        <v>50006</v>
      </c>
      <c r="B1252" t="s">
        <v>4402</v>
      </c>
      <c r="C1252" t="s">
        <v>4877</v>
      </c>
    </row>
    <row r="1253" spans="1:3" x14ac:dyDescent="0.3">
      <c r="A1253">
        <v>50008</v>
      </c>
      <c r="B1253" t="s">
        <v>4402</v>
      </c>
      <c r="C1253" t="s">
        <v>4877</v>
      </c>
    </row>
    <row r="1254" spans="1:3" x14ac:dyDescent="0.3">
      <c r="A1254">
        <v>50009</v>
      </c>
      <c r="B1254" t="s">
        <v>4402</v>
      </c>
      <c r="C1254" t="s">
        <v>4877</v>
      </c>
    </row>
    <row r="1255" spans="1:3" x14ac:dyDescent="0.3">
      <c r="A1255">
        <v>50011</v>
      </c>
      <c r="B1255" t="s">
        <v>4402</v>
      </c>
      <c r="C1255" t="s">
        <v>4877</v>
      </c>
    </row>
    <row r="1256" spans="1:3" x14ac:dyDescent="0.3">
      <c r="A1256">
        <v>50012</v>
      </c>
      <c r="B1256" t="s">
        <v>4402</v>
      </c>
      <c r="C1256" t="s">
        <v>4877</v>
      </c>
    </row>
    <row r="1257" spans="1:3" x14ac:dyDescent="0.3">
      <c r="A1257">
        <v>50301</v>
      </c>
      <c r="B1257" t="s">
        <v>4402</v>
      </c>
      <c r="C1257" t="s">
        <v>4877</v>
      </c>
    </row>
    <row r="1258" spans="1:3" x14ac:dyDescent="0.3">
      <c r="A1258">
        <v>50302</v>
      </c>
      <c r="B1258" t="s">
        <v>4402</v>
      </c>
      <c r="C1258" t="s">
        <v>4877</v>
      </c>
    </row>
    <row r="1259" spans="1:3" x14ac:dyDescent="0.3">
      <c r="A1259">
        <v>50303</v>
      </c>
      <c r="B1259" t="s">
        <v>4402</v>
      </c>
      <c r="C1259" t="s">
        <v>4877</v>
      </c>
    </row>
    <row r="1260" spans="1:3" x14ac:dyDescent="0.3">
      <c r="A1260">
        <v>50304</v>
      </c>
      <c r="B1260" t="s">
        <v>4402</v>
      </c>
      <c r="C1260" t="s">
        <v>4877</v>
      </c>
    </row>
    <row r="1261" spans="1:3" x14ac:dyDescent="0.3">
      <c r="A1261">
        <v>50305</v>
      </c>
      <c r="B1261" t="s">
        <v>4402</v>
      </c>
      <c r="C1261" t="s">
        <v>4877</v>
      </c>
    </row>
    <row r="1262" spans="1:3" x14ac:dyDescent="0.3">
      <c r="A1262">
        <v>50306</v>
      </c>
      <c r="B1262" t="s">
        <v>4402</v>
      </c>
      <c r="C1262" t="s">
        <v>4877</v>
      </c>
    </row>
    <row r="1263" spans="1:3" x14ac:dyDescent="0.3">
      <c r="A1263">
        <v>50311</v>
      </c>
      <c r="B1263" t="s">
        <v>4402</v>
      </c>
      <c r="C1263" t="s">
        <v>4877</v>
      </c>
    </row>
    <row r="1264" spans="1:3" x14ac:dyDescent="0.3">
      <c r="A1264">
        <v>50312</v>
      </c>
      <c r="B1264" t="s">
        <v>4402</v>
      </c>
      <c r="C1264" t="s">
        <v>4877</v>
      </c>
    </row>
    <row r="1265" spans="1:3" x14ac:dyDescent="0.3">
      <c r="A1265">
        <v>50313</v>
      </c>
      <c r="B1265" t="s">
        <v>4402</v>
      </c>
      <c r="C1265" t="s">
        <v>4877</v>
      </c>
    </row>
    <row r="1266" spans="1:3" x14ac:dyDescent="0.3">
      <c r="A1266">
        <v>50314</v>
      </c>
      <c r="B1266" t="s">
        <v>4402</v>
      </c>
      <c r="C1266" t="s">
        <v>4877</v>
      </c>
    </row>
    <row r="1267" spans="1:3" x14ac:dyDescent="0.3">
      <c r="A1267">
        <v>50315</v>
      </c>
      <c r="B1267" t="s">
        <v>4402</v>
      </c>
      <c r="C1267" t="s">
        <v>4877</v>
      </c>
    </row>
    <row r="1268" spans="1:3" x14ac:dyDescent="0.3">
      <c r="A1268">
        <v>50316</v>
      </c>
      <c r="B1268" t="s">
        <v>4402</v>
      </c>
      <c r="C1268" t="s">
        <v>4877</v>
      </c>
    </row>
    <row r="1269" spans="1:3" x14ac:dyDescent="0.3">
      <c r="A1269">
        <v>50321</v>
      </c>
      <c r="B1269" t="s">
        <v>4402</v>
      </c>
      <c r="C1269" t="s">
        <v>4877</v>
      </c>
    </row>
    <row r="1270" spans="1:3" x14ac:dyDescent="0.3">
      <c r="A1270">
        <v>50322</v>
      </c>
      <c r="B1270" t="s">
        <v>4402</v>
      </c>
      <c r="C1270" t="s">
        <v>4877</v>
      </c>
    </row>
    <row r="1271" spans="1:3" x14ac:dyDescent="0.3">
      <c r="A1271">
        <v>50323</v>
      </c>
      <c r="B1271" t="s">
        <v>4402</v>
      </c>
      <c r="C1271" t="s">
        <v>4877</v>
      </c>
    </row>
    <row r="1272" spans="1:3" x14ac:dyDescent="0.3">
      <c r="A1272">
        <v>50324</v>
      </c>
      <c r="B1272" t="s">
        <v>4402</v>
      </c>
      <c r="C1272" t="s">
        <v>4877</v>
      </c>
    </row>
    <row r="1273" spans="1:3" x14ac:dyDescent="0.3">
      <c r="A1273">
        <v>50325</v>
      </c>
      <c r="B1273" t="s">
        <v>4402</v>
      </c>
      <c r="C1273" t="s">
        <v>4877</v>
      </c>
    </row>
    <row r="1274" spans="1:3" x14ac:dyDescent="0.3">
      <c r="A1274">
        <v>50326</v>
      </c>
      <c r="B1274" t="s">
        <v>4402</v>
      </c>
      <c r="C1274" t="s">
        <v>4877</v>
      </c>
    </row>
    <row r="1275" spans="1:3" x14ac:dyDescent="0.3">
      <c r="A1275">
        <v>50327</v>
      </c>
      <c r="B1275" t="s">
        <v>4402</v>
      </c>
      <c r="C1275" t="s">
        <v>4877</v>
      </c>
    </row>
    <row r="1276" spans="1:3" x14ac:dyDescent="0.3">
      <c r="A1276">
        <v>50331</v>
      </c>
      <c r="B1276" t="s">
        <v>4402</v>
      </c>
      <c r="C1276" t="s">
        <v>4877</v>
      </c>
    </row>
    <row r="1277" spans="1:3" x14ac:dyDescent="0.3">
      <c r="A1277">
        <v>50332</v>
      </c>
      <c r="B1277" t="s">
        <v>4402</v>
      </c>
      <c r="C1277" t="s">
        <v>4877</v>
      </c>
    </row>
    <row r="1278" spans="1:3" x14ac:dyDescent="0.3">
      <c r="A1278">
        <v>50333</v>
      </c>
      <c r="B1278" t="s">
        <v>4402</v>
      </c>
      <c r="C1278" t="s">
        <v>4877</v>
      </c>
    </row>
    <row r="1279" spans="1:3" x14ac:dyDescent="0.3">
      <c r="A1279">
        <v>50341</v>
      </c>
      <c r="B1279" t="s">
        <v>4402</v>
      </c>
      <c r="C1279" t="s">
        <v>4877</v>
      </c>
    </row>
    <row r="1280" spans="1:3" x14ac:dyDescent="0.3">
      <c r="A1280">
        <v>50343</v>
      </c>
      <c r="B1280" t="s">
        <v>4402</v>
      </c>
      <c r="C1280" t="s">
        <v>4877</v>
      </c>
    </row>
    <row r="1281" spans="1:3" x14ac:dyDescent="0.3">
      <c r="A1281">
        <v>50344</v>
      </c>
      <c r="B1281" t="s">
        <v>4402</v>
      </c>
      <c r="C1281" t="s">
        <v>4877</v>
      </c>
    </row>
    <row r="1282" spans="1:3" x14ac:dyDescent="0.3">
      <c r="A1282">
        <v>50346</v>
      </c>
      <c r="B1282" t="s">
        <v>4402</v>
      </c>
      <c r="C1282" t="s">
        <v>4877</v>
      </c>
    </row>
    <row r="1283" spans="1:3" x14ac:dyDescent="0.3">
      <c r="A1283">
        <v>50351</v>
      </c>
      <c r="B1283" t="s">
        <v>4402</v>
      </c>
      <c r="C1283" t="s">
        <v>4877</v>
      </c>
    </row>
    <row r="1284" spans="1:3" x14ac:dyDescent="0.3">
      <c r="A1284">
        <v>50352</v>
      </c>
      <c r="B1284" t="s">
        <v>4402</v>
      </c>
      <c r="C1284" t="s">
        <v>4877</v>
      </c>
    </row>
    <row r="1285" spans="1:3" x14ac:dyDescent="0.3">
      <c r="A1285">
        <v>50353</v>
      </c>
      <c r="B1285" t="s">
        <v>4402</v>
      </c>
      <c r="C1285" t="s">
        <v>4877</v>
      </c>
    </row>
    <row r="1286" spans="1:3" x14ac:dyDescent="0.3">
      <c r="A1286">
        <v>50354</v>
      </c>
      <c r="B1286" t="s">
        <v>4402</v>
      </c>
      <c r="C1286" t="s">
        <v>4877</v>
      </c>
    </row>
    <row r="1287" spans="1:3" x14ac:dyDescent="0.3">
      <c r="A1287">
        <v>50355</v>
      </c>
      <c r="B1287" t="s">
        <v>4402</v>
      </c>
      <c r="C1287" t="s">
        <v>4877</v>
      </c>
    </row>
    <row r="1288" spans="1:3" x14ac:dyDescent="0.3">
      <c r="A1288">
        <v>50356</v>
      </c>
      <c r="B1288" t="s">
        <v>4402</v>
      </c>
      <c r="C1288" t="s">
        <v>4877</v>
      </c>
    </row>
    <row r="1289" spans="1:3" x14ac:dyDescent="0.3">
      <c r="A1289">
        <v>50357</v>
      </c>
      <c r="B1289" t="s">
        <v>4402</v>
      </c>
      <c r="C1289" t="s">
        <v>4877</v>
      </c>
    </row>
    <row r="1290" spans="1:3" x14ac:dyDescent="0.3">
      <c r="A1290">
        <v>50361</v>
      </c>
      <c r="B1290" t="s">
        <v>4402</v>
      </c>
      <c r="C1290" t="s">
        <v>4877</v>
      </c>
    </row>
    <row r="1291" spans="1:3" x14ac:dyDescent="0.3">
      <c r="A1291">
        <v>50362</v>
      </c>
      <c r="B1291" t="s">
        <v>4402</v>
      </c>
      <c r="C1291" t="s">
        <v>4877</v>
      </c>
    </row>
    <row r="1292" spans="1:3" x14ac:dyDescent="0.3">
      <c r="A1292">
        <v>50363</v>
      </c>
      <c r="B1292" t="s">
        <v>4402</v>
      </c>
      <c r="C1292" t="s">
        <v>4877</v>
      </c>
    </row>
    <row r="1293" spans="1:3" x14ac:dyDescent="0.3">
      <c r="A1293">
        <v>50364</v>
      </c>
      <c r="B1293" t="s">
        <v>4402</v>
      </c>
      <c r="C1293" t="s">
        <v>4877</v>
      </c>
    </row>
    <row r="1294" spans="1:3" x14ac:dyDescent="0.3">
      <c r="A1294">
        <v>50365</v>
      </c>
      <c r="B1294" t="s">
        <v>4402</v>
      </c>
      <c r="C1294" t="s">
        <v>4877</v>
      </c>
    </row>
    <row r="1295" spans="1:3" x14ac:dyDescent="0.3">
      <c r="A1295">
        <v>50366</v>
      </c>
      <c r="B1295" t="s">
        <v>4402</v>
      </c>
      <c r="C1295" t="s">
        <v>4877</v>
      </c>
    </row>
    <row r="1296" spans="1:3" x14ac:dyDescent="0.3">
      <c r="A1296">
        <v>50401</v>
      </c>
      <c r="B1296" t="s">
        <v>4402</v>
      </c>
      <c r="C1296" t="s">
        <v>4877</v>
      </c>
    </row>
    <row r="1297" spans="1:3" x14ac:dyDescent="0.3">
      <c r="A1297">
        <v>50601</v>
      </c>
      <c r="B1297" t="s">
        <v>4854</v>
      </c>
      <c r="C1297" t="s">
        <v>4877</v>
      </c>
    </row>
    <row r="1298" spans="1:3" x14ac:dyDescent="0.3">
      <c r="A1298">
        <v>50702</v>
      </c>
      <c r="B1298" t="s">
        <v>4854</v>
      </c>
      <c r="C1298" t="s">
        <v>4877</v>
      </c>
    </row>
    <row r="1299" spans="1:3" x14ac:dyDescent="0.3">
      <c r="A1299">
        <v>50703</v>
      </c>
      <c r="B1299" t="s">
        <v>4854</v>
      </c>
      <c r="C1299" t="s">
        <v>4877</v>
      </c>
    </row>
    <row r="1300" spans="1:3" x14ac:dyDescent="0.3">
      <c r="A1300">
        <v>50704</v>
      </c>
      <c r="B1300" t="s">
        <v>4854</v>
      </c>
      <c r="C1300" t="s">
        <v>4877</v>
      </c>
    </row>
    <row r="1301" spans="1:3" x14ac:dyDescent="0.3">
      <c r="A1301">
        <v>50705</v>
      </c>
      <c r="B1301" t="s">
        <v>4854</v>
      </c>
      <c r="C1301" t="s">
        <v>4877</v>
      </c>
    </row>
    <row r="1302" spans="1:3" x14ac:dyDescent="0.3">
      <c r="A1302">
        <v>50706</v>
      </c>
      <c r="B1302" t="s">
        <v>4854</v>
      </c>
      <c r="C1302" t="s">
        <v>4877</v>
      </c>
    </row>
    <row r="1303" spans="1:3" x14ac:dyDescent="0.3">
      <c r="A1303">
        <v>50707</v>
      </c>
      <c r="B1303" t="s">
        <v>4854</v>
      </c>
      <c r="C1303" t="s">
        <v>4877</v>
      </c>
    </row>
    <row r="1304" spans="1:3" x14ac:dyDescent="0.3">
      <c r="A1304">
        <v>50711</v>
      </c>
      <c r="B1304" t="s">
        <v>4854</v>
      </c>
      <c r="C1304" t="s">
        <v>4877</v>
      </c>
    </row>
    <row r="1305" spans="1:3" x14ac:dyDescent="0.3">
      <c r="A1305">
        <v>50712</v>
      </c>
      <c r="B1305" t="s">
        <v>4854</v>
      </c>
      <c r="C1305" t="s">
        <v>4877</v>
      </c>
    </row>
    <row r="1306" spans="1:3" x14ac:dyDescent="0.3">
      <c r="A1306">
        <v>50713</v>
      </c>
      <c r="B1306" t="s">
        <v>4854</v>
      </c>
      <c r="C1306" t="s">
        <v>4877</v>
      </c>
    </row>
    <row r="1307" spans="1:3" x14ac:dyDescent="0.3">
      <c r="A1307">
        <v>50715</v>
      </c>
      <c r="B1307" t="s">
        <v>4854</v>
      </c>
      <c r="C1307" t="s">
        <v>4877</v>
      </c>
    </row>
    <row r="1308" spans="1:3" x14ac:dyDescent="0.3">
      <c r="A1308">
        <v>50721</v>
      </c>
      <c r="B1308" t="s">
        <v>4854</v>
      </c>
      <c r="C1308" t="s">
        <v>4877</v>
      </c>
    </row>
    <row r="1309" spans="1:3" x14ac:dyDescent="0.3">
      <c r="A1309">
        <v>50722</v>
      </c>
      <c r="B1309" t="s">
        <v>4854</v>
      </c>
      <c r="C1309" t="s">
        <v>4877</v>
      </c>
    </row>
    <row r="1310" spans="1:3" x14ac:dyDescent="0.3">
      <c r="A1310">
        <v>50723</v>
      </c>
      <c r="B1310" t="s">
        <v>4854</v>
      </c>
      <c r="C1310" t="s">
        <v>4877</v>
      </c>
    </row>
    <row r="1311" spans="1:3" x14ac:dyDescent="0.3">
      <c r="A1311">
        <v>50724</v>
      </c>
      <c r="B1311" t="s">
        <v>4854</v>
      </c>
      <c r="C1311" t="s">
        <v>4877</v>
      </c>
    </row>
    <row r="1312" spans="1:3" x14ac:dyDescent="0.3">
      <c r="A1312">
        <v>50731</v>
      </c>
      <c r="B1312" t="s">
        <v>4854</v>
      </c>
      <c r="C1312" t="s">
        <v>4877</v>
      </c>
    </row>
    <row r="1313" spans="1:3" x14ac:dyDescent="0.3">
      <c r="A1313">
        <v>50732</v>
      </c>
      <c r="B1313" t="s">
        <v>4854</v>
      </c>
      <c r="C1313" t="s">
        <v>4877</v>
      </c>
    </row>
    <row r="1314" spans="1:3" x14ac:dyDescent="0.3">
      <c r="A1314">
        <v>50733</v>
      </c>
      <c r="B1314" t="s">
        <v>4854</v>
      </c>
      <c r="C1314" t="s">
        <v>4877</v>
      </c>
    </row>
    <row r="1315" spans="1:3" x14ac:dyDescent="0.3">
      <c r="A1315">
        <v>50734</v>
      </c>
      <c r="B1315" t="s">
        <v>4854</v>
      </c>
      <c r="C1315" t="s">
        <v>4877</v>
      </c>
    </row>
    <row r="1316" spans="1:3" x14ac:dyDescent="0.3">
      <c r="A1316">
        <v>50742</v>
      </c>
      <c r="B1316" t="s">
        <v>4854</v>
      </c>
      <c r="C1316" t="s">
        <v>4877</v>
      </c>
    </row>
    <row r="1317" spans="1:3" x14ac:dyDescent="0.3">
      <c r="A1317">
        <v>50743</v>
      </c>
      <c r="B1317" t="s">
        <v>4854</v>
      </c>
      <c r="C1317" t="s">
        <v>4877</v>
      </c>
    </row>
    <row r="1318" spans="1:3" x14ac:dyDescent="0.3">
      <c r="A1318">
        <v>50744</v>
      </c>
      <c r="B1318" t="s">
        <v>4854</v>
      </c>
      <c r="C1318" t="s">
        <v>4877</v>
      </c>
    </row>
    <row r="1319" spans="1:3" x14ac:dyDescent="0.3">
      <c r="A1319">
        <v>50745</v>
      </c>
      <c r="B1319" t="s">
        <v>4854</v>
      </c>
      <c r="C1319" t="s">
        <v>4877</v>
      </c>
    </row>
    <row r="1320" spans="1:3" x14ac:dyDescent="0.3">
      <c r="A1320">
        <v>50752</v>
      </c>
      <c r="B1320" t="s">
        <v>4854</v>
      </c>
      <c r="C1320" t="s">
        <v>4877</v>
      </c>
    </row>
    <row r="1321" spans="1:3" x14ac:dyDescent="0.3">
      <c r="A1321">
        <v>50753</v>
      </c>
      <c r="B1321" t="s">
        <v>4854</v>
      </c>
      <c r="C1321" t="s">
        <v>4877</v>
      </c>
    </row>
    <row r="1322" spans="1:3" x14ac:dyDescent="0.3">
      <c r="A1322">
        <v>50754</v>
      </c>
      <c r="B1322" t="s">
        <v>4854</v>
      </c>
      <c r="C1322" t="s">
        <v>4877</v>
      </c>
    </row>
    <row r="1323" spans="1:3" x14ac:dyDescent="0.3">
      <c r="A1323">
        <v>50758</v>
      </c>
      <c r="B1323" t="s">
        <v>4854</v>
      </c>
      <c r="C1323" t="s">
        <v>4877</v>
      </c>
    </row>
    <row r="1324" spans="1:3" x14ac:dyDescent="0.3">
      <c r="A1324">
        <v>50759</v>
      </c>
      <c r="B1324" t="s">
        <v>4854</v>
      </c>
      <c r="C1324" t="s">
        <v>4877</v>
      </c>
    </row>
    <row r="1325" spans="1:3" x14ac:dyDescent="0.3">
      <c r="A1325">
        <v>50771</v>
      </c>
      <c r="B1325" t="s">
        <v>4854</v>
      </c>
      <c r="C1325" t="s">
        <v>4877</v>
      </c>
    </row>
    <row r="1326" spans="1:3" x14ac:dyDescent="0.3">
      <c r="A1326">
        <v>50773</v>
      </c>
      <c r="B1326" t="s">
        <v>4854</v>
      </c>
      <c r="C1326" t="s">
        <v>4877</v>
      </c>
    </row>
    <row r="1327" spans="1:3" x14ac:dyDescent="0.3">
      <c r="A1327">
        <v>50777</v>
      </c>
      <c r="B1327" t="s">
        <v>4854</v>
      </c>
      <c r="C1327" t="s">
        <v>4877</v>
      </c>
    </row>
    <row r="1328" spans="1:3" x14ac:dyDescent="0.3">
      <c r="A1328">
        <v>50781</v>
      </c>
      <c r="B1328" t="s">
        <v>4854</v>
      </c>
      <c r="C1328" t="s">
        <v>4877</v>
      </c>
    </row>
    <row r="1329" spans="1:3" x14ac:dyDescent="0.3">
      <c r="A1329">
        <v>50782</v>
      </c>
      <c r="B1329" t="s">
        <v>4854</v>
      </c>
      <c r="C1329" t="s">
        <v>4877</v>
      </c>
    </row>
    <row r="1330" spans="1:3" x14ac:dyDescent="0.3">
      <c r="A1330">
        <v>50791</v>
      </c>
      <c r="B1330" t="s">
        <v>4854</v>
      </c>
      <c r="C1330" t="s">
        <v>4877</v>
      </c>
    </row>
    <row r="1331" spans="1:3" x14ac:dyDescent="0.3">
      <c r="A1331">
        <v>50792</v>
      </c>
      <c r="B1331" t="s">
        <v>4854</v>
      </c>
      <c r="C1331" t="s">
        <v>4877</v>
      </c>
    </row>
    <row r="1332" spans="1:3" x14ac:dyDescent="0.3">
      <c r="A1332">
        <v>50801</v>
      </c>
      <c r="B1332" t="s">
        <v>4854</v>
      </c>
      <c r="C1332" t="s">
        <v>4877</v>
      </c>
    </row>
    <row r="1333" spans="1:3" x14ac:dyDescent="0.3">
      <c r="A1333">
        <v>50901</v>
      </c>
      <c r="B1333" t="s">
        <v>4854</v>
      </c>
      <c r="C1333" t="s">
        <v>4877</v>
      </c>
    </row>
    <row r="1334" spans="1:3" x14ac:dyDescent="0.3">
      <c r="A1334">
        <v>51101</v>
      </c>
      <c r="B1334" t="s">
        <v>183</v>
      </c>
      <c r="C1334" t="s">
        <v>4878</v>
      </c>
    </row>
    <row r="1335" spans="1:3" x14ac:dyDescent="0.3">
      <c r="A1335">
        <v>51201</v>
      </c>
      <c r="B1335" t="s">
        <v>183</v>
      </c>
      <c r="C1335" t="s">
        <v>4878</v>
      </c>
    </row>
    <row r="1336" spans="1:3" x14ac:dyDescent="0.3">
      <c r="A1336">
        <v>51202</v>
      </c>
      <c r="B1336" t="s">
        <v>183</v>
      </c>
      <c r="C1336" t="s">
        <v>4878</v>
      </c>
    </row>
    <row r="1337" spans="1:3" x14ac:dyDescent="0.3">
      <c r="A1337">
        <v>51203</v>
      </c>
      <c r="B1337" t="s">
        <v>183</v>
      </c>
      <c r="C1337" t="s">
        <v>4878</v>
      </c>
    </row>
    <row r="1338" spans="1:3" x14ac:dyDescent="0.3">
      <c r="A1338">
        <v>51204</v>
      </c>
      <c r="B1338" t="s">
        <v>183</v>
      </c>
      <c r="C1338" t="s">
        <v>4878</v>
      </c>
    </row>
    <row r="1339" spans="1:3" x14ac:dyDescent="0.3">
      <c r="A1339">
        <v>51206</v>
      </c>
      <c r="B1339" t="s">
        <v>183</v>
      </c>
      <c r="C1339" t="s">
        <v>4878</v>
      </c>
    </row>
    <row r="1340" spans="1:3" x14ac:dyDescent="0.3">
      <c r="A1340">
        <v>51211</v>
      </c>
      <c r="B1340" t="s">
        <v>183</v>
      </c>
      <c r="C1340" t="s">
        <v>4878</v>
      </c>
    </row>
    <row r="1341" spans="1:3" x14ac:dyDescent="0.3">
      <c r="A1341">
        <v>51212</v>
      </c>
      <c r="B1341" t="s">
        <v>183</v>
      </c>
      <c r="C1341" t="s">
        <v>4878</v>
      </c>
    </row>
    <row r="1342" spans="1:3" x14ac:dyDescent="0.3">
      <c r="A1342">
        <v>51213</v>
      </c>
      <c r="B1342" t="s">
        <v>183</v>
      </c>
      <c r="C1342" t="s">
        <v>4878</v>
      </c>
    </row>
    <row r="1343" spans="1:3" x14ac:dyDescent="0.3">
      <c r="A1343">
        <v>51231</v>
      </c>
      <c r="B1343" t="s">
        <v>183</v>
      </c>
      <c r="C1343" t="s">
        <v>4878</v>
      </c>
    </row>
    <row r="1344" spans="1:3" x14ac:dyDescent="0.3">
      <c r="A1344">
        <v>51232</v>
      </c>
      <c r="B1344" t="s">
        <v>183</v>
      </c>
      <c r="C1344" t="s">
        <v>4878</v>
      </c>
    </row>
    <row r="1345" spans="1:3" x14ac:dyDescent="0.3">
      <c r="A1345">
        <v>51233</v>
      </c>
      <c r="B1345" t="s">
        <v>183</v>
      </c>
      <c r="C1345" t="s">
        <v>4878</v>
      </c>
    </row>
    <row r="1346" spans="1:3" x14ac:dyDescent="0.3">
      <c r="A1346">
        <v>51234</v>
      </c>
      <c r="B1346" t="s">
        <v>183</v>
      </c>
      <c r="C1346" t="s">
        <v>4878</v>
      </c>
    </row>
    <row r="1347" spans="1:3" x14ac:dyDescent="0.3">
      <c r="A1347">
        <v>51235</v>
      </c>
      <c r="B1347" t="s">
        <v>183</v>
      </c>
      <c r="C1347" t="s">
        <v>4878</v>
      </c>
    </row>
    <row r="1348" spans="1:3" x14ac:dyDescent="0.3">
      <c r="A1348">
        <v>51236</v>
      </c>
      <c r="B1348" t="s">
        <v>183</v>
      </c>
      <c r="C1348" t="s">
        <v>4878</v>
      </c>
    </row>
    <row r="1349" spans="1:3" x14ac:dyDescent="0.3">
      <c r="A1349">
        <v>51237</v>
      </c>
      <c r="B1349" t="s">
        <v>183</v>
      </c>
      <c r="C1349" t="s">
        <v>4878</v>
      </c>
    </row>
    <row r="1350" spans="1:3" x14ac:dyDescent="0.3">
      <c r="A1350">
        <v>51238</v>
      </c>
      <c r="B1350" t="s">
        <v>183</v>
      </c>
      <c r="C1350" t="s">
        <v>4878</v>
      </c>
    </row>
    <row r="1351" spans="1:3" x14ac:dyDescent="0.3">
      <c r="A1351">
        <v>51241</v>
      </c>
      <c r="B1351" t="s">
        <v>183</v>
      </c>
      <c r="C1351" t="s">
        <v>4878</v>
      </c>
    </row>
    <row r="1352" spans="1:3" x14ac:dyDescent="0.3">
      <c r="A1352">
        <v>51242</v>
      </c>
      <c r="B1352" t="s">
        <v>183</v>
      </c>
      <c r="C1352" t="s">
        <v>4878</v>
      </c>
    </row>
    <row r="1353" spans="1:3" x14ac:dyDescent="0.3">
      <c r="A1353">
        <v>51243</v>
      </c>
      <c r="B1353" t="s">
        <v>183</v>
      </c>
      <c r="C1353" t="s">
        <v>4878</v>
      </c>
    </row>
    <row r="1354" spans="1:3" x14ac:dyDescent="0.3">
      <c r="A1354">
        <v>51244</v>
      </c>
      <c r="B1354" t="s">
        <v>183</v>
      </c>
      <c r="C1354" t="s">
        <v>4878</v>
      </c>
    </row>
    <row r="1355" spans="1:3" x14ac:dyDescent="0.3">
      <c r="A1355">
        <v>51245</v>
      </c>
      <c r="B1355" t="s">
        <v>183</v>
      </c>
      <c r="C1355" t="s">
        <v>4878</v>
      </c>
    </row>
    <row r="1356" spans="1:3" x14ac:dyDescent="0.3">
      <c r="A1356">
        <v>51246</v>
      </c>
      <c r="B1356" t="s">
        <v>183</v>
      </c>
      <c r="C1356" t="s">
        <v>4878</v>
      </c>
    </row>
    <row r="1357" spans="1:3" x14ac:dyDescent="0.3">
      <c r="A1357">
        <v>51247</v>
      </c>
      <c r="B1357" t="s">
        <v>183</v>
      </c>
      <c r="C1357" t="s">
        <v>4878</v>
      </c>
    </row>
    <row r="1358" spans="1:3" x14ac:dyDescent="0.3">
      <c r="A1358">
        <v>51251</v>
      </c>
      <c r="B1358" t="s">
        <v>183</v>
      </c>
      <c r="C1358" t="s">
        <v>4878</v>
      </c>
    </row>
    <row r="1359" spans="1:3" x14ac:dyDescent="0.3">
      <c r="A1359">
        <v>51252</v>
      </c>
      <c r="B1359" t="s">
        <v>183</v>
      </c>
      <c r="C1359" t="s">
        <v>4878</v>
      </c>
    </row>
    <row r="1360" spans="1:3" x14ac:dyDescent="0.3">
      <c r="A1360">
        <v>51253</v>
      </c>
      <c r="B1360" t="s">
        <v>183</v>
      </c>
      <c r="C1360" t="s">
        <v>4878</v>
      </c>
    </row>
    <row r="1361" spans="1:3" x14ac:dyDescent="0.3">
      <c r="A1361">
        <v>51261</v>
      </c>
      <c r="B1361" t="s">
        <v>183</v>
      </c>
      <c r="C1361" t="s">
        <v>4878</v>
      </c>
    </row>
    <row r="1362" spans="1:3" x14ac:dyDescent="0.3">
      <c r="A1362">
        <v>51263</v>
      </c>
      <c r="B1362" t="s">
        <v>4854</v>
      </c>
      <c r="C1362" t="s">
        <v>4877</v>
      </c>
    </row>
    <row r="1363" spans="1:3" x14ac:dyDescent="0.3">
      <c r="A1363">
        <v>51264</v>
      </c>
      <c r="B1363" t="s">
        <v>183</v>
      </c>
      <c r="C1363" t="s">
        <v>4878</v>
      </c>
    </row>
    <row r="1364" spans="1:3" x14ac:dyDescent="0.3">
      <c r="A1364">
        <v>51265</v>
      </c>
      <c r="B1364" t="s">
        <v>183</v>
      </c>
      <c r="C1364" t="s">
        <v>4878</v>
      </c>
    </row>
    <row r="1365" spans="1:3" x14ac:dyDescent="0.3">
      <c r="A1365">
        <v>51271</v>
      </c>
      <c r="B1365" t="s">
        <v>183</v>
      </c>
      <c r="C1365" t="s">
        <v>4878</v>
      </c>
    </row>
    <row r="1366" spans="1:3" x14ac:dyDescent="0.3">
      <c r="A1366">
        <v>51301</v>
      </c>
      <c r="B1366" t="s">
        <v>183</v>
      </c>
      <c r="C1366" t="s">
        <v>4878</v>
      </c>
    </row>
    <row r="1367" spans="1:3" x14ac:dyDescent="0.3">
      <c r="A1367">
        <v>51401</v>
      </c>
      <c r="B1367" t="s">
        <v>183</v>
      </c>
      <c r="C1367" t="s">
        <v>4878</v>
      </c>
    </row>
    <row r="1368" spans="1:3" x14ac:dyDescent="0.3">
      <c r="A1368">
        <v>51601</v>
      </c>
      <c r="B1368" t="s">
        <v>4888</v>
      </c>
      <c r="C1368" t="s">
        <v>4877</v>
      </c>
    </row>
    <row r="1369" spans="1:3" x14ac:dyDescent="0.3">
      <c r="A1369">
        <v>51603</v>
      </c>
      <c r="B1369" t="s">
        <v>4888</v>
      </c>
      <c r="C1369" t="s">
        <v>4877</v>
      </c>
    </row>
    <row r="1370" spans="1:3" x14ac:dyDescent="0.3">
      <c r="A1370">
        <v>51701</v>
      </c>
      <c r="B1370" t="s">
        <v>4888</v>
      </c>
      <c r="C1370" t="s">
        <v>4877</v>
      </c>
    </row>
    <row r="1371" spans="1:3" x14ac:dyDescent="0.3">
      <c r="A1371">
        <v>51702</v>
      </c>
      <c r="B1371" t="s">
        <v>4888</v>
      </c>
      <c r="C1371" t="s">
        <v>4877</v>
      </c>
    </row>
    <row r="1372" spans="1:3" x14ac:dyDescent="0.3">
      <c r="A1372">
        <v>51703</v>
      </c>
      <c r="B1372" t="s">
        <v>4888</v>
      </c>
      <c r="C1372" t="s">
        <v>4877</v>
      </c>
    </row>
    <row r="1373" spans="1:3" x14ac:dyDescent="0.3">
      <c r="A1373">
        <v>51704</v>
      </c>
      <c r="B1373" t="s">
        <v>4888</v>
      </c>
      <c r="C1373" t="s">
        <v>4877</v>
      </c>
    </row>
    <row r="1374" spans="1:3" x14ac:dyDescent="0.3">
      <c r="A1374">
        <v>51711</v>
      </c>
      <c r="B1374" t="s">
        <v>4888</v>
      </c>
      <c r="C1374" t="s">
        <v>4877</v>
      </c>
    </row>
    <row r="1375" spans="1:3" x14ac:dyDescent="0.3">
      <c r="A1375">
        <v>51712</v>
      </c>
      <c r="B1375" t="s">
        <v>4888</v>
      </c>
      <c r="C1375" t="s">
        <v>4877</v>
      </c>
    </row>
    <row r="1376" spans="1:3" x14ac:dyDescent="0.3">
      <c r="A1376">
        <v>51721</v>
      </c>
      <c r="B1376" t="s">
        <v>4888</v>
      </c>
      <c r="C1376" t="s">
        <v>4877</v>
      </c>
    </row>
    <row r="1377" spans="1:3" x14ac:dyDescent="0.3">
      <c r="A1377">
        <v>51722</v>
      </c>
      <c r="B1377" t="s">
        <v>4888</v>
      </c>
      <c r="C1377" t="s">
        <v>4877</v>
      </c>
    </row>
    <row r="1378" spans="1:3" x14ac:dyDescent="0.3">
      <c r="A1378">
        <v>51723</v>
      </c>
      <c r="B1378" t="s">
        <v>4888</v>
      </c>
      <c r="C1378" t="s">
        <v>4877</v>
      </c>
    </row>
    <row r="1379" spans="1:3" x14ac:dyDescent="0.3">
      <c r="A1379">
        <v>51724</v>
      </c>
      <c r="B1379" t="s">
        <v>4888</v>
      </c>
      <c r="C1379" t="s">
        <v>4877</v>
      </c>
    </row>
    <row r="1380" spans="1:3" x14ac:dyDescent="0.3">
      <c r="A1380">
        <v>51725</v>
      </c>
      <c r="B1380" t="s">
        <v>4888</v>
      </c>
      <c r="C1380" t="s">
        <v>4877</v>
      </c>
    </row>
    <row r="1381" spans="1:3" x14ac:dyDescent="0.3">
      <c r="A1381">
        <v>51731</v>
      </c>
      <c r="B1381" t="s">
        <v>4888</v>
      </c>
      <c r="C1381" t="s">
        <v>4877</v>
      </c>
    </row>
    <row r="1382" spans="1:3" x14ac:dyDescent="0.3">
      <c r="A1382">
        <v>51732</v>
      </c>
      <c r="B1382" t="s">
        <v>4888</v>
      </c>
      <c r="C1382" t="s">
        <v>4877</v>
      </c>
    </row>
    <row r="1383" spans="1:3" x14ac:dyDescent="0.3">
      <c r="A1383">
        <v>51733</v>
      </c>
      <c r="B1383" t="s">
        <v>4888</v>
      </c>
      <c r="C1383" t="s">
        <v>4877</v>
      </c>
    </row>
    <row r="1384" spans="1:3" x14ac:dyDescent="0.3">
      <c r="A1384">
        <v>51734</v>
      </c>
      <c r="B1384" t="s">
        <v>4888</v>
      </c>
      <c r="C1384" t="s">
        <v>4877</v>
      </c>
    </row>
    <row r="1385" spans="1:3" x14ac:dyDescent="0.3">
      <c r="A1385">
        <v>51735</v>
      </c>
      <c r="B1385" t="s">
        <v>4888</v>
      </c>
      <c r="C1385" t="s">
        <v>4877</v>
      </c>
    </row>
    <row r="1386" spans="1:3" x14ac:dyDescent="0.3">
      <c r="A1386">
        <v>51736</v>
      </c>
      <c r="B1386" t="s">
        <v>4888</v>
      </c>
      <c r="C1386" t="s">
        <v>4877</v>
      </c>
    </row>
    <row r="1387" spans="1:3" x14ac:dyDescent="0.3">
      <c r="A1387">
        <v>51741</v>
      </c>
      <c r="B1387" t="s">
        <v>4888</v>
      </c>
      <c r="C1387" t="s">
        <v>4877</v>
      </c>
    </row>
    <row r="1388" spans="1:3" x14ac:dyDescent="0.3">
      <c r="A1388">
        <v>51742</v>
      </c>
      <c r="B1388" t="s">
        <v>4888</v>
      </c>
      <c r="C1388" t="s">
        <v>4877</v>
      </c>
    </row>
    <row r="1389" spans="1:3" x14ac:dyDescent="0.3">
      <c r="A1389">
        <v>51743</v>
      </c>
      <c r="B1389" t="s">
        <v>4888</v>
      </c>
      <c r="C1389" t="s">
        <v>4877</v>
      </c>
    </row>
    <row r="1390" spans="1:3" x14ac:dyDescent="0.3">
      <c r="A1390">
        <v>51745</v>
      </c>
      <c r="B1390" t="s">
        <v>4888</v>
      </c>
      <c r="C1390" t="s">
        <v>4877</v>
      </c>
    </row>
    <row r="1391" spans="1:3" x14ac:dyDescent="0.3">
      <c r="A1391">
        <v>51750</v>
      </c>
      <c r="B1391" t="s">
        <v>4888</v>
      </c>
      <c r="C1391" t="s">
        <v>4877</v>
      </c>
    </row>
    <row r="1392" spans="1:3" x14ac:dyDescent="0.3">
      <c r="A1392">
        <v>51754</v>
      </c>
      <c r="B1392" t="s">
        <v>4888</v>
      </c>
      <c r="C1392" t="s">
        <v>4877</v>
      </c>
    </row>
    <row r="1393" spans="1:3" x14ac:dyDescent="0.3">
      <c r="A1393">
        <v>51755</v>
      </c>
      <c r="B1393" t="s">
        <v>4888</v>
      </c>
      <c r="C1393" t="s">
        <v>4877</v>
      </c>
    </row>
    <row r="1394" spans="1:3" x14ac:dyDescent="0.3">
      <c r="A1394">
        <v>51756</v>
      </c>
      <c r="B1394" t="s">
        <v>4888</v>
      </c>
      <c r="C1394" t="s">
        <v>4877</v>
      </c>
    </row>
    <row r="1395" spans="1:3" x14ac:dyDescent="0.3">
      <c r="A1395">
        <v>51757</v>
      </c>
      <c r="B1395" t="s">
        <v>4888</v>
      </c>
      <c r="C1395" t="s">
        <v>4877</v>
      </c>
    </row>
    <row r="1396" spans="1:3" x14ac:dyDescent="0.3">
      <c r="A1396">
        <v>51761</v>
      </c>
      <c r="B1396" t="s">
        <v>4888</v>
      </c>
      <c r="C1396" t="s">
        <v>4877</v>
      </c>
    </row>
    <row r="1397" spans="1:3" x14ac:dyDescent="0.3">
      <c r="A1397">
        <v>51763</v>
      </c>
      <c r="B1397" t="s">
        <v>4888</v>
      </c>
      <c r="C1397" t="s">
        <v>4877</v>
      </c>
    </row>
    <row r="1398" spans="1:3" x14ac:dyDescent="0.3">
      <c r="A1398">
        <v>51764</v>
      </c>
      <c r="B1398" t="s">
        <v>4888</v>
      </c>
      <c r="C1398" t="s">
        <v>4877</v>
      </c>
    </row>
    <row r="1399" spans="1:3" x14ac:dyDescent="0.3">
      <c r="A1399">
        <v>51771</v>
      </c>
      <c r="B1399" t="s">
        <v>4888</v>
      </c>
      <c r="C1399" t="s">
        <v>4877</v>
      </c>
    </row>
    <row r="1400" spans="1:3" x14ac:dyDescent="0.3">
      <c r="A1400">
        <v>51772</v>
      </c>
      <c r="B1400" t="s">
        <v>4402</v>
      </c>
      <c r="C1400" t="s">
        <v>4877</v>
      </c>
    </row>
    <row r="1401" spans="1:3" x14ac:dyDescent="0.3">
      <c r="A1401">
        <v>51773</v>
      </c>
      <c r="B1401" t="s">
        <v>4888</v>
      </c>
      <c r="C1401" t="s">
        <v>4877</v>
      </c>
    </row>
    <row r="1402" spans="1:3" x14ac:dyDescent="0.3">
      <c r="A1402">
        <v>51783</v>
      </c>
      <c r="B1402" t="s">
        <v>4888</v>
      </c>
      <c r="C1402" t="s">
        <v>4877</v>
      </c>
    </row>
    <row r="1403" spans="1:3" x14ac:dyDescent="0.3">
      <c r="A1403">
        <v>51784</v>
      </c>
      <c r="B1403" t="s">
        <v>4888</v>
      </c>
      <c r="C1403" t="s">
        <v>4877</v>
      </c>
    </row>
    <row r="1404" spans="1:3" x14ac:dyDescent="0.3">
      <c r="A1404">
        <v>51791</v>
      </c>
      <c r="B1404" t="s">
        <v>4888</v>
      </c>
      <c r="C1404" t="s">
        <v>4877</v>
      </c>
    </row>
    <row r="1405" spans="1:3" x14ac:dyDescent="0.3">
      <c r="A1405">
        <v>51792</v>
      </c>
      <c r="B1405" t="s">
        <v>4888</v>
      </c>
      <c r="C1405" t="s">
        <v>4877</v>
      </c>
    </row>
    <row r="1406" spans="1:3" x14ac:dyDescent="0.3">
      <c r="A1406">
        <v>51793</v>
      </c>
      <c r="B1406" t="s">
        <v>4888</v>
      </c>
      <c r="C1406" t="s">
        <v>4877</v>
      </c>
    </row>
    <row r="1407" spans="1:3" x14ac:dyDescent="0.3">
      <c r="A1407">
        <v>51801</v>
      </c>
      <c r="B1407" t="s">
        <v>4888</v>
      </c>
      <c r="C1407" t="s">
        <v>4877</v>
      </c>
    </row>
    <row r="1408" spans="1:3" x14ac:dyDescent="0.3">
      <c r="A1408">
        <v>51803</v>
      </c>
      <c r="B1408" t="s">
        <v>4888</v>
      </c>
      <c r="C1408" t="s">
        <v>4877</v>
      </c>
    </row>
    <row r="1409" spans="1:3" x14ac:dyDescent="0.3">
      <c r="A1409">
        <v>53002</v>
      </c>
      <c r="B1409" t="s">
        <v>2071</v>
      </c>
      <c r="C1409" t="s">
        <v>4875</v>
      </c>
    </row>
    <row r="1410" spans="1:3" x14ac:dyDescent="0.3">
      <c r="A1410">
        <v>53003</v>
      </c>
      <c r="B1410" t="s">
        <v>2071</v>
      </c>
      <c r="C1410" t="s">
        <v>4875</v>
      </c>
    </row>
    <row r="1411" spans="1:3" x14ac:dyDescent="0.3">
      <c r="A1411">
        <v>53006</v>
      </c>
      <c r="B1411" t="s">
        <v>2071</v>
      </c>
      <c r="C1411" t="s">
        <v>4875</v>
      </c>
    </row>
    <row r="1412" spans="1:3" x14ac:dyDescent="0.3">
      <c r="A1412">
        <v>53009</v>
      </c>
      <c r="B1412" t="s">
        <v>2071</v>
      </c>
      <c r="C1412" t="s">
        <v>4875</v>
      </c>
    </row>
    <row r="1413" spans="1:3" x14ac:dyDescent="0.3">
      <c r="A1413">
        <v>53012</v>
      </c>
      <c r="B1413" t="s">
        <v>2071</v>
      </c>
      <c r="C1413" t="s">
        <v>4875</v>
      </c>
    </row>
    <row r="1414" spans="1:3" x14ac:dyDescent="0.3">
      <c r="A1414">
        <v>53020</v>
      </c>
      <c r="B1414" t="s">
        <v>4402</v>
      </c>
      <c r="C1414" t="s">
        <v>4877</v>
      </c>
    </row>
    <row r="1415" spans="1:3" x14ac:dyDescent="0.3">
      <c r="A1415">
        <v>53301</v>
      </c>
      <c r="B1415" t="s">
        <v>2071</v>
      </c>
      <c r="C1415" t="s">
        <v>4875</v>
      </c>
    </row>
    <row r="1416" spans="1:3" x14ac:dyDescent="0.3">
      <c r="A1416">
        <v>53303</v>
      </c>
      <c r="B1416" t="s">
        <v>2071</v>
      </c>
      <c r="C1416" t="s">
        <v>4875</v>
      </c>
    </row>
    <row r="1417" spans="1:3" x14ac:dyDescent="0.3">
      <c r="A1417">
        <v>53304</v>
      </c>
      <c r="B1417" t="s">
        <v>2071</v>
      </c>
      <c r="C1417" t="s">
        <v>4875</v>
      </c>
    </row>
    <row r="1418" spans="1:3" x14ac:dyDescent="0.3">
      <c r="A1418">
        <v>53305</v>
      </c>
      <c r="B1418" t="s">
        <v>2071</v>
      </c>
      <c r="C1418" t="s">
        <v>4875</v>
      </c>
    </row>
    <row r="1419" spans="1:3" x14ac:dyDescent="0.3">
      <c r="A1419">
        <v>53311</v>
      </c>
      <c r="B1419" t="s">
        <v>2071</v>
      </c>
      <c r="C1419" t="s">
        <v>4875</v>
      </c>
    </row>
    <row r="1420" spans="1:3" x14ac:dyDescent="0.3">
      <c r="A1420">
        <v>53312</v>
      </c>
      <c r="B1420" t="s">
        <v>2071</v>
      </c>
      <c r="C1420" t="s">
        <v>4875</v>
      </c>
    </row>
    <row r="1421" spans="1:3" x14ac:dyDescent="0.3">
      <c r="A1421">
        <v>53313</v>
      </c>
      <c r="B1421" t="s">
        <v>2071</v>
      </c>
      <c r="C1421" t="s">
        <v>4875</v>
      </c>
    </row>
    <row r="1422" spans="1:3" x14ac:dyDescent="0.3">
      <c r="A1422">
        <v>53314</v>
      </c>
      <c r="B1422" t="s">
        <v>2071</v>
      </c>
      <c r="C1422" t="s">
        <v>4875</v>
      </c>
    </row>
    <row r="1423" spans="1:3" x14ac:dyDescent="0.3">
      <c r="A1423">
        <v>53315</v>
      </c>
      <c r="B1423" t="s">
        <v>2071</v>
      </c>
      <c r="C1423" t="s">
        <v>4875</v>
      </c>
    </row>
    <row r="1424" spans="1:3" x14ac:dyDescent="0.3">
      <c r="A1424">
        <v>53316</v>
      </c>
      <c r="B1424" t="s">
        <v>2071</v>
      </c>
      <c r="C1424" t="s">
        <v>4875</v>
      </c>
    </row>
    <row r="1425" spans="1:3" x14ac:dyDescent="0.3">
      <c r="A1425">
        <v>53321</v>
      </c>
      <c r="B1425" t="s">
        <v>2071</v>
      </c>
      <c r="C1425" t="s">
        <v>4875</v>
      </c>
    </row>
    <row r="1426" spans="1:3" x14ac:dyDescent="0.3">
      <c r="A1426">
        <v>53322</v>
      </c>
      <c r="B1426" t="s">
        <v>2071</v>
      </c>
      <c r="C1426" t="s">
        <v>4875</v>
      </c>
    </row>
    <row r="1427" spans="1:3" x14ac:dyDescent="0.3">
      <c r="A1427">
        <v>53331</v>
      </c>
      <c r="B1427" t="s">
        <v>2071</v>
      </c>
      <c r="C1427" t="s">
        <v>4875</v>
      </c>
    </row>
    <row r="1428" spans="1:3" x14ac:dyDescent="0.3">
      <c r="A1428">
        <v>53332</v>
      </c>
      <c r="B1428" t="s">
        <v>2071</v>
      </c>
      <c r="C1428" t="s">
        <v>4875</v>
      </c>
    </row>
    <row r="1429" spans="1:3" x14ac:dyDescent="0.3">
      <c r="A1429">
        <v>53333</v>
      </c>
      <c r="B1429" t="s">
        <v>2071</v>
      </c>
      <c r="C1429" t="s">
        <v>4875</v>
      </c>
    </row>
    <row r="1430" spans="1:3" x14ac:dyDescent="0.3">
      <c r="A1430">
        <v>53341</v>
      </c>
      <c r="B1430" t="s">
        <v>2071</v>
      </c>
      <c r="C1430" t="s">
        <v>4875</v>
      </c>
    </row>
    <row r="1431" spans="1:3" x14ac:dyDescent="0.3">
      <c r="A1431">
        <v>53342</v>
      </c>
      <c r="B1431" t="s">
        <v>2071</v>
      </c>
      <c r="C1431" t="s">
        <v>4875</v>
      </c>
    </row>
    <row r="1432" spans="1:3" x14ac:dyDescent="0.3">
      <c r="A1432">
        <v>53343</v>
      </c>
      <c r="B1432" t="s">
        <v>2071</v>
      </c>
      <c r="C1432" t="s">
        <v>4875</v>
      </c>
    </row>
    <row r="1433" spans="1:3" x14ac:dyDescent="0.3">
      <c r="A1433">
        <v>53344</v>
      </c>
      <c r="B1433" t="s">
        <v>2071</v>
      </c>
      <c r="C1433" t="s">
        <v>4875</v>
      </c>
    </row>
    <row r="1434" spans="1:3" x14ac:dyDescent="0.3">
      <c r="A1434">
        <v>53345</v>
      </c>
      <c r="B1434" t="s">
        <v>2071</v>
      </c>
      <c r="C1434" t="s">
        <v>4875</v>
      </c>
    </row>
    <row r="1435" spans="1:3" x14ac:dyDescent="0.3">
      <c r="A1435">
        <v>53351</v>
      </c>
      <c r="B1435" t="s">
        <v>2071</v>
      </c>
      <c r="C1435" t="s">
        <v>4875</v>
      </c>
    </row>
    <row r="1436" spans="1:3" x14ac:dyDescent="0.3">
      <c r="A1436">
        <v>53352</v>
      </c>
      <c r="B1436" t="s">
        <v>2071</v>
      </c>
      <c r="C1436" t="s">
        <v>4875</v>
      </c>
    </row>
    <row r="1437" spans="1:3" x14ac:dyDescent="0.3">
      <c r="A1437">
        <v>53353</v>
      </c>
      <c r="B1437" t="s">
        <v>2071</v>
      </c>
      <c r="C1437" t="s">
        <v>4875</v>
      </c>
    </row>
    <row r="1438" spans="1:3" x14ac:dyDescent="0.3">
      <c r="A1438">
        <v>53354</v>
      </c>
      <c r="B1438" t="s">
        <v>2071</v>
      </c>
      <c r="C1438" t="s">
        <v>4875</v>
      </c>
    </row>
    <row r="1439" spans="1:3" x14ac:dyDescent="0.3">
      <c r="A1439">
        <v>53361</v>
      </c>
      <c r="B1439" t="s">
        <v>2071</v>
      </c>
      <c r="C1439" t="s">
        <v>4875</v>
      </c>
    </row>
    <row r="1440" spans="1:3" x14ac:dyDescent="0.3">
      <c r="A1440">
        <v>53362</v>
      </c>
      <c r="B1440" t="s">
        <v>2071</v>
      </c>
      <c r="C1440" t="s">
        <v>4875</v>
      </c>
    </row>
    <row r="1441" spans="1:3" x14ac:dyDescent="0.3">
      <c r="A1441">
        <v>53363</v>
      </c>
      <c r="B1441" t="s">
        <v>2071</v>
      </c>
      <c r="C1441" t="s">
        <v>4875</v>
      </c>
    </row>
    <row r="1442" spans="1:3" x14ac:dyDescent="0.3">
      <c r="A1442">
        <v>53364</v>
      </c>
      <c r="B1442" t="s">
        <v>2071</v>
      </c>
      <c r="C1442" t="s">
        <v>4875</v>
      </c>
    </row>
    <row r="1443" spans="1:3" x14ac:dyDescent="0.3">
      <c r="A1443">
        <v>53371</v>
      </c>
      <c r="B1443" t="s">
        <v>2071</v>
      </c>
      <c r="C1443" t="s">
        <v>4875</v>
      </c>
    </row>
    <row r="1444" spans="1:3" x14ac:dyDescent="0.3">
      <c r="A1444">
        <v>53372</v>
      </c>
      <c r="B1444" t="s">
        <v>2071</v>
      </c>
      <c r="C1444" t="s">
        <v>4875</v>
      </c>
    </row>
    <row r="1445" spans="1:3" x14ac:dyDescent="0.3">
      <c r="A1445">
        <v>53373</v>
      </c>
      <c r="B1445" t="s">
        <v>2071</v>
      </c>
      <c r="C1445" t="s">
        <v>4875</v>
      </c>
    </row>
    <row r="1446" spans="1:3" x14ac:dyDescent="0.3">
      <c r="A1446">
        <v>53374</v>
      </c>
      <c r="B1446" t="s">
        <v>2071</v>
      </c>
      <c r="C1446" t="s">
        <v>4875</v>
      </c>
    </row>
    <row r="1447" spans="1:3" x14ac:dyDescent="0.3">
      <c r="A1447">
        <v>53375</v>
      </c>
      <c r="B1447" t="s">
        <v>2071</v>
      </c>
      <c r="C1447" t="s">
        <v>4875</v>
      </c>
    </row>
    <row r="1448" spans="1:3" x14ac:dyDescent="0.3">
      <c r="A1448">
        <v>53401</v>
      </c>
      <c r="B1448" t="s">
        <v>2071</v>
      </c>
      <c r="C1448" t="s">
        <v>4875</v>
      </c>
    </row>
    <row r="1449" spans="1:3" x14ac:dyDescent="0.3">
      <c r="A1449">
        <v>53501</v>
      </c>
      <c r="B1449" t="s">
        <v>2071</v>
      </c>
      <c r="C1449" t="s">
        <v>4875</v>
      </c>
    </row>
    <row r="1450" spans="1:3" x14ac:dyDescent="0.3">
      <c r="A1450">
        <v>53701</v>
      </c>
      <c r="B1450" t="s">
        <v>3448</v>
      </c>
      <c r="C1450" t="s">
        <v>4875</v>
      </c>
    </row>
    <row r="1451" spans="1:3" x14ac:dyDescent="0.3">
      <c r="A1451">
        <v>53703</v>
      </c>
      <c r="B1451" t="s">
        <v>3448</v>
      </c>
      <c r="C1451" t="s">
        <v>4875</v>
      </c>
    </row>
    <row r="1452" spans="1:3" x14ac:dyDescent="0.3">
      <c r="A1452">
        <v>53705</v>
      </c>
      <c r="B1452" t="s">
        <v>3448</v>
      </c>
      <c r="C1452" t="s">
        <v>4875</v>
      </c>
    </row>
    <row r="1453" spans="1:3" x14ac:dyDescent="0.3">
      <c r="A1453">
        <v>53801</v>
      </c>
      <c r="B1453" t="s">
        <v>3448</v>
      </c>
      <c r="C1453" t="s">
        <v>4875</v>
      </c>
    </row>
    <row r="1454" spans="1:3" x14ac:dyDescent="0.3">
      <c r="A1454">
        <v>53802</v>
      </c>
      <c r="B1454" t="s">
        <v>3448</v>
      </c>
      <c r="C1454" t="s">
        <v>4875</v>
      </c>
    </row>
    <row r="1455" spans="1:3" x14ac:dyDescent="0.3">
      <c r="A1455">
        <v>53803</v>
      </c>
      <c r="B1455" t="s">
        <v>3448</v>
      </c>
      <c r="C1455" t="s">
        <v>4875</v>
      </c>
    </row>
    <row r="1456" spans="1:3" x14ac:dyDescent="0.3">
      <c r="A1456">
        <v>53804</v>
      </c>
      <c r="B1456" t="s">
        <v>3448</v>
      </c>
      <c r="C1456" t="s">
        <v>4875</v>
      </c>
    </row>
    <row r="1457" spans="1:3" x14ac:dyDescent="0.3">
      <c r="A1457">
        <v>53805</v>
      </c>
      <c r="B1457" t="s">
        <v>3448</v>
      </c>
      <c r="C1457" t="s">
        <v>4875</v>
      </c>
    </row>
    <row r="1458" spans="1:3" x14ac:dyDescent="0.3">
      <c r="A1458">
        <v>53807</v>
      </c>
      <c r="B1458" t="s">
        <v>3448</v>
      </c>
      <c r="C1458" t="s">
        <v>4875</v>
      </c>
    </row>
    <row r="1459" spans="1:3" x14ac:dyDescent="0.3">
      <c r="A1459">
        <v>53821</v>
      </c>
      <c r="B1459" t="s">
        <v>3448</v>
      </c>
      <c r="C1459" t="s">
        <v>4875</v>
      </c>
    </row>
    <row r="1460" spans="1:3" x14ac:dyDescent="0.3">
      <c r="A1460">
        <v>53823</v>
      </c>
      <c r="B1460" t="s">
        <v>3448</v>
      </c>
      <c r="C1460" t="s">
        <v>4875</v>
      </c>
    </row>
    <row r="1461" spans="1:3" x14ac:dyDescent="0.3">
      <c r="A1461">
        <v>53824</v>
      </c>
      <c r="B1461" t="s">
        <v>3448</v>
      </c>
      <c r="C1461" t="s">
        <v>4875</v>
      </c>
    </row>
    <row r="1462" spans="1:3" x14ac:dyDescent="0.3">
      <c r="A1462">
        <v>53825</v>
      </c>
      <c r="B1462" t="s">
        <v>3448</v>
      </c>
      <c r="C1462" t="s">
        <v>4875</v>
      </c>
    </row>
    <row r="1463" spans="1:3" x14ac:dyDescent="0.3">
      <c r="A1463">
        <v>53826</v>
      </c>
      <c r="B1463" t="s">
        <v>3448</v>
      </c>
      <c r="C1463" t="s">
        <v>4875</v>
      </c>
    </row>
    <row r="1464" spans="1:3" x14ac:dyDescent="0.3">
      <c r="A1464">
        <v>53831</v>
      </c>
      <c r="B1464" t="s">
        <v>3448</v>
      </c>
      <c r="C1464" t="s">
        <v>4875</v>
      </c>
    </row>
    <row r="1465" spans="1:3" x14ac:dyDescent="0.3">
      <c r="A1465">
        <v>53832</v>
      </c>
      <c r="B1465" t="s">
        <v>3448</v>
      </c>
      <c r="C1465" t="s">
        <v>4875</v>
      </c>
    </row>
    <row r="1466" spans="1:3" x14ac:dyDescent="0.3">
      <c r="A1466">
        <v>53833</v>
      </c>
      <c r="B1466" t="s">
        <v>3448</v>
      </c>
      <c r="C1466" t="s">
        <v>4875</v>
      </c>
    </row>
    <row r="1467" spans="1:3" x14ac:dyDescent="0.3">
      <c r="A1467">
        <v>53834</v>
      </c>
      <c r="B1467" t="s">
        <v>3448</v>
      </c>
      <c r="C1467" t="s">
        <v>4875</v>
      </c>
    </row>
    <row r="1468" spans="1:3" x14ac:dyDescent="0.3">
      <c r="A1468">
        <v>53835</v>
      </c>
      <c r="B1468" t="s">
        <v>3448</v>
      </c>
      <c r="C1468" t="s">
        <v>4875</v>
      </c>
    </row>
    <row r="1469" spans="1:3" x14ac:dyDescent="0.3">
      <c r="A1469">
        <v>53836</v>
      </c>
      <c r="B1469" t="s">
        <v>3448</v>
      </c>
      <c r="C1469" t="s">
        <v>4875</v>
      </c>
    </row>
    <row r="1470" spans="1:3" x14ac:dyDescent="0.3">
      <c r="A1470">
        <v>53841</v>
      </c>
      <c r="B1470" t="s">
        <v>3448</v>
      </c>
      <c r="C1470" t="s">
        <v>4875</v>
      </c>
    </row>
    <row r="1471" spans="1:3" x14ac:dyDescent="0.3">
      <c r="A1471">
        <v>53842</v>
      </c>
      <c r="B1471" t="s">
        <v>3448</v>
      </c>
      <c r="C1471" t="s">
        <v>4875</v>
      </c>
    </row>
    <row r="1472" spans="1:3" x14ac:dyDescent="0.3">
      <c r="A1472">
        <v>53843</v>
      </c>
      <c r="B1472" t="s">
        <v>3448</v>
      </c>
      <c r="C1472" t="s">
        <v>4875</v>
      </c>
    </row>
    <row r="1473" spans="1:3" x14ac:dyDescent="0.3">
      <c r="A1473">
        <v>53845</v>
      </c>
      <c r="B1473" t="s">
        <v>3448</v>
      </c>
      <c r="C1473" t="s">
        <v>4875</v>
      </c>
    </row>
    <row r="1474" spans="1:3" x14ac:dyDescent="0.3">
      <c r="A1474">
        <v>53851</v>
      </c>
      <c r="B1474" t="s">
        <v>3448</v>
      </c>
      <c r="C1474" t="s">
        <v>4875</v>
      </c>
    </row>
    <row r="1475" spans="1:3" x14ac:dyDescent="0.3">
      <c r="A1475">
        <v>53854</v>
      </c>
      <c r="B1475" t="s">
        <v>3448</v>
      </c>
      <c r="C1475" t="s">
        <v>4875</v>
      </c>
    </row>
    <row r="1476" spans="1:3" x14ac:dyDescent="0.3">
      <c r="A1476">
        <v>53861</v>
      </c>
      <c r="B1476" t="s">
        <v>3448</v>
      </c>
      <c r="C1476" t="s">
        <v>4875</v>
      </c>
    </row>
    <row r="1477" spans="1:3" x14ac:dyDescent="0.3">
      <c r="A1477">
        <v>53862</v>
      </c>
      <c r="B1477" t="s">
        <v>3448</v>
      </c>
      <c r="C1477" t="s">
        <v>4875</v>
      </c>
    </row>
    <row r="1478" spans="1:3" x14ac:dyDescent="0.3">
      <c r="A1478">
        <v>53863</v>
      </c>
      <c r="B1478" t="s">
        <v>3448</v>
      </c>
      <c r="C1478" t="s">
        <v>4875</v>
      </c>
    </row>
    <row r="1479" spans="1:3" x14ac:dyDescent="0.3">
      <c r="A1479">
        <v>53864</v>
      </c>
      <c r="B1479" t="s">
        <v>3448</v>
      </c>
      <c r="C1479" t="s">
        <v>4875</v>
      </c>
    </row>
    <row r="1480" spans="1:3" x14ac:dyDescent="0.3">
      <c r="A1480">
        <v>53865</v>
      </c>
      <c r="B1480" t="s">
        <v>4889</v>
      </c>
      <c r="C1480" t="s">
        <v>4875</v>
      </c>
    </row>
    <row r="1481" spans="1:3" x14ac:dyDescent="0.3">
      <c r="A1481">
        <v>53901</v>
      </c>
      <c r="B1481" t="s">
        <v>3448</v>
      </c>
      <c r="C1481" t="s">
        <v>4875</v>
      </c>
    </row>
    <row r="1482" spans="1:3" x14ac:dyDescent="0.3">
      <c r="A1482">
        <v>53941</v>
      </c>
      <c r="B1482" t="s">
        <v>3448</v>
      </c>
      <c r="C1482" t="s">
        <v>4875</v>
      </c>
    </row>
    <row r="1483" spans="1:3" x14ac:dyDescent="0.3">
      <c r="A1483">
        <v>53942</v>
      </c>
      <c r="B1483" t="s">
        <v>3448</v>
      </c>
      <c r="C1483" t="s">
        <v>4875</v>
      </c>
    </row>
    <row r="1484" spans="1:3" x14ac:dyDescent="0.3">
      <c r="A1484">
        <v>53943</v>
      </c>
      <c r="B1484" t="s">
        <v>3448</v>
      </c>
      <c r="C1484" t="s">
        <v>4875</v>
      </c>
    </row>
    <row r="1485" spans="1:3" x14ac:dyDescent="0.3">
      <c r="A1485">
        <v>53944</v>
      </c>
      <c r="B1485" t="s">
        <v>3448</v>
      </c>
      <c r="C1485" t="s">
        <v>4875</v>
      </c>
    </row>
    <row r="1486" spans="1:3" x14ac:dyDescent="0.3">
      <c r="A1486">
        <v>53945</v>
      </c>
      <c r="B1486" t="s">
        <v>4889</v>
      </c>
      <c r="C1486" t="s">
        <v>4875</v>
      </c>
    </row>
    <row r="1487" spans="1:3" x14ac:dyDescent="0.3">
      <c r="A1487">
        <v>53952</v>
      </c>
      <c r="B1487" t="s">
        <v>3448</v>
      </c>
      <c r="C1487" t="s">
        <v>4875</v>
      </c>
    </row>
    <row r="1488" spans="1:3" x14ac:dyDescent="0.3">
      <c r="A1488">
        <v>53953</v>
      </c>
      <c r="B1488" t="s">
        <v>3448</v>
      </c>
      <c r="C1488" t="s">
        <v>4875</v>
      </c>
    </row>
    <row r="1489" spans="1:3" x14ac:dyDescent="0.3">
      <c r="A1489">
        <v>53955</v>
      </c>
      <c r="B1489" t="s">
        <v>3448</v>
      </c>
      <c r="C1489" t="s">
        <v>4875</v>
      </c>
    </row>
    <row r="1490" spans="1:3" x14ac:dyDescent="0.3">
      <c r="A1490">
        <v>53956</v>
      </c>
      <c r="B1490" t="s">
        <v>3448</v>
      </c>
      <c r="C1490" t="s">
        <v>4875</v>
      </c>
    </row>
    <row r="1491" spans="1:3" x14ac:dyDescent="0.3">
      <c r="A1491">
        <v>53957</v>
      </c>
      <c r="B1491" t="s">
        <v>3448</v>
      </c>
      <c r="C1491" t="s">
        <v>4875</v>
      </c>
    </row>
    <row r="1492" spans="1:3" x14ac:dyDescent="0.3">
      <c r="A1492">
        <v>53961</v>
      </c>
      <c r="B1492" t="s">
        <v>3448</v>
      </c>
      <c r="C1492" t="s">
        <v>4875</v>
      </c>
    </row>
    <row r="1493" spans="1:3" x14ac:dyDescent="0.3">
      <c r="A1493">
        <v>53962</v>
      </c>
      <c r="B1493" t="s">
        <v>3448</v>
      </c>
      <c r="C1493" t="s">
        <v>4875</v>
      </c>
    </row>
    <row r="1494" spans="1:3" x14ac:dyDescent="0.3">
      <c r="A1494">
        <v>53971</v>
      </c>
      <c r="B1494" t="s">
        <v>3448</v>
      </c>
      <c r="C1494" t="s">
        <v>4875</v>
      </c>
    </row>
    <row r="1495" spans="1:3" x14ac:dyDescent="0.3">
      <c r="A1495">
        <v>53972</v>
      </c>
      <c r="B1495" t="s">
        <v>3448</v>
      </c>
      <c r="C1495" t="s">
        <v>4875</v>
      </c>
    </row>
    <row r="1496" spans="1:3" x14ac:dyDescent="0.3">
      <c r="A1496">
        <v>53973</v>
      </c>
      <c r="B1496" t="s">
        <v>3448</v>
      </c>
      <c r="C1496" t="s">
        <v>4875</v>
      </c>
    </row>
    <row r="1497" spans="1:3" x14ac:dyDescent="0.3">
      <c r="A1497">
        <v>53974</v>
      </c>
      <c r="B1497" t="s">
        <v>3448</v>
      </c>
      <c r="C1497" t="s">
        <v>4875</v>
      </c>
    </row>
    <row r="1498" spans="1:3" x14ac:dyDescent="0.3">
      <c r="A1498">
        <v>53976</v>
      </c>
      <c r="B1498" t="s">
        <v>3448</v>
      </c>
      <c r="C1498" t="s">
        <v>4875</v>
      </c>
    </row>
    <row r="1499" spans="1:3" x14ac:dyDescent="0.3">
      <c r="A1499">
        <v>54101</v>
      </c>
      <c r="B1499" t="s">
        <v>1905</v>
      </c>
      <c r="C1499" t="s">
        <v>4877</v>
      </c>
    </row>
    <row r="1500" spans="1:3" x14ac:dyDescent="0.3">
      <c r="A1500">
        <v>54102</v>
      </c>
      <c r="B1500" t="s">
        <v>1905</v>
      </c>
      <c r="C1500" t="s">
        <v>4877</v>
      </c>
    </row>
    <row r="1501" spans="1:3" x14ac:dyDescent="0.3">
      <c r="A1501">
        <v>54103</v>
      </c>
      <c r="B1501" t="s">
        <v>1905</v>
      </c>
      <c r="C1501" t="s">
        <v>4877</v>
      </c>
    </row>
    <row r="1502" spans="1:3" x14ac:dyDescent="0.3">
      <c r="A1502">
        <v>54201</v>
      </c>
      <c r="B1502" t="s">
        <v>1905</v>
      </c>
      <c r="C1502" t="s">
        <v>4877</v>
      </c>
    </row>
    <row r="1503" spans="1:3" x14ac:dyDescent="0.3">
      <c r="A1503">
        <v>54203</v>
      </c>
      <c r="B1503" t="s">
        <v>1905</v>
      </c>
      <c r="C1503" t="s">
        <v>4877</v>
      </c>
    </row>
    <row r="1504" spans="1:3" x14ac:dyDescent="0.3">
      <c r="A1504">
        <v>54204</v>
      </c>
      <c r="B1504" t="s">
        <v>1905</v>
      </c>
      <c r="C1504" t="s">
        <v>4877</v>
      </c>
    </row>
    <row r="1505" spans="1:3" x14ac:dyDescent="0.3">
      <c r="A1505">
        <v>54211</v>
      </c>
      <c r="B1505" t="s">
        <v>1905</v>
      </c>
      <c r="C1505" t="s">
        <v>4877</v>
      </c>
    </row>
    <row r="1506" spans="1:3" x14ac:dyDescent="0.3">
      <c r="A1506">
        <v>54212</v>
      </c>
      <c r="B1506" t="s">
        <v>1905</v>
      </c>
      <c r="C1506" t="s">
        <v>4877</v>
      </c>
    </row>
    <row r="1507" spans="1:3" x14ac:dyDescent="0.3">
      <c r="A1507">
        <v>54213</v>
      </c>
      <c r="B1507" t="s">
        <v>1905</v>
      </c>
      <c r="C1507" t="s">
        <v>4877</v>
      </c>
    </row>
    <row r="1508" spans="1:3" x14ac:dyDescent="0.3">
      <c r="A1508">
        <v>54221</v>
      </c>
      <c r="B1508" t="s">
        <v>1905</v>
      </c>
      <c r="C1508" t="s">
        <v>4877</v>
      </c>
    </row>
    <row r="1509" spans="1:3" x14ac:dyDescent="0.3">
      <c r="A1509">
        <v>54223</v>
      </c>
      <c r="B1509" t="s">
        <v>1905</v>
      </c>
      <c r="C1509" t="s">
        <v>4877</v>
      </c>
    </row>
    <row r="1510" spans="1:3" x14ac:dyDescent="0.3">
      <c r="A1510">
        <v>54224</v>
      </c>
      <c r="B1510" t="s">
        <v>1905</v>
      </c>
      <c r="C1510" t="s">
        <v>4877</v>
      </c>
    </row>
    <row r="1511" spans="1:3" x14ac:dyDescent="0.3">
      <c r="A1511">
        <v>54225</v>
      </c>
      <c r="B1511" t="s">
        <v>1905</v>
      </c>
      <c r="C1511" t="s">
        <v>4877</v>
      </c>
    </row>
    <row r="1512" spans="1:3" x14ac:dyDescent="0.3">
      <c r="A1512">
        <v>54226</v>
      </c>
      <c r="B1512" t="s">
        <v>1905</v>
      </c>
      <c r="C1512" t="s">
        <v>4877</v>
      </c>
    </row>
    <row r="1513" spans="1:3" x14ac:dyDescent="0.3">
      <c r="A1513">
        <v>54227</v>
      </c>
      <c r="B1513" t="s">
        <v>1905</v>
      </c>
      <c r="C1513" t="s">
        <v>4877</v>
      </c>
    </row>
    <row r="1514" spans="1:3" x14ac:dyDescent="0.3">
      <c r="A1514">
        <v>54232</v>
      </c>
      <c r="B1514" t="s">
        <v>1905</v>
      </c>
      <c r="C1514" t="s">
        <v>4877</v>
      </c>
    </row>
    <row r="1515" spans="1:3" x14ac:dyDescent="0.3">
      <c r="A1515">
        <v>54233</v>
      </c>
      <c r="B1515" t="s">
        <v>1905</v>
      </c>
      <c r="C1515" t="s">
        <v>4877</v>
      </c>
    </row>
    <row r="1516" spans="1:3" x14ac:dyDescent="0.3">
      <c r="A1516">
        <v>54234</v>
      </c>
      <c r="B1516" t="s">
        <v>1905</v>
      </c>
      <c r="C1516" t="s">
        <v>4877</v>
      </c>
    </row>
    <row r="1517" spans="1:3" x14ac:dyDescent="0.3">
      <c r="A1517">
        <v>54235</v>
      </c>
      <c r="B1517" t="s">
        <v>1905</v>
      </c>
      <c r="C1517" t="s">
        <v>4877</v>
      </c>
    </row>
    <row r="1518" spans="1:3" x14ac:dyDescent="0.3">
      <c r="A1518">
        <v>54236</v>
      </c>
      <c r="B1518" t="s">
        <v>1905</v>
      </c>
      <c r="C1518" t="s">
        <v>4877</v>
      </c>
    </row>
    <row r="1519" spans="1:3" x14ac:dyDescent="0.3">
      <c r="A1519">
        <v>54237</v>
      </c>
      <c r="B1519" t="s">
        <v>1905</v>
      </c>
      <c r="C1519" t="s">
        <v>4877</v>
      </c>
    </row>
    <row r="1520" spans="1:3" x14ac:dyDescent="0.3">
      <c r="A1520">
        <v>54241</v>
      </c>
      <c r="B1520" t="s">
        <v>1905</v>
      </c>
      <c r="C1520" t="s">
        <v>4877</v>
      </c>
    </row>
    <row r="1521" spans="1:3" x14ac:dyDescent="0.3">
      <c r="A1521">
        <v>54242</v>
      </c>
      <c r="B1521" t="s">
        <v>1905</v>
      </c>
      <c r="C1521" t="s">
        <v>4877</v>
      </c>
    </row>
    <row r="1522" spans="1:3" x14ac:dyDescent="0.3">
      <c r="A1522">
        <v>54243</v>
      </c>
      <c r="B1522" t="s">
        <v>1905</v>
      </c>
      <c r="C1522" t="s">
        <v>4877</v>
      </c>
    </row>
    <row r="1523" spans="1:3" x14ac:dyDescent="0.3">
      <c r="A1523">
        <v>54301</v>
      </c>
      <c r="B1523" t="s">
        <v>1905</v>
      </c>
      <c r="C1523" t="s">
        <v>4877</v>
      </c>
    </row>
    <row r="1524" spans="1:3" x14ac:dyDescent="0.3">
      <c r="A1524">
        <v>54302</v>
      </c>
      <c r="B1524" t="s">
        <v>1905</v>
      </c>
      <c r="C1524" t="s">
        <v>4877</v>
      </c>
    </row>
    <row r="1525" spans="1:3" x14ac:dyDescent="0.3">
      <c r="A1525">
        <v>54303</v>
      </c>
      <c r="B1525" t="s">
        <v>1905</v>
      </c>
      <c r="C1525" t="s">
        <v>4877</v>
      </c>
    </row>
    <row r="1526" spans="1:3" x14ac:dyDescent="0.3">
      <c r="A1526">
        <v>54341</v>
      </c>
      <c r="B1526" t="s">
        <v>1905</v>
      </c>
      <c r="C1526" t="s">
        <v>4877</v>
      </c>
    </row>
    <row r="1527" spans="1:3" x14ac:dyDescent="0.3">
      <c r="A1527">
        <v>54342</v>
      </c>
      <c r="B1527" t="s">
        <v>1905</v>
      </c>
      <c r="C1527" t="s">
        <v>4877</v>
      </c>
    </row>
    <row r="1528" spans="1:3" x14ac:dyDescent="0.3">
      <c r="A1528">
        <v>54344</v>
      </c>
      <c r="B1528" t="s">
        <v>1905</v>
      </c>
      <c r="C1528" t="s">
        <v>4877</v>
      </c>
    </row>
    <row r="1529" spans="1:3" x14ac:dyDescent="0.3">
      <c r="A1529">
        <v>54351</v>
      </c>
      <c r="B1529" t="s">
        <v>1905</v>
      </c>
      <c r="C1529" t="s">
        <v>4877</v>
      </c>
    </row>
    <row r="1530" spans="1:3" x14ac:dyDescent="0.3">
      <c r="A1530">
        <v>54352</v>
      </c>
      <c r="B1530" t="s">
        <v>1905</v>
      </c>
      <c r="C1530" t="s">
        <v>4877</v>
      </c>
    </row>
    <row r="1531" spans="1:3" x14ac:dyDescent="0.3">
      <c r="A1531">
        <v>54361</v>
      </c>
      <c r="B1531" t="s">
        <v>1905</v>
      </c>
      <c r="C1531" t="s">
        <v>4877</v>
      </c>
    </row>
    <row r="1532" spans="1:3" x14ac:dyDescent="0.3">
      <c r="A1532">
        <v>54362</v>
      </c>
      <c r="B1532" t="s">
        <v>1905</v>
      </c>
      <c r="C1532" t="s">
        <v>4877</v>
      </c>
    </row>
    <row r="1533" spans="1:3" x14ac:dyDescent="0.3">
      <c r="A1533">
        <v>54371</v>
      </c>
      <c r="B1533" t="s">
        <v>1905</v>
      </c>
      <c r="C1533" t="s">
        <v>4877</v>
      </c>
    </row>
    <row r="1534" spans="1:3" x14ac:dyDescent="0.3">
      <c r="A1534">
        <v>54372</v>
      </c>
      <c r="B1534" t="s">
        <v>1905</v>
      </c>
      <c r="C1534" t="s">
        <v>4877</v>
      </c>
    </row>
    <row r="1535" spans="1:3" x14ac:dyDescent="0.3">
      <c r="A1535">
        <v>54373</v>
      </c>
      <c r="B1535" t="s">
        <v>1905</v>
      </c>
      <c r="C1535" t="s">
        <v>4877</v>
      </c>
    </row>
    <row r="1536" spans="1:3" x14ac:dyDescent="0.3">
      <c r="A1536">
        <v>54374</v>
      </c>
      <c r="B1536" t="s">
        <v>1905</v>
      </c>
      <c r="C1536" t="s">
        <v>4877</v>
      </c>
    </row>
    <row r="1537" spans="1:3" x14ac:dyDescent="0.3">
      <c r="A1537">
        <v>54375</v>
      </c>
      <c r="B1537" t="s">
        <v>1905</v>
      </c>
      <c r="C1537" t="s">
        <v>4877</v>
      </c>
    </row>
    <row r="1538" spans="1:3" x14ac:dyDescent="0.3">
      <c r="A1538">
        <v>54376</v>
      </c>
      <c r="B1538" t="s">
        <v>1905</v>
      </c>
      <c r="C1538" t="s">
        <v>4877</v>
      </c>
    </row>
    <row r="1539" spans="1:3" x14ac:dyDescent="0.3">
      <c r="A1539">
        <v>54377</v>
      </c>
      <c r="B1539" t="s">
        <v>1905</v>
      </c>
      <c r="C1539" t="s">
        <v>4877</v>
      </c>
    </row>
    <row r="1540" spans="1:3" x14ac:dyDescent="0.3">
      <c r="A1540">
        <v>54401</v>
      </c>
      <c r="B1540" t="s">
        <v>1905</v>
      </c>
      <c r="C1540" t="s">
        <v>4877</v>
      </c>
    </row>
    <row r="1541" spans="1:3" x14ac:dyDescent="0.3">
      <c r="A1541">
        <v>54404</v>
      </c>
      <c r="B1541" t="s">
        <v>1905</v>
      </c>
      <c r="C1541" t="s">
        <v>4877</v>
      </c>
    </row>
    <row r="1542" spans="1:3" x14ac:dyDescent="0.3">
      <c r="A1542">
        <v>54442</v>
      </c>
      <c r="B1542" t="s">
        <v>1905</v>
      </c>
      <c r="C1542" t="s">
        <v>4877</v>
      </c>
    </row>
    <row r="1543" spans="1:3" x14ac:dyDescent="0.3">
      <c r="A1543">
        <v>54443</v>
      </c>
      <c r="B1543" t="s">
        <v>1905</v>
      </c>
      <c r="C1543" t="s">
        <v>4877</v>
      </c>
    </row>
    <row r="1544" spans="1:3" x14ac:dyDescent="0.3">
      <c r="A1544">
        <v>54451</v>
      </c>
      <c r="B1544" t="s">
        <v>1905</v>
      </c>
      <c r="C1544" t="s">
        <v>4877</v>
      </c>
    </row>
    <row r="1545" spans="1:3" x14ac:dyDescent="0.3">
      <c r="A1545">
        <v>54452</v>
      </c>
      <c r="B1545" t="s">
        <v>1905</v>
      </c>
      <c r="C1545" t="s">
        <v>4877</v>
      </c>
    </row>
    <row r="1546" spans="1:3" x14ac:dyDescent="0.3">
      <c r="A1546">
        <v>54454</v>
      </c>
      <c r="B1546" t="s">
        <v>1905</v>
      </c>
      <c r="C1546" t="s">
        <v>4877</v>
      </c>
    </row>
    <row r="1547" spans="1:3" x14ac:dyDescent="0.3">
      <c r="A1547">
        <v>54455</v>
      </c>
      <c r="B1547" t="s">
        <v>1905</v>
      </c>
      <c r="C1547" t="s">
        <v>4877</v>
      </c>
    </row>
    <row r="1548" spans="1:3" x14ac:dyDescent="0.3">
      <c r="A1548">
        <v>54456</v>
      </c>
      <c r="B1548" t="s">
        <v>1905</v>
      </c>
      <c r="C1548" t="s">
        <v>4877</v>
      </c>
    </row>
    <row r="1549" spans="1:3" x14ac:dyDescent="0.3">
      <c r="A1549">
        <v>54461</v>
      </c>
      <c r="B1549" t="s">
        <v>1905</v>
      </c>
      <c r="C1549" t="s">
        <v>4877</v>
      </c>
    </row>
    <row r="1550" spans="1:3" x14ac:dyDescent="0.3">
      <c r="A1550">
        <v>54462</v>
      </c>
      <c r="B1550" t="s">
        <v>1905</v>
      </c>
      <c r="C1550" t="s">
        <v>4877</v>
      </c>
    </row>
    <row r="1551" spans="1:3" x14ac:dyDescent="0.3">
      <c r="A1551">
        <v>54464</v>
      </c>
      <c r="B1551" t="s">
        <v>1905</v>
      </c>
      <c r="C1551" t="s">
        <v>4877</v>
      </c>
    </row>
    <row r="1552" spans="1:3" x14ac:dyDescent="0.3">
      <c r="A1552">
        <v>54466</v>
      </c>
      <c r="B1552" t="s">
        <v>1905</v>
      </c>
      <c r="C1552" t="s">
        <v>4877</v>
      </c>
    </row>
    <row r="1553" spans="1:3" x14ac:dyDescent="0.3">
      <c r="A1553">
        <v>54472</v>
      </c>
      <c r="B1553" t="s">
        <v>1905</v>
      </c>
      <c r="C1553" t="s">
        <v>4877</v>
      </c>
    </row>
    <row r="1554" spans="1:3" x14ac:dyDescent="0.3">
      <c r="A1554">
        <v>54474</v>
      </c>
      <c r="B1554" t="s">
        <v>1905</v>
      </c>
      <c r="C1554" t="s">
        <v>4877</v>
      </c>
    </row>
    <row r="1555" spans="1:3" x14ac:dyDescent="0.3">
      <c r="A1555">
        <v>54475</v>
      </c>
      <c r="B1555" t="s">
        <v>1905</v>
      </c>
      <c r="C1555" t="s">
        <v>4877</v>
      </c>
    </row>
    <row r="1556" spans="1:3" x14ac:dyDescent="0.3">
      <c r="A1556">
        <v>54477</v>
      </c>
      <c r="B1556" t="s">
        <v>1905</v>
      </c>
      <c r="C1556" t="s">
        <v>4877</v>
      </c>
    </row>
    <row r="1557" spans="1:3" x14ac:dyDescent="0.3">
      <c r="A1557">
        <v>54701</v>
      </c>
      <c r="B1557" t="s">
        <v>2364</v>
      </c>
      <c r="C1557" t="s">
        <v>4877</v>
      </c>
    </row>
    <row r="1558" spans="1:3" x14ac:dyDescent="0.3">
      <c r="A1558">
        <v>54901</v>
      </c>
      <c r="B1558" t="s">
        <v>2364</v>
      </c>
      <c r="C1558" t="s">
        <v>4877</v>
      </c>
    </row>
    <row r="1559" spans="1:3" x14ac:dyDescent="0.3">
      <c r="A1559">
        <v>54906</v>
      </c>
      <c r="B1559" t="s">
        <v>2364</v>
      </c>
      <c r="C1559" t="s">
        <v>4877</v>
      </c>
    </row>
    <row r="1560" spans="1:3" x14ac:dyDescent="0.3">
      <c r="A1560">
        <v>54907</v>
      </c>
      <c r="B1560" t="s">
        <v>2364</v>
      </c>
      <c r="C1560" t="s">
        <v>4877</v>
      </c>
    </row>
    <row r="1561" spans="1:3" x14ac:dyDescent="0.3">
      <c r="A1561">
        <v>54908</v>
      </c>
      <c r="B1561" t="s">
        <v>2364</v>
      </c>
      <c r="C1561" t="s">
        <v>4877</v>
      </c>
    </row>
    <row r="1562" spans="1:3" x14ac:dyDescent="0.3">
      <c r="A1562">
        <v>54911</v>
      </c>
      <c r="B1562" t="s">
        <v>2364</v>
      </c>
      <c r="C1562" t="s">
        <v>4877</v>
      </c>
    </row>
    <row r="1563" spans="1:3" x14ac:dyDescent="0.3">
      <c r="A1563">
        <v>54912</v>
      </c>
      <c r="B1563" t="s">
        <v>2364</v>
      </c>
      <c r="C1563" t="s">
        <v>4877</v>
      </c>
    </row>
    <row r="1564" spans="1:3" x14ac:dyDescent="0.3">
      <c r="A1564">
        <v>54921</v>
      </c>
      <c r="B1564" t="s">
        <v>2364</v>
      </c>
      <c r="C1564" t="s">
        <v>4877</v>
      </c>
    </row>
    <row r="1565" spans="1:3" x14ac:dyDescent="0.3">
      <c r="A1565">
        <v>54922</v>
      </c>
      <c r="B1565" t="s">
        <v>2364</v>
      </c>
      <c r="C1565" t="s">
        <v>4877</v>
      </c>
    </row>
    <row r="1566" spans="1:3" x14ac:dyDescent="0.3">
      <c r="A1566">
        <v>54923</v>
      </c>
      <c r="B1566" t="s">
        <v>2364</v>
      </c>
      <c r="C1566" t="s">
        <v>4877</v>
      </c>
    </row>
    <row r="1567" spans="1:3" x14ac:dyDescent="0.3">
      <c r="A1567">
        <v>54931</v>
      </c>
      <c r="B1567" t="s">
        <v>2364</v>
      </c>
      <c r="C1567" t="s">
        <v>4877</v>
      </c>
    </row>
    <row r="1568" spans="1:3" x14ac:dyDescent="0.3">
      <c r="A1568">
        <v>54932</v>
      </c>
      <c r="B1568" t="s">
        <v>2364</v>
      </c>
      <c r="C1568" t="s">
        <v>4877</v>
      </c>
    </row>
    <row r="1569" spans="1:3" x14ac:dyDescent="0.3">
      <c r="A1569">
        <v>54934</v>
      </c>
      <c r="B1569" t="s">
        <v>2364</v>
      </c>
      <c r="C1569" t="s">
        <v>4877</v>
      </c>
    </row>
    <row r="1570" spans="1:3" x14ac:dyDescent="0.3">
      <c r="A1570">
        <v>54936</v>
      </c>
      <c r="B1570" t="s">
        <v>2364</v>
      </c>
      <c r="C1570" t="s">
        <v>4877</v>
      </c>
    </row>
    <row r="1571" spans="1:3" x14ac:dyDescent="0.3">
      <c r="A1571">
        <v>54937</v>
      </c>
      <c r="B1571" t="s">
        <v>2364</v>
      </c>
      <c r="C1571" t="s">
        <v>4877</v>
      </c>
    </row>
    <row r="1572" spans="1:3" x14ac:dyDescent="0.3">
      <c r="A1572">
        <v>54941</v>
      </c>
      <c r="B1572" t="s">
        <v>2364</v>
      </c>
      <c r="C1572" t="s">
        <v>4877</v>
      </c>
    </row>
    <row r="1573" spans="1:3" x14ac:dyDescent="0.3">
      <c r="A1573">
        <v>54946</v>
      </c>
      <c r="B1573" t="s">
        <v>2364</v>
      </c>
      <c r="C1573" t="s">
        <v>4877</v>
      </c>
    </row>
    <row r="1574" spans="1:3" x14ac:dyDescent="0.3">
      <c r="A1574">
        <v>54947</v>
      </c>
      <c r="B1574" t="s">
        <v>2364</v>
      </c>
      <c r="C1574" t="s">
        <v>4877</v>
      </c>
    </row>
    <row r="1575" spans="1:3" x14ac:dyDescent="0.3">
      <c r="A1575">
        <v>54948</v>
      </c>
      <c r="B1575" t="s">
        <v>2364</v>
      </c>
      <c r="C1575" t="s">
        <v>4877</v>
      </c>
    </row>
    <row r="1576" spans="1:3" x14ac:dyDescent="0.3">
      <c r="A1576">
        <v>54952</v>
      </c>
      <c r="B1576" t="s">
        <v>2364</v>
      </c>
      <c r="C1576" t="s">
        <v>4877</v>
      </c>
    </row>
    <row r="1577" spans="1:3" x14ac:dyDescent="0.3">
      <c r="A1577">
        <v>54954</v>
      </c>
      <c r="B1577" t="s">
        <v>2364</v>
      </c>
      <c r="C1577" t="s">
        <v>4877</v>
      </c>
    </row>
    <row r="1578" spans="1:3" x14ac:dyDescent="0.3">
      <c r="A1578">
        <v>54955</v>
      </c>
      <c r="B1578" t="s">
        <v>2364</v>
      </c>
      <c r="C1578" t="s">
        <v>4877</v>
      </c>
    </row>
    <row r="1579" spans="1:3" x14ac:dyDescent="0.3">
      <c r="A1579">
        <v>54956</v>
      </c>
      <c r="B1579" t="s">
        <v>2364</v>
      </c>
      <c r="C1579" t="s">
        <v>4877</v>
      </c>
    </row>
    <row r="1580" spans="1:3" x14ac:dyDescent="0.3">
      <c r="A1580">
        <v>54957</v>
      </c>
      <c r="B1580" t="s">
        <v>2364</v>
      </c>
      <c r="C1580" t="s">
        <v>4877</v>
      </c>
    </row>
    <row r="1581" spans="1:3" x14ac:dyDescent="0.3">
      <c r="A1581">
        <v>54962</v>
      </c>
      <c r="B1581" t="s">
        <v>2364</v>
      </c>
      <c r="C1581" t="s">
        <v>4877</v>
      </c>
    </row>
    <row r="1582" spans="1:3" x14ac:dyDescent="0.3">
      <c r="A1582">
        <v>54963</v>
      </c>
      <c r="B1582" t="s">
        <v>2364</v>
      </c>
      <c r="C1582" t="s">
        <v>4877</v>
      </c>
    </row>
    <row r="1583" spans="1:3" x14ac:dyDescent="0.3">
      <c r="A1583">
        <v>54964</v>
      </c>
      <c r="B1583" t="s">
        <v>2364</v>
      </c>
      <c r="C1583" t="s">
        <v>4877</v>
      </c>
    </row>
    <row r="1584" spans="1:3" x14ac:dyDescent="0.3">
      <c r="A1584">
        <v>54971</v>
      </c>
      <c r="B1584" t="s">
        <v>2364</v>
      </c>
      <c r="C1584" t="s">
        <v>4877</v>
      </c>
    </row>
    <row r="1585" spans="1:3" x14ac:dyDescent="0.3">
      <c r="A1585">
        <v>54972</v>
      </c>
      <c r="B1585" t="s">
        <v>2364</v>
      </c>
      <c r="C1585" t="s">
        <v>4877</v>
      </c>
    </row>
    <row r="1586" spans="1:3" x14ac:dyDescent="0.3">
      <c r="A1586">
        <v>54973</v>
      </c>
      <c r="B1586" t="s">
        <v>2364</v>
      </c>
      <c r="C1586" t="s">
        <v>4877</v>
      </c>
    </row>
    <row r="1587" spans="1:3" x14ac:dyDescent="0.3">
      <c r="A1587">
        <v>54974</v>
      </c>
      <c r="B1587" t="s">
        <v>2364</v>
      </c>
      <c r="C1587" t="s">
        <v>4877</v>
      </c>
    </row>
    <row r="1588" spans="1:3" x14ac:dyDescent="0.3">
      <c r="A1588">
        <v>54981</v>
      </c>
      <c r="B1588" t="s">
        <v>2364</v>
      </c>
      <c r="C1588" t="s">
        <v>4877</v>
      </c>
    </row>
    <row r="1589" spans="1:3" x14ac:dyDescent="0.3">
      <c r="A1589">
        <v>54982</v>
      </c>
      <c r="B1589" t="s">
        <v>2364</v>
      </c>
      <c r="C1589" t="s">
        <v>4877</v>
      </c>
    </row>
    <row r="1590" spans="1:3" x14ac:dyDescent="0.3">
      <c r="A1590">
        <v>54983</v>
      </c>
      <c r="B1590" t="s">
        <v>2364</v>
      </c>
      <c r="C1590" t="s">
        <v>4877</v>
      </c>
    </row>
    <row r="1591" spans="1:3" x14ac:dyDescent="0.3">
      <c r="A1591">
        <v>54984</v>
      </c>
      <c r="B1591" t="s">
        <v>2364</v>
      </c>
      <c r="C1591" t="s">
        <v>4877</v>
      </c>
    </row>
    <row r="1592" spans="1:3" x14ac:dyDescent="0.3">
      <c r="A1592">
        <v>55001</v>
      </c>
      <c r="B1592" t="s">
        <v>2364</v>
      </c>
      <c r="C1592" t="s">
        <v>4877</v>
      </c>
    </row>
    <row r="1593" spans="1:3" x14ac:dyDescent="0.3">
      <c r="A1593">
        <v>55101</v>
      </c>
      <c r="B1593" t="s">
        <v>2364</v>
      </c>
      <c r="C1593" t="s">
        <v>4877</v>
      </c>
    </row>
    <row r="1594" spans="1:3" x14ac:dyDescent="0.3">
      <c r="A1594">
        <v>55102</v>
      </c>
      <c r="B1594" t="s">
        <v>2364</v>
      </c>
      <c r="C1594" t="s">
        <v>4877</v>
      </c>
    </row>
    <row r="1595" spans="1:3" x14ac:dyDescent="0.3">
      <c r="A1595">
        <v>55201</v>
      </c>
      <c r="B1595" t="s">
        <v>2364</v>
      </c>
      <c r="C1595" t="s">
        <v>4877</v>
      </c>
    </row>
    <row r="1596" spans="1:3" x14ac:dyDescent="0.3">
      <c r="A1596">
        <v>55202</v>
      </c>
      <c r="B1596" t="s">
        <v>2364</v>
      </c>
      <c r="C1596" t="s">
        <v>4877</v>
      </c>
    </row>
    <row r="1597" spans="1:3" x14ac:dyDescent="0.3">
      <c r="A1597">
        <v>55203</v>
      </c>
      <c r="B1597" t="s">
        <v>2364</v>
      </c>
      <c r="C1597" t="s">
        <v>4877</v>
      </c>
    </row>
    <row r="1598" spans="1:3" x14ac:dyDescent="0.3">
      <c r="A1598">
        <v>55204</v>
      </c>
      <c r="B1598" t="s">
        <v>2364</v>
      </c>
      <c r="C1598" t="s">
        <v>4877</v>
      </c>
    </row>
    <row r="1599" spans="1:3" x14ac:dyDescent="0.3">
      <c r="A1599">
        <v>55205</v>
      </c>
      <c r="B1599" t="s">
        <v>2364</v>
      </c>
      <c r="C1599" t="s">
        <v>4877</v>
      </c>
    </row>
    <row r="1600" spans="1:3" x14ac:dyDescent="0.3">
      <c r="A1600">
        <v>55211</v>
      </c>
      <c r="B1600" t="s">
        <v>2364</v>
      </c>
      <c r="C1600" t="s">
        <v>4877</v>
      </c>
    </row>
    <row r="1601" spans="1:3" x14ac:dyDescent="0.3">
      <c r="A1601">
        <v>55212</v>
      </c>
      <c r="B1601" t="s">
        <v>2364</v>
      </c>
      <c r="C1601" t="s">
        <v>4877</v>
      </c>
    </row>
    <row r="1602" spans="1:3" x14ac:dyDescent="0.3">
      <c r="A1602">
        <v>55221</v>
      </c>
      <c r="B1602" t="s">
        <v>2364</v>
      </c>
      <c r="C1602" t="s">
        <v>4877</v>
      </c>
    </row>
    <row r="1603" spans="1:3" x14ac:dyDescent="0.3">
      <c r="A1603">
        <v>55222</v>
      </c>
      <c r="B1603" t="s">
        <v>2364</v>
      </c>
      <c r="C1603" t="s">
        <v>4877</v>
      </c>
    </row>
    <row r="1604" spans="1:3" x14ac:dyDescent="0.3">
      <c r="A1604">
        <v>55224</v>
      </c>
      <c r="B1604" t="s">
        <v>2364</v>
      </c>
      <c r="C1604" t="s">
        <v>4877</v>
      </c>
    </row>
    <row r="1605" spans="1:3" x14ac:dyDescent="0.3">
      <c r="A1605">
        <v>55225</v>
      </c>
      <c r="B1605" t="s">
        <v>2364</v>
      </c>
      <c r="C1605" t="s">
        <v>4877</v>
      </c>
    </row>
    <row r="1606" spans="1:3" x14ac:dyDescent="0.3">
      <c r="A1606">
        <v>56002</v>
      </c>
      <c r="B1606" t="s">
        <v>4889</v>
      </c>
      <c r="C1606" t="s">
        <v>4875</v>
      </c>
    </row>
    <row r="1607" spans="1:3" x14ac:dyDescent="0.3">
      <c r="A1607">
        <v>56101</v>
      </c>
      <c r="B1607" t="s">
        <v>4889</v>
      </c>
      <c r="C1607" t="s">
        <v>4875</v>
      </c>
    </row>
    <row r="1608" spans="1:3" x14ac:dyDescent="0.3">
      <c r="A1608">
        <v>56102</v>
      </c>
      <c r="B1608" t="s">
        <v>4889</v>
      </c>
      <c r="C1608" t="s">
        <v>4875</v>
      </c>
    </row>
    <row r="1609" spans="1:3" x14ac:dyDescent="0.3">
      <c r="A1609">
        <v>56112</v>
      </c>
      <c r="B1609" t="s">
        <v>4889</v>
      </c>
      <c r="C1609" t="s">
        <v>4875</v>
      </c>
    </row>
    <row r="1610" spans="1:3" x14ac:dyDescent="0.3">
      <c r="A1610">
        <v>56113</v>
      </c>
      <c r="B1610" t="s">
        <v>4889</v>
      </c>
      <c r="C1610" t="s">
        <v>4875</v>
      </c>
    </row>
    <row r="1611" spans="1:3" x14ac:dyDescent="0.3">
      <c r="A1611">
        <v>56114</v>
      </c>
      <c r="B1611" t="s">
        <v>4889</v>
      </c>
      <c r="C1611" t="s">
        <v>4875</v>
      </c>
    </row>
    <row r="1612" spans="1:3" x14ac:dyDescent="0.3">
      <c r="A1612">
        <v>56115</v>
      </c>
      <c r="B1612" t="s">
        <v>4889</v>
      </c>
      <c r="C1612" t="s">
        <v>4875</v>
      </c>
    </row>
    <row r="1613" spans="1:3" x14ac:dyDescent="0.3">
      <c r="A1613">
        <v>56116</v>
      </c>
      <c r="B1613" t="s">
        <v>4889</v>
      </c>
      <c r="C1613" t="s">
        <v>4875</v>
      </c>
    </row>
    <row r="1614" spans="1:3" x14ac:dyDescent="0.3">
      <c r="A1614">
        <v>56117</v>
      </c>
      <c r="B1614" t="s">
        <v>4889</v>
      </c>
      <c r="C1614" t="s">
        <v>4875</v>
      </c>
    </row>
    <row r="1615" spans="1:3" x14ac:dyDescent="0.3">
      <c r="A1615">
        <v>56118</v>
      </c>
      <c r="B1615" t="s">
        <v>2584</v>
      </c>
      <c r="C1615" t="s">
        <v>4875</v>
      </c>
    </row>
    <row r="1616" spans="1:3" x14ac:dyDescent="0.3">
      <c r="A1616">
        <v>56122</v>
      </c>
      <c r="B1616" t="s">
        <v>4889</v>
      </c>
      <c r="C1616" t="s">
        <v>4875</v>
      </c>
    </row>
    <row r="1617" spans="1:3" x14ac:dyDescent="0.3">
      <c r="A1617">
        <v>56123</v>
      </c>
      <c r="B1617" t="s">
        <v>4889</v>
      </c>
      <c r="C1617" t="s">
        <v>4875</v>
      </c>
    </row>
    <row r="1618" spans="1:3" x14ac:dyDescent="0.3">
      <c r="A1618">
        <v>56124</v>
      </c>
      <c r="B1618" t="s">
        <v>4889</v>
      </c>
      <c r="C1618" t="s">
        <v>4875</v>
      </c>
    </row>
    <row r="1619" spans="1:3" x14ac:dyDescent="0.3">
      <c r="A1619">
        <v>56125</v>
      </c>
      <c r="B1619" t="s">
        <v>4889</v>
      </c>
      <c r="C1619" t="s">
        <v>4875</v>
      </c>
    </row>
    <row r="1620" spans="1:3" x14ac:dyDescent="0.3">
      <c r="A1620">
        <v>56131</v>
      </c>
      <c r="B1620" t="s">
        <v>4889</v>
      </c>
      <c r="C1620" t="s">
        <v>4875</v>
      </c>
    </row>
    <row r="1621" spans="1:3" x14ac:dyDescent="0.3">
      <c r="A1621">
        <v>56132</v>
      </c>
      <c r="B1621" t="s">
        <v>4889</v>
      </c>
      <c r="C1621" t="s">
        <v>4875</v>
      </c>
    </row>
    <row r="1622" spans="1:3" x14ac:dyDescent="0.3">
      <c r="A1622">
        <v>56133</v>
      </c>
      <c r="B1622" t="s">
        <v>4889</v>
      </c>
      <c r="C1622" t="s">
        <v>4875</v>
      </c>
    </row>
    <row r="1623" spans="1:3" x14ac:dyDescent="0.3">
      <c r="A1623">
        <v>56134</v>
      </c>
      <c r="B1623" t="s">
        <v>4889</v>
      </c>
      <c r="C1623" t="s">
        <v>4875</v>
      </c>
    </row>
    <row r="1624" spans="1:3" x14ac:dyDescent="0.3">
      <c r="A1624">
        <v>56141</v>
      </c>
      <c r="B1624" t="s">
        <v>4889</v>
      </c>
      <c r="C1624" t="s">
        <v>4875</v>
      </c>
    </row>
    <row r="1625" spans="1:3" x14ac:dyDescent="0.3">
      <c r="A1625">
        <v>56151</v>
      </c>
      <c r="B1625" t="s">
        <v>4889</v>
      </c>
      <c r="C1625" t="s">
        <v>4875</v>
      </c>
    </row>
    <row r="1626" spans="1:3" x14ac:dyDescent="0.3">
      <c r="A1626">
        <v>56152</v>
      </c>
      <c r="B1626" t="s">
        <v>4889</v>
      </c>
      <c r="C1626" t="s">
        <v>4875</v>
      </c>
    </row>
    <row r="1627" spans="1:3" x14ac:dyDescent="0.3">
      <c r="A1627">
        <v>56153</v>
      </c>
      <c r="B1627" t="s">
        <v>4889</v>
      </c>
      <c r="C1627" t="s">
        <v>4875</v>
      </c>
    </row>
    <row r="1628" spans="1:3" x14ac:dyDescent="0.3">
      <c r="A1628">
        <v>56154</v>
      </c>
      <c r="B1628" t="s">
        <v>4889</v>
      </c>
      <c r="C1628" t="s">
        <v>4875</v>
      </c>
    </row>
    <row r="1629" spans="1:3" x14ac:dyDescent="0.3">
      <c r="A1629">
        <v>56155</v>
      </c>
      <c r="B1629" t="s">
        <v>4889</v>
      </c>
      <c r="C1629" t="s">
        <v>4875</v>
      </c>
    </row>
    <row r="1630" spans="1:3" x14ac:dyDescent="0.3">
      <c r="A1630">
        <v>56156</v>
      </c>
      <c r="B1630" t="s">
        <v>4889</v>
      </c>
      <c r="C1630" t="s">
        <v>4875</v>
      </c>
    </row>
    <row r="1631" spans="1:3" x14ac:dyDescent="0.3">
      <c r="A1631">
        <v>56161</v>
      </c>
      <c r="B1631" t="s">
        <v>4889</v>
      </c>
      <c r="C1631" t="s">
        <v>4875</v>
      </c>
    </row>
    <row r="1632" spans="1:3" x14ac:dyDescent="0.3">
      <c r="A1632">
        <v>56162</v>
      </c>
      <c r="B1632" t="s">
        <v>4889</v>
      </c>
      <c r="C1632" t="s">
        <v>4875</v>
      </c>
    </row>
    <row r="1633" spans="1:3" x14ac:dyDescent="0.3">
      <c r="A1633">
        <v>56163</v>
      </c>
      <c r="B1633" t="s">
        <v>4889</v>
      </c>
      <c r="C1633" t="s">
        <v>4875</v>
      </c>
    </row>
    <row r="1634" spans="1:3" x14ac:dyDescent="0.3">
      <c r="A1634">
        <v>56164</v>
      </c>
      <c r="B1634" t="s">
        <v>4889</v>
      </c>
      <c r="C1634" t="s">
        <v>4875</v>
      </c>
    </row>
    <row r="1635" spans="1:3" x14ac:dyDescent="0.3">
      <c r="A1635">
        <v>56165</v>
      </c>
      <c r="B1635" t="s">
        <v>4889</v>
      </c>
      <c r="C1635" t="s">
        <v>4875</v>
      </c>
    </row>
    <row r="1636" spans="1:3" x14ac:dyDescent="0.3">
      <c r="A1636">
        <v>56166</v>
      </c>
      <c r="B1636" t="s">
        <v>4889</v>
      </c>
      <c r="C1636" t="s">
        <v>4875</v>
      </c>
    </row>
    <row r="1637" spans="1:3" x14ac:dyDescent="0.3">
      <c r="A1637">
        <v>56167</v>
      </c>
      <c r="B1637" t="s">
        <v>4889</v>
      </c>
      <c r="C1637" t="s">
        <v>4875</v>
      </c>
    </row>
    <row r="1638" spans="1:3" x14ac:dyDescent="0.3">
      <c r="A1638">
        <v>56168</v>
      </c>
      <c r="B1638" t="s">
        <v>4889</v>
      </c>
      <c r="C1638" t="s">
        <v>4875</v>
      </c>
    </row>
    <row r="1639" spans="1:3" x14ac:dyDescent="0.3">
      <c r="A1639">
        <v>56169</v>
      </c>
      <c r="B1639" t="s">
        <v>4889</v>
      </c>
      <c r="C1639" t="s">
        <v>4875</v>
      </c>
    </row>
    <row r="1640" spans="1:3" x14ac:dyDescent="0.3">
      <c r="A1640">
        <v>56170</v>
      </c>
      <c r="B1640" t="s">
        <v>4889</v>
      </c>
      <c r="C1640" t="s">
        <v>4875</v>
      </c>
    </row>
    <row r="1641" spans="1:3" x14ac:dyDescent="0.3">
      <c r="A1641">
        <v>56181</v>
      </c>
      <c r="B1641" t="s">
        <v>4889</v>
      </c>
      <c r="C1641" t="s">
        <v>4875</v>
      </c>
    </row>
    <row r="1642" spans="1:3" x14ac:dyDescent="0.3">
      <c r="A1642">
        <v>56182</v>
      </c>
      <c r="B1642" t="s">
        <v>4889</v>
      </c>
      <c r="C1642" t="s">
        <v>4875</v>
      </c>
    </row>
    <row r="1643" spans="1:3" x14ac:dyDescent="0.3">
      <c r="A1643">
        <v>56184</v>
      </c>
      <c r="B1643" t="s">
        <v>4889</v>
      </c>
      <c r="C1643" t="s">
        <v>4875</v>
      </c>
    </row>
    <row r="1644" spans="1:3" x14ac:dyDescent="0.3">
      <c r="A1644">
        <v>56185</v>
      </c>
      <c r="B1644" t="s">
        <v>4889</v>
      </c>
      <c r="C1644" t="s">
        <v>4875</v>
      </c>
    </row>
    <row r="1645" spans="1:3" x14ac:dyDescent="0.3">
      <c r="A1645">
        <v>56186</v>
      </c>
      <c r="B1645" t="s">
        <v>4889</v>
      </c>
      <c r="C1645" t="s">
        <v>4875</v>
      </c>
    </row>
    <row r="1646" spans="1:3" x14ac:dyDescent="0.3">
      <c r="A1646">
        <v>56201</v>
      </c>
      <c r="B1646" t="s">
        <v>4889</v>
      </c>
      <c r="C1646" t="s">
        <v>4875</v>
      </c>
    </row>
    <row r="1647" spans="1:3" x14ac:dyDescent="0.3">
      <c r="A1647">
        <v>56203</v>
      </c>
      <c r="B1647" t="s">
        <v>4889</v>
      </c>
      <c r="C1647" t="s">
        <v>4875</v>
      </c>
    </row>
    <row r="1648" spans="1:3" x14ac:dyDescent="0.3">
      <c r="A1648">
        <v>56204</v>
      </c>
      <c r="B1648" t="s">
        <v>4889</v>
      </c>
      <c r="C1648" t="s">
        <v>4875</v>
      </c>
    </row>
    <row r="1649" spans="1:3" x14ac:dyDescent="0.3">
      <c r="A1649">
        <v>56206</v>
      </c>
      <c r="B1649" t="s">
        <v>4889</v>
      </c>
      <c r="C1649" t="s">
        <v>4875</v>
      </c>
    </row>
    <row r="1650" spans="1:3" x14ac:dyDescent="0.3">
      <c r="A1650">
        <v>56301</v>
      </c>
      <c r="B1650" t="s">
        <v>4889</v>
      </c>
      <c r="C1650" t="s">
        <v>4875</v>
      </c>
    </row>
    <row r="1651" spans="1:3" x14ac:dyDescent="0.3">
      <c r="A1651">
        <v>56401</v>
      </c>
      <c r="B1651" t="s">
        <v>4889</v>
      </c>
      <c r="C1651" t="s">
        <v>4875</v>
      </c>
    </row>
    <row r="1652" spans="1:3" x14ac:dyDescent="0.3">
      <c r="A1652">
        <v>56501</v>
      </c>
      <c r="B1652" t="s">
        <v>4889</v>
      </c>
      <c r="C1652" t="s">
        <v>4875</v>
      </c>
    </row>
    <row r="1653" spans="1:3" x14ac:dyDescent="0.3">
      <c r="A1653">
        <v>56542</v>
      </c>
      <c r="B1653" t="s">
        <v>4889</v>
      </c>
      <c r="C1653" t="s">
        <v>4875</v>
      </c>
    </row>
    <row r="1654" spans="1:3" x14ac:dyDescent="0.3">
      <c r="A1654">
        <v>56543</v>
      </c>
      <c r="B1654" t="s">
        <v>4889</v>
      </c>
      <c r="C1654" t="s">
        <v>4875</v>
      </c>
    </row>
    <row r="1655" spans="1:3" x14ac:dyDescent="0.3">
      <c r="A1655">
        <v>56544</v>
      </c>
      <c r="B1655" t="s">
        <v>4889</v>
      </c>
      <c r="C1655" t="s">
        <v>4875</v>
      </c>
    </row>
    <row r="1656" spans="1:3" x14ac:dyDescent="0.3">
      <c r="A1656">
        <v>56552</v>
      </c>
      <c r="B1656" t="s">
        <v>4889</v>
      </c>
      <c r="C1656" t="s">
        <v>4875</v>
      </c>
    </row>
    <row r="1657" spans="1:3" x14ac:dyDescent="0.3">
      <c r="A1657">
        <v>56553</v>
      </c>
      <c r="B1657" t="s">
        <v>2584</v>
      </c>
      <c r="C1657" t="s">
        <v>4875</v>
      </c>
    </row>
    <row r="1658" spans="1:3" x14ac:dyDescent="0.3">
      <c r="A1658">
        <v>56555</v>
      </c>
      <c r="B1658" t="s">
        <v>4889</v>
      </c>
      <c r="C1658" t="s">
        <v>4875</v>
      </c>
    </row>
    <row r="1659" spans="1:3" x14ac:dyDescent="0.3">
      <c r="A1659">
        <v>56601</v>
      </c>
      <c r="B1659" t="s">
        <v>4889</v>
      </c>
      <c r="C1659" t="s">
        <v>4875</v>
      </c>
    </row>
    <row r="1660" spans="1:3" x14ac:dyDescent="0.3">
      <c r="A1660">
        <v>56802</v>
      </c>
      <c r="B1660" t="s">
        <v>2584</v>
      </c>
      <c r="C1660" t="s">
        <v>4875</v>
      </c>
    </row>
    <row r="1661" spans="1:3" x14ac:dyDescent="0.3">
      <c r="A1661">
        <v>56901</v>
      </c>
      <c r="B1661" t="s">
        <v>2584</v>
      </c>
      <c r="C1661" t="s">
        <v>4875</v>
      </c>
    </row>
    <row r="1662" spans="1:3" x14ac:dyDescent="0.3">
      <c r="A1662">
        <v>56902</v>
      </c>
      <c r="B1662" t="s">
        <v>2584</v>
      </c>
      <c r="C1662" t="s">
        <v>4875</v>
      </c>
    </row>
    <row r="1663" spans="1:3" x14ac:dyDescent="0.3">
      <c r="A1663">
        <v>56903</v>
      </c>
      <c r="B1663" t="s">
        <v>2584</v>
      </c>
      <c r="C1663" t="s">
        <v>4875</v>
      </c>
    </row>
    <row r="1664" spans="1:3" x14ac:dyDescent="0.3">
      <c r="A1664">
        <v>56904</v>
      </c>
      <c r="B1664" t="s">
        <v>2584</v>
      </c>
      <c r="C1664" t="s">
        <v>4875</v>
      </c>
    </row>
    <row r="1665" spans="1:3" x14ac:dyDescent="0.3">
      <c r="A1665">
        <v>56905</v>
      </c>
      <c r="B1665" t="s">
        <v>2584</v>
      </c>
      <c r="C1665" t="s">
        <v>4875</v>
      </c>
    </row>
    <row r="1666" spans="1:3" x14ac:dyDescent="0.3">
      <c r="A1666">
        <v>56906</v>
      </c>
      <c r="B1666" t="s">
        <v>2584</v>
      </c>
      <c r="C1666" t="s">
        <v>4875</v>
      </c>
    </row>
    <row r="1667" spans="1:3" x14ac:dyDescent="0.3">
      <c r="A1667">
        <v>56907</v>
      </c>
      <c r="B1667" t="s">
        <v>2584</v>
      </c>
      <c r="C1667" t="s">
        <v>4875</v>
      </c>
    </row>
    <row r="1668" spans="1:3" x14ac:dyDescent="0.3">
      <c r="A1668">
        <v>56911</v>
      </c>
      <c r="B1668" t="s">
        <v>2584</v>
      </c>
      <c r="C1668" t="s">
        <v>4875</v>
      </c>
    </row>
    <row r="1669" spans="1:3" x14ac:dyDescent="0.3">
      <c r="A1669">
        <v>56912</v>
      </c>
      <c r="B1669" t="s">
        <v>2584</v>
      </c>
      <c r="C1669" t="s">
        <v>4875</v>
      </c>
    </row>
    <row r="1670" spans="1:3" x14ac:dyDescent="0.3">
      <c r="A1670">
        <v>56914</v>
      </c>
      <c r="B1670" t="s">
        <v>2584</v>
      </c>
      <c r="C1670" t="s">
        <v>4875</v>
      </c>
    </row>
    <row r="1671" spans="1:3" x14ac:dyDescent="0.3">
      <c r="A1671">
        <v>56921</v>
      </c>
      <c r="B1671" t="s">
        <v>2584</v>
      </c>
      <c r="C1671" t="s">
        <v>4875</v>
      </c>
    </row>
    <row r="1672" spans="1:3" x14ac:dyDescent="0.3">
      <c r="A1672">
        <v>56922</v>
      </c>
      <c r="B1672" t="s">
        <v>2584</v>
      </c>
      <c r="C1672" t="s">
        <v>4875</v>
      </c>
    </row>
    <row r="1673" spans="1:3" x14ac:dyDescent="0.3">
      <c r="A1673">
        <v>56923</v>
      </c>
      <c r="B1673" t="s">
        <v>2584</v>
      </c>
      <c r="C1673" t="s">
        <v>4875</v>
      </c>
    </row>
    <row r="1674" spans="1:3" x14ac:dyDescent="0.3">
      <c r="A1674">
        <v>56924</v>
      </c>
      <c r="B1674" t="s">
        <v>2584</v>
      </c>
      <c r="C1674" t="s">
        <v>4875</v>
      </c>
    </row>
    <row r="1675" spans="1:3" x14ac:dyDescent="0.3">
      <c r="A1675">
        <v>56932</v>
      </c>
      <c r="B1675" t="s">
        <v>2584</v>
      </c>
      <c r="C1675" t="s">
        <v>4875</v>
      </c>
    </row>
    <row r="1676" spans="1:3" x14ac:dyDescent="0.3">
      <c r="A1676">
        <v>56933</v>
      </c>
      <c r="B1676" t="s">
        <v>2584</v>
      </c>
      <c r="C1676" t="s">
        <v>4875</v>
      </c>
    </row>
    <row r="1677" spans="1:3" x14ac:dyDescent="0.3">
      <c r="A1677">
        <v>56934</v>
      </c>
      <c r="B1677" t="s">
        <v>2584</v>
      </c>
      <c r="C1677" t="s">
        <v>4875</v>
      </c>
    </row>
    <row r="1678" spans="1:3" x14ac:dyDescent="0.3">
      <c r="A1678">
        <v>56935</v>
      </c>
      <c r="B1678" t="s">
        <v>2584</v>
      </c>
      <c r="C1678" t="s">
        <v>4875</v>
      </c>
    </row>
    <row r="1679" spans="1:3" x14ac:dyDescent="0.3">
      <c r="A1679">
        <v>56941</v>
      </c>
      <c r="B1679" t="s">
        <v>2584</v>
      </c>
      <c r="C1679" t="s">
        <v>4875</v>
      </c>
    </row>
    <row r="1680" spans="1:3" x14ac:dyDescent="0.3">
      <c r="A1680">
        <v>56942</v>
      </c>
      <c r="B1680" t="s">
        <v>2584</v>
      </c>
      <c r="C1680" t="s">
        <v>4875</v>
      </c>
    </row>
    <row r="1681" spans="1:3" x14ac:dyDescent="0.3">
      <c r="A1681">
        <v>56943</v>
      </c>
      <c r="B1681" t="s">
        <v>2584</v>
      </c>
      <c r="C1681" t="s">
        <v>4875</v>
      </c>
    </row>
    <row r="1682" spans="1:3" x14ac:dyDescent="0.3">
      <c r="A1682">
        <v>56944</v>
      </c>
      <c r="B1682" t="s">
        <v>2584</v>
      </c>
      <c r="C1682" t="s">
        <v>4875</v>
      </c>
    </row>
    <row r="1683" spans="1:3" x14ac:dyDescent="0.3">
      <c r="A1683">
        <v>56946</v>
      </c>
      <c r="B1683" t="s">
        <v>2584</v>
      </c>
      <c r="C1683" t="s">
        <v>4875</v>
      </c>
    </row>
    <row r="1684" spans="1:3" x14ac:dyDescent="0.3">
      <c r="A1684">
        <v>56951</v>
      </c>
      <c r="B1684" t="s">
        <v>2584</v>
      </c>
      <c r="C1684" t="s">
        <v>4875</v>
      </c>
    </row>
    <row r="1685" spans="1:3" x14ac:dyDescent="0.3">
      <c r="A1685">
        <v>56953</v>
      </c>
      <c r="B1685" t="s">
        <v>2584</v>
      </c>
      <c r="C1685" t="s">
        <v>4875</v>
      </c>
    </row>
    <row r="1686" spans="1:3" x14ac:dyDescent="0.3">
      <c r="A1686">
        <v>56955</v>
      </c>
      <c r="B1686" t="s">
        <v>2584</v>
      </c>
      <c r="C1686" t="s">
        <v>4875</v>
      </c>
    </row>
    <row r="1687" spans="1:3" x14ac:dyDescent="0.3">
      <c r="A1687">
        <v>56956</v>
      </c>
      <c r="B1687" t="s">
        <v>2584</v>
      </c>
      <c r="C1687" t="s">
        <v>4875</v>
      </c>
    </row>
    <row r="1688" spans="1:3" x14ac:dyDescent="0.3">
      <c r="A1688">
        <v>56957</v>
      </c>
      <c r="B1688" t="s">
        <v>2584</v>
      </c>
      <c r="C1688" t="s">
        <v>4875</v>
      </c>
    </row>
    <row r="1689" spans="1:3" x14ac:dyDescent="0.3">
      <c r="A1689">
        <v>56961</v>
      </c>
      <c r="B1689" t="s">
        <v>2584</v>
      </c>
      <c r="C1689" t="s">
        <v>4875</v>
      </c>
    </row>
    <row r="1690" spans="1:3" x14ac:dyDescent="0.3">
      <c r="A1690">
        <v>56962</v>
      </c>
      <c r="B1690" t="s">
        <v>2584</v>
      </c>
      <c r="C1690" t="s">
        <v>4875</v>
      </c>
    </row>
    <row r="1691" spans="1:3" x14ac:dyDescent="0.3">
      <c r="A1691">
        <v>56963</v>
      </c>
      <c r="B1691" t="s">
        <v>2584</v>
      </c>
      <c r="C1691" t="s">
        <v>4875</v>
      </c>
    </row>
    <row r="1692" spans="1:3" x14ac:dyDescent="0.3">
      <c r="A1692">
        <v>56965</v>
      </c>
      <c r="B1692" t="s">
        <v>2584</v>
      </c>
      <c r="C1692" t="s">
        <v>4875</v>
      </c>
    </row>
    <row r="1693" spans="1:3" x14ac:dyDescent="0.3">
      <c r="A1693">
        <v>56966</v>
      </c>
      <c r="B1693" t="s">
        <v>2584</v>
      </c>
      <c r="C1693" t="s">
        <v>4875</v>
      </c>
    </row>
    <row r="1694" spans="1:3" x14ac:dyDescent="0.3">
      <c r="A1694">
        <v>56967</v>
      </c>
      <c r="B1694" t="s">
        <v>2584</v>
      </c>
      <c r="C1694" t="s">
        <v>4875</v>
      </c>
    </row>
    <row r="1695" spans="1:3" x14ac:dyDescent="0.3">
      <c r="A1695">
        <v>56971</v>
      </c>
      <c r="B1695" t="s">
        <v>2584</v>
      </c>
      <c r="C1695" t="s">
        <v>4875</v>
      </c>
    </row>
    <row r="1696" spans="1:3" x14ac:dyDescent="0.3">
      <c r="A1696">
        <v>56972</v>
      </c>
      <c r="B1696" t="s">
        <v>2584</v>
      </c>
      <c r="C1696" t="s">
        <v>4875</v>
      </c>
    </row>
    <row r="1697" spans="1:3" x14ac:dyDescent="0.3">
      <c r="A1697">
        <v>56973</v>
      </c>
      <c r="B1697" t="s">
        <v>2584</v>
      </c>
      <c r="C1697" t="s">
        <v>4875</v>
      </c>
    </row>
    <row r="1698" spans="1:3" x14ac:dyDescent="0.3">
      <c r="A1698">
        <v>56974</v>
      </c>
      <c r="B1698" t="s">
        <v>2584</v>
      </c>
      <c r="C1698" t="s">
        <v>4875</v>
      </c>
    </row>
    <row r="1699" spans="1:3" x14ac:dyDescent="0.3">
      <c r="A1699">
        <v>56982</v>
      </c>
      <c r="B1699" t="s">
        <v>2584</v>
      </c>
      <c r="C1699" t="s">
        <v>4875</v>
      </c>
    </row>
    <row r="1700" spans="1:3" x14ac:dyDescent="0.3">
      <c r="A1700">
        <v>56991</v>
      </c>
      <c r="B1700" t="s">
        <v>2584</v>
      </c>
      <c r="C1700" t="s">
        <v>4875</v>
      </c>
    </row>
    <row r="1701" spans="1:3" x14ac:dyDescent="0.3">
      <c r="A1701">
        <v>56992</v>
      </c>
      <c r="B1701" t="s">
        <v>2584</v>
      </c>
      <c r="C1701" t="s">
        <v>4875</v>
      </c>
    </row>
    <row r="1702" spans="1:3" x14ac:dyDescent="0.3">
      <c r="A1702">
        <v>56993</v>
      </c>
      <c r="B1702" t="s">
        <v>2584</v>
      </c>
      <c r="C1702" t="s">
        <v>4875</v>
      </c>
    </row>
    <row r="1703" spans="1:3" x14ac:dyDescent="0.3">
      <c r="A1703">
        <v>56994</v>
      </c>
      <c r="B1703" t="s">
        <v>2584</v>
      </c>
      <c r="C1703" t="s">
        <v>4875</v>
      </c>
    </row>
    <row r="1704" spans="1:3" x14ac:dyDescent="0.3">
      <c r="A1704">
        <v>57001</v>
      </c>
      <c r="B1704" t="s">
        <v>2584</v>
      </c>
      <c r="C1704" t="s">
        <v>4875</v>
      </c>
    </row>
    <row r="1705" spans="1:3" x14ac:dyDescent="0.3">
      <c r="A1705">
        <v>57101</v>
      </c>
      <c r="B1705" t="s">
        <v>2584</v>
      </c>
      <c r="C1705" t="s">
        <v>4875</v>
      </c>
    </row>
    <row r="1706" spans="1:3" x14ac:dyDescent="0.3">
      <c r="A1706">
        <v>57201</v>
      </c>
      <c r="B1706" t="s">
        <v>2584</v>
      </c>
      <c r="C1706" t="s">
        <v>4875</v>
      </c>
    </row>
    <row r="1707" spans="1:3" x14ac:dyDescent="0.3">
      <c r="A1707">
        <v>58001</v>
      </c>
      <c r="B1707" t="s">
        <v>4890</v>
      </c>
      <c r="C1707" t="s">
        <v>4885</v>
      </c>
    </row>
    <row r="1708" spans="1:3" x14ac:dyDescent="0.3">
      <c r="A1708">
        <v>58221</v>
      </c>
      <c r="B1708" t="s">
        <v>4890</v>
      </c>
      <c r="C1708" t="s">
        <v>4885</v>
      </c>
    </row>
    <row r="1709" spans="1:3" x14ac:dyDescent="0.3">
      <c r="A1709">
        <v>58222</v>
      </c>
      <c r="B1709" t="s">
        <v>4890</v>
      </c>
      <c r="C1709" t="s">
        <v>4885</v>
      </c>
    </row>
    <row r="1710" spans="1:3" x14ac:dyDescent="0.3">
      <c r="A1710">
        <v>58223</v>
      </c>
      <c r="B1710" t="s">
        <v>4890</v>
      </c>
      <c r="C1710" t="s">
        <v>4885</v>
      </c>
    </row>
    <row r="1711" spans="1:3" x14ac:dyDescent="0.3">
      <c r="A1711">
        <v>58224</v>
      </c>
      <c r="B1711" t="s">
        <v>4890</v>
      </c>
      <c r="C1711" t="s">
        <v>4885</v>
      </c>
    </row>
    <row r="1712" spans="1:3" x14ac:dyDescent="0.3">
      <c r="A1712">
        <v>58231</v>
      </c>
      <c r="B1712" t="s">
        <v>4890</v>
      </c>
      <c r="C1712" t="s">
        <v>4885</v>
      </c>
    </row>
    <row r="1713" spans="1:3" x14ac:dyDescent="0.3">
      <c r="A1713">
        <v>58232</v>
      </c>
      <c r="B1713" t="s">
        <v>4890</v>
      </c>
      <c r="C1713" t="s">
        <v>4885</v>
      </c>
    </row>
    <row r="1714" spans="1:3" x14ac:dyDescent="0.3">
      <c r="A1714">
        <v>58233</v>
      </c>
      <c r="B1714" t="s">
        <v>4890</v>
      </c>
      <c r="C1714" t="s">
        <v>4885</v>
      </c>
    </row>
    <row r="1715" spans="1:3" x14ac:dyDescent="0.3">
      <c r="A1715">
        <v>58234</v>
      </c>
      <c r="B1715" t="s">
        <v>4890</v>
      </c>
      <c r="C1715" t="s">
        <v>4885</v>
      </c>
    </row>
    <row r="1716" spans="1:3" x14ac:dyDescent="0.3">
      <c r="A1716">
        <v>58235</v>
      </c>
      <c r="B1716" t="s">
        <v>4890</v>
      </c>
      <c r="C1716" t="s">
        <v>4885</v>
      </c>
    </row>
    <row r="1717" spans="1:3" x14ac:dyDescent="0.3">
      <c r="A1717">
        <v>58241</v>
      </c>
      <c r="B1717" t="s">
        <v>4890</v>
      </c>
      <c r="C1717" t="s">
        <v>4885</v>
      </c>
    </row>
    <row r="1718" spans="1:3" x14ac:dyDescent="0.3">
      <c r="A1718">
        <v>58242</v>
      </c>
      <c r="B1718" t="s">
        <v>4890</v>
      </c>
      <c r="C1718" t="s">
        <v>4885</v>
      </c>
    </row>
    <row r="1719" spans="1:3" x14ac:dyDescent="0.3">
      <c r="A1719">
        <v>58243</v>
      </c>
      <c r="B1719" t="s">
        <v>4890</v>
      </c>
      <c r="C1719" t="s">
        <v>4885</v>
      </c>
    </row>
    <row r="1720" spans="1:3" x14ac:dyDescent="0.3">
      <c r="A1720">
        <v>58244</v>
      </c>
      <c r="B1720" t="s">
        <v>4890</v>
      </c>
      <c r="C1720" t="s">
        <v>4885</v>
      </c>
    </row>
    <row r="1721" spans="1:3" x14ac:dyDescent="0.3">
      <c r="A1721">
        <v>58245</v>
      </c>
      <c r="B1721" t="s">
        <v>4890</v>
      </c>
      <c r="C1721" t="s">
        <v>4885</v>
      </c>
    </row>
    <row r="1722" spans="1:3" x14ac:dyDescent="0.3">
      <c r="A1722">
        <v>58251</v>
      </c>
      <c r="B1722" t="s">
        <v>4890</v>
      </c>
      <c r="C1722" t="s">
        <v>4885</v>
      </c>
    </row>
    <row r="1723" spans="1:3" x14ac:dyDescent="0.3">
      <c r="A1723">
        <v>58252</v>
      </c>
      <c r="B1723" t="s">
        <v>286</v>
      </c>
      <c r="C1723" t="s">
        <v>4885</v>
      </c>
    </row>
    <row r="1724" spans="1:3" x14ac:dyDescent="0.3">
      <c r="A1724">
        <v>58253</v>
      </c>
      <c r="B1724" t="s">
        <v>4890</v>
      </c>
      <c r="C1724" t="s">
        <v>4885</v>
      </c>
    </row>
    <row r="1725" spans="1:3" x14ac:dyDescent="0.3">
      <c r="A1725">
        <v>58254</v>
      </c>
      <c r="B1725" t="s">
        <v>4890</v>
      </c>
      <c r="C1725" t="s">
        <v>4885</v>
      </c>
    </row>
    <row r="1726" spans="1:3" x14ac:dyDescent="0.3">
      <c r="A1726">
        <v>58255</v>
      </c>
      <c r="B1726" t="s">
        <v>4890</v>
      </c>
      <c r="C1726" t="s">
        <v>4885</v>
      </c>
    </row>
    <row r="1727" spans="1:3" x14ac:dyDescent="0.3">
      <c r="A1727">
        <v>58256</v>
      </c>
      <c r="B1727" t="s">
        <v>4890</v>
      </c>
      <c r="C1727" t="s">
        <v>4885</v>
      </c>
    </row>
    <row r="1728" spans="1:3" x14ac:dyDescent="0.3">
      <c r="A1728">
        <v>58257</v>
      </c>
      <c r="B1728" t="s">
        <v>4890</v>
      </c>
      <c r="C1728" t="s">
        <v>4885</v>
      </c>
    </row>
    <row r="1729" spans="1:3" x14ac:dyDescent="0.3">
      <c r="A1729">
        <v>58261</v>
      </c>
      <c r="B1729" t="s">
        <v>4890</v>
      </c>
      <c r="C1729" t="s">
        <v>4885</v>
      </c>
    </row>
    <row r="1730" spans="1:3" x14ac:dyDescent="0.3">
      <c r="A1730">
        <v>58262</v>
      </c>
      <c r="B1730" t="s">
        <v>4890</v>
      </c>
      <c r="C1730" t="s">
        <v>4885</v>
      </c>
    </row>
    <row r="1731" spans="1:3" x14ac:dyDescent="0.3">
      <c r="A1731">
        <v>58263</v>
      </c>
      <c r="B1731" t="s">
        <v>4890</v>
      </c>
      <c r="C1731" t="s">
        <v>4885</v>
      </c>
    </row>
    <row r="1732" spans="1:3" x14ac:dyDescent="0.3">
      <c r="A1732">
        <v>58264</v>
      </c>
      <c r="B1732" t="s">
        <v>4890</v>
      </c>
      <c r="C1732" t="s">
        <v>4885</v>
      </c>
    </row>
    <row r="1733" spans="1:3" x14ac:dyDescent="0.3">
      <c r="A1733">
        <v>58265</v>
      </c>
      <c r="B1733" t="s">
        <v>4890</v>
      </c>
      <c r="C1733" t="s">
        <v>4885</v>
      </c>
    </row>
    <row r="1734" spans="1:3" x14ac:dyDescent="0.3">
      <c r="A1734">
        <v>58266</v>
      </c>
      <c r="B1734" t="s">
        <v>4890</v>
      </c>
      <c r="C1734" t="s">
        <v>4885</v>
      </c>
    </row>
    <row r="1735" spans="1:3" x14ac:dyDescent="0.3">
      <c r="A1735">
        <v>58271</v>
      </c>
      <c r="B1735" t="s">
        <v>4890</v>
      </c>
      <c r="C1735" t="s">
        <v>4885</v>
      </c>
    </row>
    <row r="1736" spans="1:3" x14ac:dyDescent="0.3">
      <c r="A1736">
        <v>58272</v>
      </c>
      <c r="B1736" t="s">
        <v>4890</v>
      </c>
      <c r="C1736" t="s">
        <v>4885</v>
      </c>
    </row>
    <row r="1737" spans="1:3" x14ac:dyDescent="0.3">
      <c r="A1737">
        <v>58273</v>
      </c>
      <c r="B1737" t="s">
        <v>4890</v>
      </c>
      <c r="C1737" t="s">
        <v>4885</v>
      </c>
    </row>
    <row r="1738" spans="1:3" x14ac:dyDescent="0.3">
      <c r="A1738">
        <v>58274</v>
      </c>
      <c r="B1738" t="s">
        <v>4890</v>
      </c>
      <c r="C1738" t="s">
        <v>4885</v>
      </c>
    </row>
    <row r="1739" spans="1:3" x14ac:dyDescent="0.3">
      <c r="A1739">
        <v>58276</v>
      </c>
      <c r="B1739" t="s">
        <v>4890</v>
      </c>
      <c r="C1739" t="s">
        <v>4885</v>
      </c>
    </row>
    <row r="1740" spans="1:3" x14ac:dyDescent="0.3">
      <c r="A1740">
        <v>58277</v>
      </c>
      <c r="B1740" t="s">
        <v>4890</v>
      </c>
      <c r="C1740" t="s">
        <v>4885</v>
      </c>
    </row>
    <row r="1741" spans="1:3" x14ac:dyDescent="0.3">
      <c r="A1741">
        <v>58281</v>
      </c>
      <c r="B1741" t="s">
        <v>4890</v>
      </c>
      <c r="C1741" t="s">
        <v>4885</v>
      </c>
    </row>
    <row r="1742" spans="1:3" x14ac:dyDescent="0.3">
      <c r="A1742">
        <v>58282</v>
      </c>
      <c r="B1742" t="s">
        <v>4890</v>
      </c>
      <c r="C1742" t="s">
        <v>4885</v>
      </c>
    </row>
    <row r="1743" spans="1:3" x14ac:dyDescent="0.3">
      <c r="A1743">
        <v>58283</v>
      </c>
      <c r="B1743" t="s">
        <v>4890</v>
      </c>
      <c r="C1743" t="s">
        <v>4885</v>
      </c>
    </row>
    <row r="1744" spans="1:3" x14ac:dyDescent="0.3">
      <c r="A1744">
        <v>58286</v>
      </c>
      <c r="B1744" t="s">
        <v>4890</v>
      </c>
      <c r="C1744" t="s">
        <v>4885</v>
      </c>
    </row>
    <row r="1745" spans="1:3" x14ac:dyDescent="0.3">
      <c r="A1745">
        <v>58287</v>
      </c>
      <c r="B1745" t="s">
        <v>4890</v>
      </c>
      <c r="C1745" t="s">
        <v>4885</v>
      </c>
    </row>
    <row r="1746" spans="1:3" x14ac:dyDescent="0.3">
      <c r="A1746">
        <v>58291</v>
      </c>
      <c r="B1746" t="s">
        <v>4890</v>
      </c>
      <c r="C1746" t="s">
        <v>4885</v>
      </c>
    </row>
    <row r="1747" spans="1:3" x14ac:dyDescent="0.3">
      <c r="A1747">
        <v>58292</v>
      </c>
      <c r="B1747" t="s">
        <v>4890</v>
      </c>
      <c r="C1747" t="s">
        <v>4885</v>
      </c>
    </row>
    <row r="1748" spans="1:3" x14ac:dyDescent="0.3">
      <c r="A1748">
        <v>58293</v>
      </c>
      <c r="B1748" t="s">
        <v>4890</v>
      </c>
      <c r="C1748" t="s">
        <v>4885</v>
      </c>
    </row>
    <row r="1749" spans="1:3" x14ac:dyDescent="0.3">
      <c r="A1749">
        <v>58294</v>
      </c>
      <c r="B1749" t="s">
        <v>4890</v>
      </c>
      <c r="C1749" t="s">
        <v>4885</v>
      </c>
    </row>
    <row r="1750" spans="1:3" x14ac:dyDescent="0.3">
      <c r="A1750">
        <v>58301</v>
      </c>
      <c r="B1750" t="s">
        <v>4890</v>
      </c>
      <c r="C1750" t="s">
        <v>4885</v>
      </c>
    </row>
    <row r="1751" spans="1:3" x14ac:dyDescent="0.3">
      <c r="A1751">
        <v>58401</v>
      </c>
      <c r="B1751" t="s">
        <v>4890</v>
      </c>
      <c r="C1751" t="s">
        <v>4885</v>
      </c>
    </row>
    <row r="1752" spans="1:3" x14ac:dyDescent="0.3">
      <c r="A1752">
        <v>58601</v>
      </c>
      <c r="B1752" t="s">
        <v>286</v>
      </c>
      <c r="C1752" t="s">
        <v>4885</v>
      </c>
    </row>
    <row r="1753" spans="1:3" x14ac:dyDescent="0.3">
      <c r="A1753">
        <v>58602</v>
      </c>
      <c r="B1753" t="s">
        <v>286</v>
      </c>
      <c r="C1753" t="s">
        <v>4885</v>
      </c>
    </row>
    <row r="1754" spans="1:3" x14ac:dyDescent="0.3">
      <c r="A1754">
        <v>58603</v>
      </c>
      <c r="B1754" t="s">
        <v>286</v>
      </c>
      <c r="C1754" t="s">
        <v>4885</v>
      </c>
    </row>
    <row r="1755" spans="1:3" x14ac:dyDescent="0.3">
      <c r="A1755">
        <v>58617</v>
      </c>
      <c r="B1755" t="s">
        <v>286</v>
      </c>
      <c r="C1755" t="s">
        <v>4885</v>
      </c>
    </row>
    <row r="1756" spans="1:3" x14ac:dyDescent="0.3">
      <c r="A1756">
        <v>58801</v>
      </c>
      <c r="B1756" t="s">
        <v>286</v>
      </c>
      <c r="C1756" t="s">
        <v>4885</v>
      </c>
    </row>
    <row r="1757" spans="1:3" x14ac:dyDescent="0.3">
      <c r="A1757">
        <v>58805</v>
      </c>
      <c r="B1757" t="s">
        <v>286</v>
      </c>
      <c r="C1757" t="s">
        <v>4885</v>
      </c>
    </row>
    <row r="1758" spans="1:3" x14ac:dyDescent="0.3">
      <c r="A1758">
        <v>58811</v>
      </c>
      <c r="B1758" t="s">
        <v>286</v>
      </c>
      <c r="C1758" t="s">
        <v>4885</v>
      </c>
    </row>
    <row r="1759" spans="1:3" x14ac:dyDescent="0.3">
      <c r="A1759">
        <v>58812</v>
      </c>
      <c r="B1759" t="s">
        <v>286</v>
      </c>
      <c r="C1759" t="s">
        <v>4885</v>
      </c>
    </row>
    <row r="1760" spans="1:3" x14ac:dyDescent="0.3">
      <c r="A1760">
        <v>58813</v>
      </c>
      <c r="B1760" t="s">
        <v>286</v>
      </c>
      <c r="C1760" t="s">
        <v>4885</v>
      </c>
    </row>
    <row r="1761" spans="1:3" x14ac:dyDescent="0.3">
      <c r="A1761">
        <v>58821</v>
      </c>
      <c r="B1761" t="s">
        <v>286</v>
      </c>
      <c r="C1761" t="s">
        <v>4885</v>
      </c>
    </row>
    <row r="1762" spans="1:3" x14ac:dyDescent="0.3">
      <c r="A1762">
        <v>58822</v>
      </c>
      <c r="B1762" t="s">
        <v>286</v>
      </c>
      <c r="C1762" t="s">
        <v>4885</v>
      </c>
    </row>
    <row r="1763" spans="1:3" x14ac:dyDescent="0.3">
      <c r="A1763">
        <v>58823</v>
      </c>
      <c r="B1763" t="s">
        <v>286</v>
      </c>
      <c r="C1763" t="s">
        <v>4885</v>
      </c>
    </row>
    <row r="1764" spans="1:3" x14ac:dyDescent="0.3">
      <c r="A1764">
        <v>58824</v>
      </c>
      <c r="B1764" t="s">
        <v>286</v>
      </c>
      <c r="C1764" t="s">
        <v>4885</v>
      </c>
    </row>
    <row r="1765" spans="1:3" x14ac:dyDescent="0.3">
      <c r="A1765">
        <v>58825</v>
      </c>
      <c r="B1765" t="s">
        <v>286</v>
      </c>
      <c r="C1765" t="s">
        <v>4885</v>
      </c>
    </row>
    <row r="1766" spans="1:3" x14ac:dyDescent="0.3">
      <c r="A1766">
        <v>58826</v>
      </c>
      <c r="B1766" t="s">
        <v>286</v>
      </c>
      <c r="C1766" t="s">
        <v>4885</v>
      </c>
    </row>
    <row r="1767" spans="1:3" x14ac:dyDescent="0.3">
      <c r="A1767">
        <v>58827</v>
      </c>
      <c r="B1767" t="s">
        <v>286</v>
      </c>
      <c r="C1767" t="s">
        <v>4885</v>
      </c>
    </row>
    <row r="1768" spans="1:3" x14ac:dyDescent="0.3">
      <c r="A1768">
        <v>58831</v>
      </c>
      <c r="B1768" t="s">
        <v>286</v>
      </c>
      <c r="C1768" t="s">
        <v>4885</v>
      </c>
    </row>
    <row r="1769" spans="1:3" x14ac:dyDescent="0.3">
      <c r="A1769">
        <v>58832</v>
      </c>
      <c r="B1769" t="s">
        <v>286</v>
      </c>
      <c r="C1769" t="s">
        <v>4885</v>
      </c>
    </row>
    <row r="1770" spans="1:3" x14ac:dyDescent="0.3">
      <c r="A1770">
        <v>58833</v>
      </c>
      <c r="B1770" t="s">
        <v>286</v>
      </c>
      <c r="C1770" t="s">
        <v>4885</v>
      </c>
    </row>
    <row r="1771" spans="1:3" x14ac:dyDescent="0.3">
      <c r="A1771">
        <v>58834</v>
      </c>
      <c r="B1771" t="s">
        <v>286</v>
      </c>
      <c r="C1771" t="s">
        <v>4885</v>
      </c>
    </row>
    <row r="1772" spans="1:3" x14ac:dyDescent="0.3">
      <c r="A1772">
        <v>58835</v>
      </c>
      <c r="B1772" t="s">
        <v>286</v>
      </c>
      <c r="C1772" t="s">
        <v>4885</v>
      </c>
    </row>
    <row r="1773" spans="1:3" x14ac:dyDescent="0.3">
      <c r="A1773">
        <v>58841</v>
      </c>
      <c r="B1773" t="s">
        <v>286</v>
      </c>
      <c r="C1773" t="s">
        <v>4885</v>
      </c>
    </row>
    <row r="1774" spans="1:3" x14ac:dyDescent="0.3">
      <c r="A1774">
        <v>58842</v>
      </c>
      <c r="B1774" t="s">
        <v>286</v>
      </c>
      <c r="C1774" t="s">
        <v>4885</v>
      </c>
    </row>
    <row r="1775" spans="1:3" x14ac:dyDescent="0.3">
      <c r="A1775">
        <v>58844</v>
      </c>
      <c r="B1775" t="s">
        <v>286</v>
      </c>
      <c r="C1775" t="s">
        <v>4885</v>
      </c>
    </row>
    <row r="1776" spans="1:3" x14ac:dyDescent="0.3">
      <c r="A1776">
        <v>58845</v>
      </c>
      <c r="B1776" t="s">
        <v>286</v>
      </c>
      <c r="C1776" t="s">
        <v>4885</v>
      </c>
    </row>
    <row r="1777" spans="1:3" x14ac:dyDescent="0.3">
      <c r="A1777">
        <v>58851</v>
      </c>
      <c r="B1777" t="s">
        <v>286</v>
      </c>
      <c r="C1777" t="s">
        <v>4885</v>
      </c>
    </row>
    <row r="1778" spans="1:3" x14ac:dyDescent="0.3">
      <c r="A1778">
        <v>58852</v>
      </c>
      <c r="B1778" t="s">
        <v>286</v>
      </c>
      <c r="C1778" t="s">
        <v>4885</v>
      </c>
    </row>
    <row r="1779" spans="1:3" x14ac:dyDescent="0.3">
      <c r="A1779">
        <v>58854</v>
      </c>
      <c r="B1779" t="s">
        <v>286</v>
      </c>
      <c r="C1779" t="s">
        <v>4885</v>
      </c>
    </row>
    <row r="1780" spans="1:3" x14ac:dyDescent="0.3">
      <c r="A1780">
        <v>58856</v>
      </c>
      <c r="B1780" t="s">
        <v>286</v>
      </c>
      <c r="C1780" t="s">
        <v>4885</v>
      </c>
    </row>
    <row r="1781" spans="1:3" x14ac:dyDescent="0.3">
      <c r="A1781">
        <v>58861</v>
      </c>
      <c r="B1781" t="s">
        <v>286</v>
      </c>
      <c r="C1781" t="s">
        <v>4885</v>
      </c>
    </row>
    <row r="1782" spans="1:3" x14ac:dyDescent="0.3">
      <c r="A1782">
        <v>58862</v>
      </c>
      <c r="B1782" t="s">
        <v>286</v>
      </c>
      <c r="C1782" t="s">
        <v>4885</v>
      </c>
    </row>
    <row r="1783" spans="1:3" x14ac:dyDescent="0.3">
      <c r="A1783">
        <v>58864</v>
      </c>
      <c r="B1783" t="s">
        <v>286</v>
      </c>
      <c r="C1783" t="s">
        <v>4885</v>
      </c>
    </row>
    <row r="1784" spans="1:3" x14ac:dyDescent="0.3">
      <c r="A1784">
        <v>58865</v>
      </c>
      <c r="B1784" t="s">
        <v>286</v>
      </c>
      <c r="C1784" t="s">
        <v>4885</v>
      </c>
    </row>
    <row r="1785" spans="1:3" x14ac:dyDescent="0.3">
      <c r="A1785">
        <v>58866</v>
      </c>
      <c r="B1785" t="s">
        <v>286</v>
      </c>
      <c r="C1785" t="s">
        <v>4885</v>
      </c>
    </row>
    <row r="1786" spans="1:3" x14ac:dyDescent="0.3">
      <c r="A1786">
        <v>58867</v>
      </c>
      <c r="B1786" t="s">
        <v>286</v>
      </c>
      <c r="C1786" t="s">
        <v>4885</v>
      </c>
    </row>
    <row r="1787" spans="1:3" x14ac:dyDescent="0.3">
      <c r="A1787">
        <v>58901</v>
      </c>
      <c r="B1787" t="s">
        <v>286</v>
      </c>
      <c r="C1787" t="s">
        <v>4885</v>
      </c>
    </row>
    <row r="1788" spans="1:3" x14ac:dyDescent="0.3">
      <c r="A1788">
        <v>59101</v>
      </c>
      <c r="B1788" t="s">
        <v>4496</v>
      </c>
      <c r="C1788" t="s">
        <v>4885</v>
      </c>
    </row>
    <row r="1789" spans="1:3" x14ac:dyDescent="0.3">
      <c r="A1789">
        <v>59102</v>
      </c>
      <c r="B1789" t="s">
        <v>4496</v>
      </c>
      <c r="C1789" t="s">
        <v>4885</v>
      </c>
    </row>
    <row r="1790" spans="1:3" x14ac:dyDescent="0.3">
      <c r="A1790">
        <v>59201</v>
      </c>
      <c r="B1790" t="s">
        <v>4496</v>
      </c>
      <c r="C1790" t="s">
        <v>4885</v>
      </c>
    </row>
    <row r="1791" spans="1:3" x14ac:dyDescent="0.3">
      <c r="A1791">
        <v>59202</v>
      </c>
      <c r="B1791" t="s">
        <v>4496</v>
      </c>
      <c r="C1791" t="s">
        <v>4885</v>
      </c>
    </row>
    <row r="1792" spans="1:3" x14ac:dyDescent="0.3">
      <c r="A1792">
        <v>59203</v>
      </c>
      <c r="B1792" t="s">
        <v>4496</v>
      </c>
      <c r="C1792" t="s">
        <v>4885</v>
      </c>
    </row>
    <row r="1793" spans="1:3" x14ac:dyDescent="0.3">
      <c r="A1793">
        <v>59204</v>
      </c>
      <c r="B1793" t="s">
        <v>4496</v>
      </c>
      <c r="C1793" t="s">
        <v>4885</v>
      </c>
    </row>
    <row r="1794" spans="1:3" x14ac:dyDescent="0.3">
      <c r="A1794">
        <v>59211</v>
      </c>
      <c r="B1794" t="s">
        <v>4496</v>
      </c>
      <c r="C1794" t="s">
        <v>4885</v>
      </c>
    </row>
    <row r="1795" spans="1:3" x14ac:dyDescent="0.3">
      <c r="A1795">
        <v>59212</v>
      </c>
      <c r="B1795" t="s">
        <v>4496</v>
      </c>
      <c r="C1795" t="s">
        <v>4885</v>
      </c>
    </row>
    <row r="1796" spans="1:3" x14ac:dyDescent="0.3">
      <c r="A1796">
        <v>59213</v>
      </c>
      <c r="B1796" t="s">
        <v>4496</v>
      </c>
      <c r="C1796" t="s">
        <v>4885</v>
      </c>
    </row>
    <row r="1797" spans="1:3" x14ac:dyDescent="0.3">
      <c r="A1797">
        <v>59214</v>
      </c>
      <c r="B1797" t="s">
        <v>4496</v>
      </c>
      <c r="C1797" t="s">
        <v>4885</v>
      </c>
    </row>
    <row r="1798" spans="1:3" x14ac:dyDescent="0.3">
      <c r="A1798">
        <v>59231</v>
      </c>
      <c r="B1798" t="s">
        <v>4496</v>
      </c>
      <c r="C1798" t="s">
        <v>4885</v>
      </c>
    </row>
    <row r="1799" spans="1:3" x14ac:dyDescent="0.3">
      <c r="A1799">
        <v>59232</v>
      </c>
      <c r="B1799" t="s">
        <v>4496</v>
      </c>
      <c r="C1799" t="s">
        <v>4885</v>
      </c>
    </row>
    <row r="1800" spans="1:3" x14ac:dyDescent="0.3">
      <c r="A1800">
        <v>59233</v>
      </c>
      <c r="B1800" t="s">
        <v>4496</v>
      </c>
      <c r="C1800" t="s">
        <v>4885</v>
      </c>
    </row>
    <row r="1801" spans="1:3" x14ac:dyDescent="0.3">
      <c r="A1801">
        <v>59241</v>
      </c>
      <c r="B1801" t="s">
        <v>4496</v>
      </c>
      <c r="C1801" t="s">
        <v>4885</v>
      </c>
    </row>
    <row r="1802" spans="1:3" x14ac:dyDescent="0.3">
      <c r="A1802">
        <v>59242</v>
      </c>
      <c r="B1802" t="s">
        <v>4496</v>
      </c>
      <c r="C1802" t="s">
        <v>4885</v>
      </c>
    </row>
    <row r="1803" spans="1:3" x14ac:dyDescent="0.3">
      <c r="A1803">
        <v>59244</v>
      </c>
      <c r="B1803" t="s">
        <v>4496</v>
      </c>
      <c r="C1803" t="s">
        <v>4885</v>
      </c>
    </row>
    <row r="1804" spans="1:3" x14ac:dyDescent="0.3">
      <c r="A1804">
        <v>59245</v>
      </c>
      <c r="B1804" t="s">
        <v>4496</v>
      </c>
      <c r="C1804" t="s">
        <v>4885</v>
      </c>
    </row>
    <row r="1805" spans="1:3" x14ac:dyDescent="0.3">
      <c r="A1805">
        <v>59251</v>
      </c>
      <c r="B1805" t="s">
        <v>4496</v>
      </c>
      <c r="C1805" t="s">
        <v>4885</v>
      </c>
    </row>
    <row r="1806" spans="1:3" x14ac:dyDescent="0.3">
      <c r="A1806">
        <v>59252</v>
      </c>
      <c r="B1806" t="s">
        <v>4496</v>
      </c>
      <c r="C1806" t="s">
        <v>4885</v>
      </c>
    </row>
    <row r="1807" spans="1:3" x14ac:dyDescent="0.3">
      <c r="A1807">
        <v>59253</v>
      </c>
      <c r="B1807" t="s">
        <v>4496</v>
      </c>
      <c r="C1807" t="s">
        <v>4885</v>
      </c>
    </row>
    <row r="1808" spans="1:3" x14ac:dyDescent="0.3">
      <c r="A1808">
        <v>59254</v>
      </c>
      <c r="B1808" t="s">
        <v>4496</v>
      </c>
      <c r="C1808" t="s">
        <v>4885</v>
      </c>
    </row>
    <row r="1809" spans="1:3" x14ac:dyDescent="0.3">
      <c r="A1809">
        <v>59255</v>
      </c>
      <c r="B1809" t="s">
        <v>4496</v>
      </c>
      <c r="C1809" t="s">
        <v>4885</v>
      </c>
    </row>
    <row r="1810" spans="1:3" x14ac:dyDescent="0.3">
      <c r="A1810">
        <v>59256</v>
      </c>
      <c r="B1810" t="s">
        <v>4496</v>
      </c>
      <c r="C1810" t="s">
        <v>4885</v>
      </c>
    </row>
    <row r="1811" spans="1:3" x14ac:dyDescent="0.3">
      <c r="A1811">
        <v>59257</v>
      </c>
      <c r="B1811" t="s">
        <v>4496</v>
      </c>
      <c r="C1811" t="s">
        <v>4885</v>
      </c>
    </row>
    <row r="1812" spans="1:3" x14ac:dyDescent="0.3">
      <c r="A1812">
        <v>59261</v>
      </c>
      <c r="B1812" t="s">
        <v>4891</v>
      </c>
      <c r="C1812" t="s">
        <v>4892</v>
      </c>
    </row>
    <row r="1813" spans="1:3" x14ac:dyDescent="0.3">
      <c r="A1813">
        <v>59262</v>
      </c>
      <c r="B1813" t="s">
        <v>4891</v>
      </c>
      <c r="C1813" t="s">
        <v>4892</v>
      </c>
    </row>
    <row r="1814" spans="1:3" x14ac:dyDescent="0.3">
      <c r="A1814">
        <v>59263</v>
      </c>
      <c r="B1814" t="s">
        <v>4496</v>
      </c>
      <c r="C1814" t="s">
        <v>4885</v>
      </c>
    </row>
    <row r="1815" spans="1:3" x14ac:dyDescent="0.3">
      <c r="A1815">
        <v>59264</v>
      </c>
      <c r="B1815" t="s">
        <v>4496</v>
      </c>
      <c r="C1815" t="s">
        <v>4885</v>
      </c>
    </row>
    <row r="1816" spans="1:3" x14ac:dyDescent="0.3">
      <c r="A1816">
        <v>59265</v>
      </c>
      <c r="B1816" t="s">
        <v>4496</v>
      </c>
      <c r="C1816" t="s">
        <v>4885</v>
      </c>
    </row>
    <row r="1817" spans="1:3" x14ac:dyDescent="0.3">
      <c r="A1817">
        <v>59266</v>
      </c>
      <c r="B1817" t="s">
        <v>4496</v>
      </c>
      <c r="C1817" t="s">
        <v>4885</v>
      </c>
    </row>
    <row r="1818" spans="1:3" x14ac:dyDescent="0.3">
      <c r="A1818">
        <v>59301</v>
      </c>
      <c r="B1818" t="s">
        <v>124</v>
      </c>
      <c r="C1818" t="s">
        <v>4892</v>
      </c>
    </row>
    <row r="1819" spans="1:3" x14ac:dyDescent="0.3">
      <c r="A1819">
        <v>59401</v>
      </c>
      <c r="B1819" t="s">
        <v>4496</v>
      </c>
      <c r="C1819" t="s">
        <v>4885</v>
      </c>
    </row>
    <row r="1820" spans="1:3" x14ac:dyDescent="0.3">
      <c r="A1820">
        <v>59441</v>
      </c>
      <c r="B1820" t="s">
        <v>4496</v>
      </c>
      <c r="C1820" t="s">
        <v>4885</v>
      </c>
    </row>
    <row r="1821" spans="1:3" x14ac:dyDescent="0.3">
      <c r="A1821">
        <v>59442</v>
      </c>
      <c r="B1821" t="s">
        <v>4496</v>
      </c>
      <c r="C1821" t="s">
        <v>4885</v>
      </c>
    </row>
    <row r="1822" spans="1:3" x14ac:dyDescent="0.3">
      <c r="A1822">
        <v>59444</v>
      </c>
      <c r="B1822" t="s">
        <v>4496</v>
      </c>
      <c r="C1822" t="s">
        <v>4885</v>
      </c>
    </row>
    <row r="1823" spans="1:3" x14ac:dyDescent="0.3">
      <c r="A1823">
        <v>59445</v>
      </c>
      <c r="B1823" t="s">
        <v>4496</v>
      </c>
      <c r="C1823" t="s">
        <v>4885</v>
      </c>
    </row>
    <row r="1824" spans="1:3" x14ac:dyDescent="0.3">
      <c r="A1824">
        <v>59451</v>
      </c>
      <c r="B1824" t="s">
        <v>4891</v>
      </c>
      <c r="C1824" t="s">
        <v>4892</v>
      </c>
    </row>
    <row r="1825" spans="1:3" x14ac:dyDescent="0.3">
      <c r="A1825">
        <v>59452</v>
      </c>
      <c r="B1825" t="s">
        <v>4496</v>
      </c>
      <c r="C1825" t="s">
        <v>4885</v>
      </c>
    </row>
    <row r="1826" spans="1:3" x14ac:dyDescent="0.3">
      <c r="A1826">
        <v>59453</v>
      </c>
      <c r="B1826" t="s">
        <v>4891</v>
      </c>
      <c r="C1826" t="s">
        <v>4892</v>
      </c>
    </row>
    <row r="1827" spans="1:3" x14ac:dyDescent="0.3">
      <c r="A1827">
        <v>59454</v>
      </c>
      <c r="B1827" t="s">
        <v>4496</v>
      </c>
      <c r="C1827" t="s">
        <v>4885</v>
      </c>
    </row>
    <row r="1828" spans="1:3" x14ac:dyDescent="0.3">
      <c r="A1828">
        <v>59455</v>
      </c>
      <c r="B1828" t="s">
        <v>4891</v>
      </c>
      <c r="C1828" t="s">
        <v>4892</v>
      </c>
    </row>
    <row r="1829" spans="1:3" x14ac:dyDescent="0.3">
      <c r="A1829">
        <v>59456</v>
      </c>
      <c r="B1829" t="s">
        <v>4891</v>
      </c>
      <c r="C1829" t="s">
        <v>4892</v>
      </c>
    </row>
    <row r="1830" spans="1:3" x14ac:dyDescent="0.3">
      <c r="A1830">
        <v>59457</v>
      </c>
      <c r="B1830" t="s">
        <v>4496</v>
      </c>
      <c r="C1830" t="s">
        <v>4885</v>
      </c>
    </row>
    <row r="1831" spans="1:3" x14ac:dyDescent="0.3">
      <c r="A1831">
        <v>59458</v>
      </c>
      <c r="B1831" t="s">
        <v>4496</v>
      </c>
      <c r="C1831" t="s">
        <v>4885</v>
      </c>
    </row>
    <row r="1832" spans="1:3" x14ac:dyDescent="0.3">
      <c r="A1832">
        <v>59461</v>
      </c>
      <c r="B1832" t="s">
        <v>4496</v>
      </c>
      <c r="C1832" t="s">
        <v>4885</v>
      </c>
    </row>
    <row r="1833" spans="1:3" x14ac:dyDescent="0.3">
      <c r="A1833">
        <v>59501</v>
      </c>
      <c r="B1833" t="s">
        <v>4496</v>
      </c>
      <c r="C1833" t="s">
        <v>4885</v>
      </c>
    </row>
    <row r="1834" spans="1:3" x14ac:dyDescent="0.3">
      <c r="A1834">
        <v>60200</v>
      </c>
      <c r="B1834" t="s">
        <v>4893</v>
      </c>
      <c r="C1834" t="s">
        <v>4892</v>
      </c>
    </row>
    <row r="1835" spans="1:3" x14ac:dyDescent="0.3">
      <c r="A1835">
        <v>60300</v>
      </c>
      <c r="B1835" t="s">
        <v>4893</v>
      </c>
      <c r="C1835" t="s">
        <v>4892</v>
      </c>
    </row>
    <row r="1836" spans="1:3" x14ac:dyDescent="0.3">
      <c r="A1836">
        <v>61200</v>
      </c>
      <c r="B1836" t="s">
        <v>4893</v>
      </c>
      <c r="C1836" t="s">
        <v>4892</v>
      </c>
    </row>
    <row r="1837" spans="1:3" x14ac:dyDescent="0.3">
      <c r="A1837">
        <v>61300</v>
      </c>
      <c r="B1837" t="s">
        <v>4893</v>
      </c>
      <c r="C1837" t="s">
        <v>4892</v>
      </c>
    </row>
    <row r="1838" spans="1:3" x14ac:dyDescent="0.3">
      <c r="A1838">
        <v>61400</v>
      </c>
      <c r="B1838" t="s">
        <v>4893</v>
      </c>
      <c r="C1838" t="s">
        <v>4892</v>
      </c>
    </row>
    <row r="1839" spans="1:3" x14ac:dyDescent="0.3">
      <c r="A1839">
        <v>61500</v>
      </c>
      <c r="B1839" t="s">
        <v>4893</v>
      </c>
      <c r="C1839" t="s">
        <v>4892</v>
      </c>
    </row>
    <row r="1840" spans="1:3" x14ac:dyDescent="0.3">
      <c r="A1840">
        <v>61600</v>
      </c>
      <c r="B1840" t="s">
        <v>4893</v>
      </c>
      <c r="C1840" t="s">
        <v>4892</v>
      </c>
    </row>
    <row r="1841" spans="1:3" x14ac:dyDescent="0.3">
      <c r="A1841">
        <v>61700</v>
      </c>
      <c r="B1841" t="s">
        <v>4893</v>
      </c>
      <c r="C1841" t="s">
        <v>4892</v>
      </c>
    </row>
    <row r="1842" spans="1:3" x14ac:dyDescent="0.3">
      <c r="A1842">
        <v>61800</v>
      </c>
      <c r="B1842" t="s">
        <v>4893</v>
      </c>
      <c r="C1842" t="s">
        <v>4892</v>
      </c>
    </row>
    <row r="1843" spans="1:3" x14ac:dyDescent="0.3">
      <c r="A1843">
        <v>61900</v>
      </c>
      <c r="B1843" t="s">
        <v>4893</v>
      </c>
      <c r="C1843" t="s">
        <v>4892</v>
      </c>
    </row>
    <row r="1844" spans="1:3" x14ac:dyDescent="0.3">
      <c r="A1844">
        <v>62000</v>
      </c>
      <c r="B1844" t="s">
        <v>4893</v>
      </c>
      <c r="C1844" t="s">
        <v>4892</v>
      </c>
    </row>
    <row r="1845" spans="1:3" x14ac:dyDescent="0.3">
      <c r="A1845">
        <v>62100</v>
      </c>
      <c r="B1845" t="s">
        <v>4893</v>
      </c>
      <c r="C1845" t="s">
        <v>4892</v>
      </c>
    </row>
    <row r="1846" spans="1:3" x14ac:dyDescent="0.3">
      <c r="A1846">
        <v>62300</v>
      </c>
      <c r="B1846" t="s">
        <v>4893</v>
      </c>
      <c r="C1846" t="s">
        <v>4892</v>
      </c>
    </row>
    <row r="1847" spans="1:3" x14ac:dyDescent="0.3">
      <c r="A1847">
        <v>62400</v>
      </c>
      <c r="B1847" t="s">
        <v>4893</v>
      </c>
      <c r="C1847" t="s">
        <v>4892</v>
      </c>
    </row>
    <row r="1848" spans="1:3" x14ac:dyDescent="0.3">
      <c r="A1848">
        <v>62500</v>
      </c>
      <c r="B1848" t="s">
        <v>4893</v>
      </c>
      <c r="C1848" t="s">
        <v>4892</v>
      </c>
    </row>
    <row r="1849" spans="1:3" x14ac:dyDescent="0.3">
      <c r="A1849">
        <v>62700</v>
      </c>
      <c r="B1849" t="s">
        <v>4893</v>
      </c>
      <c r="C1849" t="s">
        <v>4892</v>
      </c>
    </row>
    <row r="1850" spans="1:3" x14ac:dyDescent="0.3">
      <c r="A1850">
        <v>62800</v>
      </c>
      <c r="B1850" t="s">
        <v>4893</v>
      </c>
      <c r="C1850" t="s">
        <v>4892</v>
      </c>
    </row>
    <row r="1851" spans="1:3" x14ac:dyDescent="0.3">
      <c r="A1851">
        <v>63400</v>
      </c>
      <c r="B1851" t="s">
        <v>4893</v>
      </c>
      <c r="C1851" t="s">
        <v>4892</v>
      </c>
    </row>
    <row r="1852" spans="1:3" x14ac:dyDescent="0.3">
      <c r="A1852">
        <v>63500</v>
      </c>
      <c r="B1852" t="s">
        <v>4893</v>
      </c>
      <c r="C1852" t="s">
        <v>4892</v>
      </c>
    </row>
    <row r="1853" spans="1:3" x14ac:dyDescent="0.3">
      <c r="A1853">
        <v>63600</v>
      </c>
      <c r="B1853" t="s">
        <v>4893</v>
      </c>
      <c r="C1853" t="s">
        <v>4892</v>
      </c>
    </row>
    <row r="1854" spans="1:3" x14ac:dyDescent="0.3">
      <c r="A1854">
        <v>63700</v>
      </c>
      <c r="B1854" t="s">
        <v>4893</v>
      </c>
      <c r="C1854" t="s">
        <v>4892</v>
      </c>
    </row>
    <row r="1855" spans="1:3" x14ac:dyDescent="0.3">
      <c r="A1855">
        <v>63800</v>
      </c>
      <c r="B1855" t="s">
        <v>4893</v>
      </c>
      <c r="C1855" t="s">
        <v>4892</v>
      </c>
    </row>
    <row r="1856" spans="1:3" x14ac:dyDescent="0.3">
      <c r="A1856">
        <v>63900</v>
      </c>
      <c r="B1856" t="s">
        <v>4893</v>
      </c>
      <c r="C1856" t="s">
        <v>4892</v>
      </c>
    </row>
    <row r="1857" spans="1:3" x14ac:dyDescent="0.3">
      <c r="A1857">
        <v>64100</v>
      </c>
      <c r="B1857" t="s">
        <v>4893</v>
      </c>
      <c r="C1857" t="s">
        <v>4892</v>
      </c>
    </row>
    <row r="1858" spans="1:3" x14ac:dyDescent="0.3">
      <c r="A1858">
        <v>64200</v>
      </c>
      <c r="B1858" t="s">
        <v>4893</v>
      </c>
      <c r="C1858" t="s">
        <v>4892</v>
      </c>
    </row>
    <row r="1859" spans="1:3" x14ac:dyDescent="0.3">
      <c r="A1859">
        <v>64300</v>
      </c>
      <c r="B1859" t="s">
        <v>4893</v>
      </c>
      <c r="C1859" t="s">
        <v>4892</v>
      </c>
    </row>
    <row r="1860" spans="1:3" x14ac:dyDescent="0.3">
      <c r="A1860">
        <v>64400</v>
      </c>
      <c r="B1860" t="s">
        <v>4893</v>
      </c>
      <c r="C1860" t="s">
        <v>4892</v>
      </c>
    </row>
    <row r="1861" spans="1:3" x14ac:dyDescent="0.3">
      <c r="A1861">
        <v>64700</v>
      </c>
      <c r="B1861" t="s">
        <v>4893</v>
      </c>
      <c r="C1861" t="s">
        <v>4892</v>
      </c>
    </row>
    <row r="1862" spans="1:3" x14ac:dyDescent="0.3">
      <c r="A1862">
        <v>66401</v>
      </c>
      <c r="B1862" t="s">
        <v>4891</v>
      </c>
      <c r="C1862" t="s">
        <v>4892</v>
      </c>
    </row>
    <row r="1863" spans="1:3" x14ac:dyDescent="0.3">
      <c r="A1863">
        <v>66402</v>
      </c>
      <c r="B1863" t="s">
        <v>4891</v>
      </c>
      <c r="C1863" t="s">
        <v>4892</v>
      </c>
    </row>
    <row r="1864" spans="1:3" x14ac:dyDescent="0.3">
      <c r="A1864">
        <v>66403</v>
      </c>
      <c r="B1864" t="s">
        <v>4891</v>
      </c>
      <c r="C1864" t="s">
        <v>4892</v>
      </c>
    </row>
    <row r="1865" spans="1:3" x14ac:dyDescent="0.3">
      <c r="A1865">
        <v>66404</v>
      </c>
      <c r="B1865" t="s">
        <v>4891</v>
      </c>
      <c r="C1865" t="s">
        <v>4892</v>
      </c>
    </row>
    <row r="1866" spans="1:3" x14ac:dyDescent="0.3">
      <c r="A1866">
        <v>66405</v>
      </c>
      <c r="B1866" t="s">
        <v>4891</v>
      </c>
      <c r="C1866" t="s">
        <v>4892</v>
      </c>
    </row>
    <row r="1867" spans="1:3" x14ac:dyDescent="0.3">
      <c r="A1867">
        <v>66406</v>
      </c>
      <c r="B1867" t="s">
        <v>4891</v>
      </c>
      <c r="C1867" t="s">
        <v>4892</v>
      </c>
    </row>
    <row r="1868" spans="1:3" x14ac:dyDescent="0.3">
      <c r="A1868">
        <v>66407</v>
      </c>
      <c r="B1868" t="s">
        <v>4891</v>
      </c>
      <c r="C1868" t="s">
        <v>4892</v>
      </c>
    </row>
    <row r="1869" spans="1:3" x14ac:dyDescent="0.3">
      <c r="A1869">
        <v>66408</v>
      </c>
      <c r="B1869" t="s">
        <v>4891</v>
      </c>
      <c r="C1869" t="s">
        <v>4892</v>
      </c>
    </row>
    <row r="1870" spans="1:3" x14ac:dyDescent="0.3">
      <c r="A1870">
        <v>66411</v>
      </c>
      <c r="B1870" t="s">
        <v>4891</v>
      </c>
      <c r="C1870" t="s">
        <v>4892</v>
      </c>
    </row>
    <row r="1871" spans="1:3" x14ac:dyDescent="0.3">
      <c r="A1871">
        <v>66412</v>
      </c>
      <c r="B1871" t="s">
        <v>4891</v>
      </c>
      <c r="C1871" t="s">
        <v>4892</v>
      </c>
    </row>
    <row r="1872" spans="1:3" x14ac:dyDescent="0.3">
      <c r="A1872">
        <v>66417</v>
      </c>
      <c r="B1872" t="s">
        <v>4891</v>
      </c>
      <c r="C1872" t="s">
        <v>4892</v>
      </c>
    </row>
    <row r="1873" spans="1:3" x14ac:dyDescent="0.3">
      <c r="A1873">
        <v>66423</v>
      </c>
      <c r="B1873" t="s">
        <v>4891</v>
      </c>
      <c r="C1873" t="s">
        <v>4892</v>
      </c>
    </row>
    <row r="1874" spans="1:3" x14ac:dyDescent="0.3">
      <c r="A1874">
        <v>66424</v>
      </c>
      <c r="B1874" t="s">
        <v>4891</v>
      </c>
      <c r="C1874" t="s">
        <v>4892</v>
      </c>
    </row>
    <row r="1875" spans="1:3" x14ac:dyDescent="0.3">
      <c r="A1875">
        <v>66431</v>
      </c>
      <c r="B1875" t="s">
        <v>4891</v>
      </c>
      <c r="C1875" t="s">
        <v>4892</v>
      </c>
    </row>
    <row r="1876" spans="1:3" x14ac:dyDescent="0.3">
      <c r="A1876">
        <v>66432</v>
      </c>
      <c r="B1876" t="s">
        <v>4891</v>
      </c>
      <c r="C1876" t="s">
        <v>4892</v>
      </c>
    </row>
    <row r="1877" spans="1:3" x14ac:dyDescent="0.3">
      <c r="A1877">
        <v>66434</v>
      </c>
      <c r="B1877" t="s">
        <v>4893</v>
      </c>
      <c r="C1877" t="s">
        <v>4892</v>
      </c>
    </row>
    <row r="1878" spans="1:3" x14ac:dyDescent="0.3">
      <c r="A1878">
        <v>66441</v>
      </c>
      <c r="B1878" t="s">
        <v>4891</v>
      </c>
      <c r="C1878" t="s">
        <v>4892</v>
      </c>
    </row>
    <row r="1879" spans="1:3" x14ac:dyDescent="0.3">
      <c r="A1879">
        <v>66442</v>
      </c>
      <c r="B1879" t="s">
        <v>4893</v>
      </c>
      <c r="C1879" t="s">
        <v>4892</v>
      </c>
    </row>
    <row r="1880" spans="1:3" x14ac:dyDescent="0.3">
      <c r="A1880">
        <v>66443</v>
      </c>
      <c r="B1880" t="s">
        <v>4891</v>
      </c>
      <c r="C1880" t="s">
        <v>4892</v>
      </c>
    </row>
    <row r="1881" spans="1:3" x14ac:dyDescent="0.3">
      <c r="A1881">
        <v>66444</v>
      </c>
      <c r="B1881" t="s">
        <v>4891</v>
      </c>
      <c r="C1881" t="s">
        <v>4892</v>
      </c>
    </row>
    <row r="1882" spans="1:3" x14ac:dyDescent="0.3">
      <c r="A1882">
        <v>66446</v>
      </c>
      <c r="B1882" t="s">
        <v>4891</v>
      </c>
      <c r="C1882" t="s">
        <v>4892</v>
      </c>
    </row>
    <row r="1883" spans="1:3" x14ac:dyDescent="0.3">
      <c r="A1883">
        <v>66447</v>
      </c>
      <c r="B1883" t="s">
        <v>4891</v>
      </c>
      <c r="C1883" t="s">
        <v>4892</v>
      </c>
    </row>
    <row r="1884" spans="1:3" x14ac:dyDescent="0.3">
      <c r="A1884">
        <v>66448</v>
      </c>
      <c r="B1884" t="s">
        <v>4891</v>
      </c>
      <c r="C1884" t="s">
        <v>4892</v>
      </c>
    </row>
    <row r="1885" spans="1:3" x14ac:dyDescent="0.3">
      <c r="A1885">
        <v>66449</v>
      </c>
      <c r="B1885" t="s">
        <v>4891</v>
      </c>
      <c r="C1885" t="s">
        <v>4892</v>
      </c>
    </row>
    <row r="1886" spans="1:3" x14ac:dyDescent="0.3">
      <c r="A1886">
        <v>66451</v>
      </c>
      <c r="B1886" t="s">
        <v>4891</v>
      </c>
      <c r="C1886" t="s">
        <v>4892</v>
      </c>
    </row>
    <row r="1887" spans="1:3" x14ac:dyDescent="0.3">
      <c r="A1887">
        <v>66452</v>
      </c>
      <c r="B1887" t="s">
        <v>4891</v>
      </c>
      <c r="C1887" t="s">
        <v>4892</v>
      </c>
    </row>
    <row r="1888" spans="1:3" x14ac:dyDescent="0.3">
      <c r="A1888">
        <v>66453</v>
      </c>
      <c r="B1888" t="s">
        <v>4891</v>
      </c>
      <c r="C1888" t="s">
        <v>4892</v>
      </c>
    </row>
    <row r="1889" spans="1:3" x14ac:dyDescent="0.3">
      <c r="A1889">
        <v>66454</v>
      </c>
      <c r="B1889" t="s">
        <v>4891</v>
      </c>
      <c r="C1889" t="s">
        <v>4892</v>
      </c>
    </row>
    <row r="1890" spans="1:3" x14ac:dyDescent="0.3">
      <c r="A1890">
        <v>66455</v>
      </c>
      <c r="B1890" t="s">
        <v>4891</v>
      </c>
      <c r="C1890" t="s">
        <v>4892</v>
      </c>
    </row>
    <row r="1891" spans="1:3" x14ac:dyDescent="0.3">
      <c r="A1891">
        <v>66456</v>
      </c>
      <c r="B1891" t="s">
        <v>4891</v>
      </c>
      <c r="C1891" t="s">
        <v>4892</v>
      </c>
    </row>
    <row r="1892" spans="1:3" x14ac:dyDescent="0.3">
      <c r="A1892">
        <v>66457</v>
      </c>
      <c r="B1892" t="s">
        <v>4891</v>
      </c>
      <c r="C1892" t="s">
        <v>4892</v>
      </c>
    </row>
    <row r="1893" spans="1:3" x14ac:dyDescent="0.3">
      <c r="A1893">
        <v>66458</v>
      </c>
      <c r="B1893" t="s">
        <v>4891</v>
      </c>
      <c r="C1893" t="s">
        <v>4892</v>
      </c>
    </row>
    <row r="1894" spans="1:3" x14ac:dyDescent="0.3">
      <c r="A1894">
        <v>66459</v>
      </c>
      <c r="B1894" t="s">
        <v>4891</v>
      </c>
      <c r="C1894" t="s">
        <v>4892</v>
      </c>
    </row>
    <row r="1895" spans="1:3" x14ac:dyDescent="0.3">
      <c r="A1895">
        <v>66461</v>
      </c>
      <c r="B1895" t="s">
        <v>4891</v>
      </c>
      <c r="C1895" t="s">
        <v>4892</v>
      </c>
    </row>
    <row r="1896" spans="1:3" x14ac:dyDescent="0.3">
      <c r="A1896">
        <v>66462</v>
      </c>
      <c r="B1896" t="s">
        <v>4891</v>
      </c>
      <c r="C1896" t="s">
        <v>4892</v>
      </c>
    </row>
    <row r="1897" spans="1:3" x14ac:dyDescent="0.3">
      <c r="A1897">
        <v>66463</v>
      </c>
      <c r="B1897" t="s">
        <v>4891</v>
      </c>
      <c r="C1897" t="s">
        <v>4892</v>
      </c>
    </row>
    <row r="1898" spans="1:3" x14ac:dyDescent="0.3">
      <c r="A1898">
        <v>66464</v>
      </c>
      <c r="B1898" t="s">
        <v>4891</v>
      </c>
      <c r="C1898" t="s">
        <v>4892</v>
      </c>
    </row>
    <row r="1899" spans="1:3" x14ac:dyDescent="0.3">
      <c r="A1899">
        <v>66465</v>
      </c>
      <c r="B1899" t="s">
        <v>4891</v>
      </c>
      <c r="C1899" t="s">
        <v>4892</v>
      </c>
    </row>
    <row r="1900" spans="1:3" x14ac:dyDescent="0.3">
      <c r="A1900">
        <v>66466</v>
      </c>
      <c r="B1900" t="s">
        <v>4891</v>
      </c>
      <c r="C1900" t="s">
        <v>4892</v>
      </c>
    </row>
    <row r="1901" spans="1:3" x14ac:dyDescent="0.3">
      <c r="A1901">
        <v>66467</v>
      </c>
      <c r="B1901" t="s">
        <v>4891</v>
      </c>
      <c r="C1901" t="s">
        <v>4892</v>
      </c>
    </row>
    <row r="1902" spans="1:3" x14ac:dyDescent="0.3">
      <c r="A1902">
        <v>66471</v>
      </c>
      <c r="B1902" t="s">
        <v>4891</v>
      </c>
      <c r="C1902" t="s">
        <v>4892</v>
      </c>
    </row>
    <row r="1903" spans="1:3" x14ac:dyDescent="0.3">
      <c r="A1903">
        <v>66475</v>
      </c>
      <c r="B1903" t="s">
        <v>4891</v>
      </c>
      <c r="C1903" t="s">
        <v>4892</v>
      </c>
    </row>
    <row r="1904" spans="1:3" x14ac:dyDescent="0.3">
      <c r="A1904">
        <v>66481</v>
      </c>
      <c r="B1904" t="s">
        <v>4891</v>
      </c>
      <c r="C1904" t="s">
        <v>4892</v>
      </c>
    </row>
    <row r="1905" spans="1:3" x14ac:dyDescent="0.3">
      <c r="A1905">
        <v>66482</v>
      </c>
      <c r="B1905" t="s">
        <v>4891</v>
      </c>
      <c r="C1905" t="s">
        <v>4892</v>
      </c>
    </row>
    <row r="1906" spans="1:3" x14ac:dyDescent="0.3">
      <c r="A1906">
        <v>66483</v>
      </c>
      <c r="B1906" t="s">
        <v>4891</v>
      </c>
      <c r="C1906" t="s">
        <v>4892</v>
      </c>
    </row>
    <row r="1907" spans="1:3" x14ac:dyDescent="0.3">
      <c r="A1907">
        <v>66484</v>
      </c>
      <c r="B1907" t="s">
        <v>4891</v>
      </c>
      <c r="C1907" t="s">
        <v>4892</v>
      </c>
    </row>
    <row r="1908" spans="1:3" x14ac:dyDescent="0.3">
      <c r="A1908">
        <v>66491</v>
      </c>
      <c r="B1908" t="s">
        <v>4891</v>
      </c>
      <c r="C1908" t="s">
        <v>4892</v>
      </c>
    </row>
    <row r="1909" spans="1:3" x14ac:dyDescent="0.3">
      <c r="A1909">
        <v>66501</v>
      </c>
      <c r="B1909" t="s">
        <v>4891</v>
      </c>
      <c r="C1909" t="s">
        <v>4892</v>
      </c>
    </row>
    <row r="1910" spans="1:3" x14ac:dyDescent="0.3">
      <c r="A1910">
        <v>66601</v>
      </c>
      <c r="B1910" t="s">
        <v>4891</v>
      </c>
      <c r="C1910" t="s">
        <v>4892</v>
      </c>
    </row>
    <row r="1911" spans="1:3" x14ac:dyDescent="0.3">
      <c r="A1911">
        <v>66602</v>
      </c>
      <c r="B1911" t="s">
        <v>4891</v>
      </c>
      <c r="C1911" t="s">
        <v>4892</v>
      </c>
    </row>
    <row r="1912" spans="1:3" x14ac:dyDescent="0.3">
      <c r="A1912">
        <v>66603</v>
      </c>
      <c r="B1912" t="s">
        <v>4891</v>
      </c>
      <c r="C1912" t="s">
        <v>4892</v>
      </c>
    </row>
    <row r="1913" spans="1:3" x14ac:dyDescent="0.3">
      <c r="A1913">
        <v>66701</v>
      </c>
      <c r="B1913" t="s">
        <v>4891</v>
      </c>
      <c r="C1913" t="s">
        <v>4892</v>
      </c>
    </row>
    <row r="1914" spans="1:3" x14ac:dyDescent="0.3">
      <c r="A1914">
        <v>66902</v>
      </c>
      <c r="B1914" t="s">
        <v>291</v>
      </c>
      <c r="C1914" t="s">
        <v>4892</v>
      </c>
    </row>
    <row r="1915" spans="1:3" x14ac:dyDescent="0.3">
      <c r="A1915">
        <v>66904</v>
      </c>
      <c r="B1915" t="s">
        <v>291</v>
      </c>
      <c r="C1915" t="s">
        <v>4892</v>
      </c>
    </row>
    <row r="1916" spans="1:3" x14ac:dyDescent="0.3">
      <c r="A1916">
        <v>67101</v>
      </c>
      <c r="B1916" t="s">
        <v>291</v>
      </c>
      <c r="C1916" t="s">
        <v>4892</v>
      </c>
    </row>
    <row r="1917" spans="1:3" x14ac:dyDescent="0.3">
      <c r="A1917">
        <v>67102</v>
      </c>
      <c r="B1917" t="s">
        <v>291</v>
      </c>
      <c r="C1917" t="s">
        <v>4892</v>
      </c>
    </row>
    <row r="1918" spans="1:3" x14ac:dyDescent="0.3">
      <c r="A1918">
        <v>67103</v>
      </c>
      <c r="B1918" t="s">
        <v>291</v>
      </c>
      <c r="C1918" t="s">
        <v>4892</v>
      </c>
    </row>
    <row r="1919" spans="1:3" x14ac:dyDescent="0.3">
      <c r="A1919">
        <v>67106</v>
      </c>
      <c r="B1919" t="s">
        <v>291</v>
      </c>
      <c r="C1919" t="s">
        <v>4892</v>
      </c>
    </row>
    <row r="1920" spans="1:3" x14ac:dyDescent="0.3">
      <c r="A1920">
        <v>67107</v>
      </c>
      <c r="B1920" t="s">
        <v>291</v>
      </c>
      <c r="C1920" t="s">
        <v>4892</v>
      </c>
    </row>
    <row r="1921" spans="1:3" x14ac:dyDescent="0.3">
      <c r="A1921">
        <v>67110</v>
      </c>
      <c r="B1921" t="s">
        <v>291</v>
      </c>
      <c r="C1921" t="s">
        <v>4892</v>
      </c>
    </row>
    <row r="1922" spans="1:3" x14ac:dyDescent="0.3">
      <c r="A1922">
        <v>67122</v>
      </c>
      <c r="B1922" t="s">
        <v>291</v>
      </c>
      <c r="C1922" t="s">
        <v>4892</v>
      </c>
    </row>
    <row r="1923" spans="1:3" x14ac:dyDescent="0.3">
      <c r="A1923">
        <v>67123</v>
      </c>
      <c r="B1923" t="s">
        <v>291</v>
      </c>
      <c r="C1923" t="s">
        <v>4892</v>
      </c>
    </row>
    <row r="1924" spans="1:3" x14ac:dyDescent="0.3">
      <c r="A1924">
        <v>67124</v>
      </c>
      <c r="B1924" t="s">
        <v>291</v>
      </c>
      <c r="C1924" t="s">
        <v>4892</v>
      </c>
    </row>
    <row r="1925" spans="1:3" x14ac:dyDescent="0.3">
      <c r="A1925">
        <v>67125</v>
      </c>
      <c r="B1925" t="s">
        <v>291</v>
      </c>
      <c r="C1925" t="s">
        <v>4892</v>
      </c>
    </row>
    <row r="1926" spans="1:3" x14ac:dyDescent="0.3">
      <c r="A1926">
        <v>67126</v>
      </c>
      <c r="B1926" t="s">
        <v>291</v>
      </c>
      <c r="C1926" t="s">
        <v>4892</v>
      </c>
    </row>
    <row r="1927" spans="1:3" x14ac:dyDescent="0.3">
      <c r="A1927">
        <v>67127</v>
      </c>
      <c r="B1927" t="s">
        <v>291</v>
      </c>
      <c r="C1927" t="s">
        <v>4892</v>
      </c>
    </row>
    <row r="1928" spans="1:3" x14ac:dyDescent="0.3">
      <c r="A1928">
        <v>67128</v>
      </c>
      <c r="B1928" t="s">
        <v>291</v>
      </c>
      <c r="C1928" t="s">
        <v>4892</v>
      </c>
    </row>
    <row r="1929" spans="1:3" x14ac:dyDescent="0.3">
      <c r="A1929">
        <v>67129</v>
      </c>
      <c r="B1929" t="s">
        <v>291</v>
      </c>
      <c r="C1929" t="s">
        <v>4892</v>
      </c>
    </row>
    <row r="1930" spans="1:3" x14ac:dyDescent="0.3">
      <c r="A1930">
        <v>67131</v>
      </c>
      <c r="B1930" t="s">
        <v>291</v>
      </c>
      <c r="C1930" t="s">
        <v>4892</v>
      </c>
    </row>
    <row r="1931" spans="1:3" x14ac:dyDescent="0.3">
      <c r="A1931">
        <v>67132</v>
      </c>
      <c r="B1931" t="s">
        <v>291</v>
      </c>
      <c r="C1931" t="s">
        <v>4892</v>
      </c>
    </row>
    <row r="1932" spans="1:3" x14ac:dyDescent="0.3">
      <c r="A1932">
        <v>67133</v>
      </c>
      <c r="B1932" t="s">
        <v>291</v>
      </c>
      <c r="C1932" t="s">
        <v>4892</v>
      </c>
    </row>
    <row r="1933" spans="1:3" x14ac:dyDescent="0.3">
      <c r="A1933">
        <v>67134</v>
      </c>
      <c r="B1933" t="s">
        <v>291</v>
      </c>
      <c r="C1933" t="s">
        <v>4892</v>
      </c>
    </row>
    <row r="1934" spans="1:3" x14ac:dyDescent="0.3">
      <c r="A1934">
        <v>67138</v>
      </c>
      <c r="B1934" t="s">
        <v>291</v>
      </c>
      <c r="C1934" t="s">
        <v>4892</v>
      </c>
    </row>
    <row r="1935" spans="1:3" x14ac:dyDescent="0.3">
      <c r="A1935">
        <v>67139</v>
      </c>
      <c r="B1935" t="s">
        <v>291</v>
      </c>
      <c r="C1935" t="s">
        <v>4892</v>
      </c>
    </row>
    <row r="1936" spans="1:3" x14ac:dyDescent="0.3">
      <c r="A1936">
        <v>67140</v>
      </c>
      <c r="B1936" t="s">
        <v>291</v>
      </c>
      <c r="C1936" t="s">
        <v>4892</v>
      </c>
    </row>
    <row r="1937" spans="1:3" x14ac:dyDescent="0.3">
      <c r="A1937">
        <v>67142</v>
      </c>
      <c r="B1937" t="s">
        <v>291</v>
      </c>
      <c r="C1937" t="s">
        <v>4892</v>
      </c>
    </row>
    <row r="1938" spans="1:3" x14ac:dyDescent="0.3">
      <c r="A1938">
        <v>67151</v>
      </c>
      <c r="B1938" t="s">
        <v>291</v>
      </c>
      <c r="C1938" t="s">
        <v>4892</v>
      </c>
    </row>
    <row r="1939" spans="1:3" x14ac:dyDescent="0.3">
      <c r="A1939">
        <v>67152</v>
      </c>
      <c r="B1939" t="s">
        <v>291</v>
      </c>
      <c r="C1939" t="s">
        <v>4892</v>
      </c>
    </row>
    <row r="1940" spans="1:3" x14ac:dyDescent="0.3">
      <c r="A1940">
        <v>67153</v>
      </c>
      <c r="B1940" t="s">
        <v>291</v>
      </c>
      <c r="C1940" t="s">
        <v>4892</v>
      </c>
    </row>
    <row r="1941" spans="1:3" x14ac:dyDescent="0.3">
      <c r="A1941">
        <v>67154</v>
      </c>
      <c r="B1941" t="s">
        <v>291</v>
      </c>
      <c r="C1941" t="s">
        <v>4892</v>
      </c>
    </row>
    <row r="1942" spans="1:3" x14ac:dyDescent="0.3">
      <c r="A1942">
        <v>67155</v>
      </c>
      <c r="B1942" t="s">
        <v>291</v>
      </c>
      <c r="C1942" t="s">
        <v>4892</v>
      </c>
    </row>
    <row r="1943" spans="1:3" x14ac:dyDescent="0.3">
      <c r="A1943">
        <v>67156</v>
      </c>
      <c r="B1943" t="s">
        <v>291</v>
      </c>
      <c r="C1943" t="s">
        <v>4892</v>
      </c>
    </row>
    <row r="1944" spans="1:3" x14ac:dyDescent="0.3">
      <c r="A1944">
        <v>67161</v>
      </c>
      <c r="B1944" t="s">
        <v>291</v>
      </c>
      <c r="C1944" t="s">
        <v>4892</v>
      </c>
    </row>
    <row r="1945" spans="1:3" x14ac:dyDescent="0.3">
      <c r="A1945">
        <v>67162</v>
      </c>
      <c r="B1945" t="s">
        <v>291</v>
      </c>
      <c r="C1945" t="s">
        <v>4892</v>
      </c>
    </row>
    <row r="1946" spans="1:3" x14ac:dyDescent="0.3">
      <c r="A1946">
        <v>67163</v>
      </c>
      <c r="B1946" t="s">
        <v>291</v>
      </c>
      <c r="C1946" t="s">
        <v>4892</v>
      </c>
    </row>
    <row r="1947" spans="1:3" x14ac:dyDescent="0.3">
      <c r="A1947">
        <v>67164</v>
      </c>
      <c r="B1947" t="s">
        <v>291</v>
      </c>
      <c r="C1947" t="s">
        <v>4892</v>
      </c>
    </row>
    <row r="1948" spans="1:3" x14ac:dyDescent="0.3">
      <c r="A1948">
        <v>67165</v>
      </c>
      <c r="B1948" t="s">
        <v>291</v>
      </c>
      <c r="C1948" t="s">
        <v>4892</v>
      </c>
    </row>
    <row r="1949" spans="1:3" x14ac:dyDescent="0.3">
      <c r="A1949">
        <v>67167</v>
      </c>
      <c r="B1949" t="s">
        <v>291</v>
      </c>
      <c r="C1949" t="s">
        <v>4892</v>
      </c>
    </row>
    <row r="1950" spans="1:3" x14ac:dyDescent="0.3">
      <c r="A1950">
        <v>67168</v>
      </c>
      <c r="B1950" t="s">
        <v>291</v>
      </c>
      <c r="C1950" t="s">
        <v>4892</v>
      </c>
    </row>
    <row r="1951" spans="1:3" x14ac:dyDescent="0.3">
      <c r="A1951">
        <v>67169</v>
      </c>
      <c r="B1951" t="s">
        <v>291</v>
      </c>
      <c r="C1951" t="s">
        <v>4892</v>
      </c>
    </row>
    <row r="1952" spans="1:3" x14ac:dyDescent="0.3">
      <c r="A1952">
        <v>67171</v>
      </c>
      <c r="B1952" t="s">
        <v>291</v>
      </c>
      <c r="C1952" t="s">
        <v>4892</v>
      </c>
    </row>
    <row r="1953" spans="1:3" x14ac:dyDescent="0.3">
      <c r="A1953">
        <v>67172</v>
      </c>
      <c r="B1953" t="s">
        <v>291</v>
      </c>
      <c r="C1953" t="s">
        <v>4892</v>
      </c>
    </row>
    <row r="1954" spans="1:3" x14ac:dyDescent="0.3">
      <c r="A1954">
        <v>67173</v>
      </c>
      <c r="B1954" t="s">
        <v>291</v>
      </c>
      <c r="C1954" t="s">
        <v>4892</v>
      </c>
    </row>
    <row r="1955" spans="1:3" x14ac:dyDescent="0.3">
      <c r="A1955">
        <v>67175</v>
      </c>
      <c r="B1955" t="s">
        <v>291</v>
      </c>
      <c r="C1955" t="s">
        <v>4892</v>
      </c>
    </row>
    <row r="1956" spans="1:3" x14ac:dyDescent="0.3">
      <c r="A1956">
        <v>67176</v>
      </c>
      <c r="B1956" t="s">
        <v>291</v>
      </c>
      <c r="C1956" t="s">
        <v>4892</v>
      </c>
    </row>
    <row r="1957" spans="1:3" x14ac:dyDescent="0.3">
      <c r="A1957">
        <v>67177</v>
      </c>
      <c r="B1957" t="s">
        <v>4891</v>
      </c>
      <c r="C1957" t="s">
        <v>4892</v>
      </c>
    </row>
    <row r="1958" spans="1:3" x14ac:dyDescent="0.3">
      <c r="A1958">
        <v>67178</v>
      </c>
      <c r="B1958" t="s">
        <v>291</v>
      </c>
      <c r="C1958" t="s">
        <v>4892</v>
      </c>
    </row>
    <row r="1959" spans="1:3" x14ac:dyDescent="0.3">
      <c r="A1959">
        <v>67181</v>
      </c>
      <c r="B1959" t="s">
        <v>291</v>
      </c>
      <c r="C1959" t="s">
        <v>4892</v>
      </c>
    </row>
    <row r="1960" spans="1:3" x14ac:dyDescent="0.3">
      <c r="A1960">
        <v>67182</v>
      </c>
      <c r="B1960" t="s">
        <v>291</v>
      </c>
      <c r="C1960" t="s">
        <v>4892</v>
      </c>
    </row>
    <row r="1961" spans="1:3" x14ac:dyDescent="0.3">
      <c r="A1961">
        <v>67201</v>
      </c>
      <c r="B1961" t="s">
        <v>291</v>
      </c>
      <c r="C1961" t="s">
        <v>4892</v>
      </c>
    </row>
    <row r="1962" spans="1:3" x14ac:dyDescent="0.3">
      <c r="A1962">
        <v>67401</v>
      </c>
      <c r="B1962" t="s">
        <v>661</v>
      </c>
      <c r="C1962" t="s">
        <v>4885</v>
      </c>
    </row>
    <row r="1963" spans="1:3" x14ac:dyDescent="0.3">
      <c r="A1963">
        <v>67402</v>
      </c>
      <c r="B1963" t="s">
        <v>661</v>
      </c>
      <c r="C1963" t="s">
        <v>4885</v>
      </c>
    </row>
    <row r="1964" spans="1:3" x14ac:dyDescent="0.3">
      <c r="A1964">
        <v>67403</v>
      </c>
      <c r="B1964" t="s">
        <v>661</v>
      </c>
      <c r="C1964" t="s">
        <v>4885</v>
      </c>
    </row>
    <row r="1965" spans="1:3" x14ac:dyDescent="0.3">
      <c r="A1965">
        <v>67501</v>
      </c>
      <c r="B1965" t="s">
        <v>661</v>
      </c>
      <c r="C1965" t="s">
        <v>4885</v>
      </c>
    </row>
    <row r="1966" spans="1:3" x14ac:dyDescent="0.3">
      <c r="A1966">
        <v>67502</v>
      </c>
      <c r="B1966" t="s">
        <v>661</v>
      </c>
      <c r="C1966" t="s">
        <v>4885</v>
      </c>
    </row>
    <row r="1967" spans="1:3" x14ac:dyDescent="0.3">
      <c r="A1967">
        <v>67503</v>
      </c>
      <c r="B1967" t="s">
        <v>661</v>
      </c>
      <c r="C1967" t="s">
        <v>4885</v>
      </c>
    </row>
    <row r="1968" spans="1:3" x14ac:dyDescent="0.3">
      <c r="A1968">
        <v>67504</v>
      </c>
      <c r="B1968" t="s">
        <v>661</v>
      </c>
      <c r="C1968" t="s">
        <v>4885</v>
      </c>
    </row>
    <row r="1969" spans="1:3" x14ac:dyDescent="0.3">
      <c r="A1969">
        <v>67505</v>
      </c>
      <c r="B1969" t="s">
        <v>661</v>
      </c>
      <c r="C1969" t="s">
        <v>4885</v>
      </c>
    </row>
    <row r="1970" spans="1:3" x14ac:dyDescent="0.3">
      <c r="A1970">
        <v>67506</v>
      </c>
      <c r="B1970" t="s">
        <v>661</v>
      </c>
      <c r="C1970" t="s">
        <v>4885</v>
      </c>
    </row>
    <row r="1971" spans="1:3" x14ac:dyDescent="0.3">
      <c r="A1971">
        <v>67507</v>
      </c>
      <c r="B1971" t="s">
        <v>661</v>
      </c>
      <c r="C1971" t="s">
        <v>4885</v>
      </c>
    </row>
    <row r="1972" spans="1:3" x14ac:dyDescent="0.3">
      <c r="A1972">
        <v>67508</v>
      </c>
      <c r="B1972" t="s">
        <v>661</v>
      </c>
      <c r="C1972" t="s">
        <v>4885</v>
      </c>
    </row>
    <row r="1973" spans="1:3" x14ac:dyDescent="0.3">
      <c r="A1973">
        <v>67521</v>
      </c>
      <c r="B1973" t="s">
        <v>661</v>
      </c>
      <c r="C1973" t="s">
        <v>4885</v>
      </c>
    </row>
    <row r="1974" spans="1:3" x14ac:dyDescent="0.3">
      <c r="A1974">
        <v>67522</v>
      </c>
      <c r="B1974" t="s">
        <v>661</v>
      </c>
      <c r="C1974" t="s">
        <v>4885</v>
      </c>
    </row>
    <row r="1975" spans="1:3" x14ac:dyDescent="0.3">
      <c r="A1975">
        <v>67523</v>
      </c>
      <c r="B1975" t="s">
        <v>661</v>
      </c>
      <c r="C1975" t="s">
        <v>4885</v>
      </c>
    </row>
    <row r="1976" spans="1:3" x14ac:dyDescent="0.3">
      <c r="A1976">
        <v>67524</v>
      </c>
      <c r="B1976" t="s">
        <v>661</v>
      </c>
      <c r="C1976" t="s">
        <v>4885</v>
      </c>
    </row>
    <row r="1977" spans="1:3" x14ac:dyDescent="0.3">
      <c r="A1977">
        <v>67525</v>
      </c>
      <c r="B1977" t="s">
        <v>661</v>
      </c>
      <c r="C1977" t="s">
        <v>4885</v>
      </c>
    </row>
    <row r="1978" spans="1:3" x14ac:dyDescent="0.3">
      <c r="A1978">
        <v>67526</v>
      </c>
      <c r="B1978" t="s">
        <v>661</v>
      </c>
      <c r="C1978" t="s">
        <v>4885</v>
      </c>
    </row>
    <row r="1979" spans="1:3" x14ac:dyDescent="0.3">
      <c r="A1979">
        <v>67527</v>
      </c>
      <c r="B1979" t="s">
        <v>286</v>
      </c>
      <c r="C1979" t="s">
        <v>4885</v>
      </c>
    </row>
    <row r="1980" spans="1:3" x14ac:dyDescent="0.3">
      <c r="A1980">
        <v>67528</v>
      </c>
      <c r="B1980" t="s">
        <v>661</v>
      </c>
      <c r="C1980" t="s">
        <v>4885</v>
      </c>
    </row>
    <row r="1981" spans="1:3" x14ac:dyDescent="0.3">
      <c r="A1981">
        <v>67529</v>
      </c>
      <c r="B1981" t="s">
        <v>286</v>
      </c>
      <c r="C1981" t="s">
        <v>4885</v>
      </c>
    </row>
    <row r="1982" spans="1:3" x14ac:dyDescent="0.3">
      <c r="A1982">
        <v>67531</v>
      </c>
      <c r="B1982" t="s">
        <v>661</v>
      </c>
      <c r="C1982" t="s">
        <v>4885</v>
      </c>
    </row>
    <row r="1983" spans="1:3" x14ac:dyDescent="0.3">
      <c r="A1983">
        <v>67532</v>
      </c>
      <c r="B1983" t="s">
        <v>661</v>
      </c>
      <c r="C1983" t="s">
        <v>4885</v>
      </c>
    </row>
    <row r="1984" spans="1:3" x14ac:dyDescent="0.3">
      <c r="A1984">
        <v>67533</v>
      </c>
      <c r="B1984" t="s">
        <v>661</v>
      </c>
      <c r="C1984" t="s">
        <v>4885</v>
      </c>
    </row>
    <row r="1985" spans="1:3" x14ac:dyDescent="0.3">
      <c r="A1985">
        <v>67534</v>
      </c>
      <c r="B1985" t="s">
        <v>661</v>
      </c>
      <c r="C1985" t="s">
        <v>4885</v>
      </c>
    </row>
    <row r="1986" spans="1:3" x14ac:dyDescent="0.3">
      <c r="A1986">
        <v>67541</v>
      </c>
      <c r="B1986" t="s">
        <v>661</v>
      </c>
      <c r="C1986" t="s">
        <v>4885</v>
      </c>
    </row>
    <row r="1987" spans="1:3" x14ac:dyDescent="0.3">
      <c r="A1987">
        <v>67542</v>
      </c>
      <c r="B1987" t="s">
        <v>661</v>
      </c>
      <c r="C1987" t="s">
        <v>4885</v>
      </c>
    </row>
    <row r="1988" spans="1:3" x14ac:dyDescent="0.3">
      <c r="A1988">
        <v>67543</v>
      </c>
      <c r="B1988" t="s">
        <v>661</v>
      </c>
      <c r="C1988" t="s">
        <v>4885</v>
      </c>
    </row>
    <row r="1989" spans="1:3" x14ac:dyDescent="0.3">
      <c r="A1989">
        <v>67544</v>
      </c>
      <c r="B1989" t="s">
        <v>661</v>
      </c>
      <c r="C1989" t="s">
        <v>4885</v>
      </c>
    </row>
    <row r="1990" spans="1:3" x14ac:dyDescent="0.3">
      <c r="A1990">
        <v>67545</v>
      </c>
      <c r="B1990" t="s">
        <v>661</v>
      </c>
      <c r="C1990" t="s">
        <v>4885</v>
      </c>
    </row>
    <row r="1991" spans="1:3" x14ac:dyDescent="0.3">
      <c r="A1991">
        <v>67550</v>
      </c>
      <c r="B1991" t="s">
        <v>661</v>
      </c>
      <c r="C1991" t="s">
        <v>4885</v>
      </c>
    </row>
    <row r="1992" spans="1:3" x14ac:dyDescent="0.3">
      <c r="A1992">
        <v>67551</v>
      </c>
      <c r="B1992" t="s">
        <v>661</v>
      </c>
      <c r="C1992" t="s">
        <v>4885</v>
      </c>
    </row>
    <row r="1993" spans="1:3" x14ac:dyDescent="0.3">
      <c r="A1993">
        <v>67552</v>
      </c>
      <c r="B1993" t="s">
        <v>661</v>
      </c>
      <c r="C1993" t="s">
        <v>4885</v>
      </c>
    </row>
    <row r="1994" spans="1:3" x14ac:dyDescent="0.3">
      <c r="A1994">
        <v>67553</v>
      </c>
      <c r="B1994" t="s">
        <v>661</v>
      </c>
      <c r="C1994" t="s">
        <v>4885</v>
      </c>
    </row>
    <row r="1995" spans="1:3" x14ac:dyDescent="0.3">
      <c r="A1995">
        <v>67554</v>
      </c>
      <c r="B1995" t="s">
        <v>661</v>
      </c>
      <c r="C1995" t="s">
        <v>4885</v>
      </c>
    </row>
    <row r="1996" spans="1:3" x14ac:dyDescent="0.3">
      <c r="A1996">
        <v>67555</v>
      </c>
      <c r="B1996" t="s">
        <v>661</v>
      </c>
      <c r="C1996" t="s">
        <v>4885</v>
      </c>
    </row>
    <row r="1997" spans="1:3" x14ac:dyDescent="0.3">
      <c r="A1997">
        <v>67556</v>
      </c>
      <c r="B1997" t="s">
        <v>661</v>
      </c>
      <c r="C1997" t="s">
        <v>4885</v>
      </c>
    </row>
    <row r="1998" spans="1:3" x14ac:dyDescent="0.3">
      <c r="A1998">
        <v>67557</v>
      </c>
      <c r="B1998" t="s">
        <v>661</v>
      </c>
      <c r="C1998" t="s">
        <v>4885</v>
      </c>
    </row>
    <row r="1999" spans="1:3" x14ac:dyDescent="0.3">
      <c r="A1999">
        <v>67558</v>
      </c>
      <c r="B1999" t="s">
        <v>661</v>
      </c>
      <c r="C1999" t="s">
        <v>4885</v>
      </c>
    </row>
    <row r="2000" spans="1:3" x14ac:dyDescent="0.3">
      <c r="A2000">
        <v>67559</v>
      </c>
      <c r="B2000" t="s">
        <v>661</v>
      </c>
      <c r="C2000" t="s">
        <v>4885</v>
      </c>
    </row>
    <row r="2001" spans="1:3" x14ac:dyDescent="0.3">
      <c r="A2001">
        <v>67560</v>
      </c>
      <c r="B2001" t="s">
        <v>661</v>
      </c>
      <c r="C2001" t="s">
        <v>4885</v>
      </c>
    </row>
    <row r="2002" spans="1:3" x14ac:dyDescent="0.3">
      <c r="A2002">
        <v>67571</v>
      </c>
      <c r="B2002" t="s">
        <v>661</v>
      </c>
      <c r="C2002" t="s">
        <v>4885</v>
      </c>
    </row>
    <row r="2003" spans="1:3" x14ac:dyDescent="0.3">
      <c r="A2003">
        <v>67573</v>
      </c>
      <c r="B2003" t="s">
        <v>661</v>
      </c>
      <c r="C2003" t="s">
        <v>4885</v>
      </c>
    </row>
    <row r="2004" spans="1:3" x14ac:dyDescent="0.3">
      <c r="A2004">
        <v>67574</v>
      </c>
      <c r="B2004" t="s">
        <v>661</v>
      </c>
      <c r="C2004" t="s">
        <v>4885</v>
      </c>
    </row>
    <row r="2005" spans="1:3" x14ac:dyDescent="0.3">
      <c r="A2005">
        <v>67575</v>
      </c>
      <c r="B2005" t="s">
        <v>4891</v>
      </c>
      <c r="C2005" t="s">
        <v>4892</v>
      </c>
    </row>
    <row r="2006" spans="1:3" x14ac:dyDescent="0.3">
      <c r="A2006">
        <v>67576</v>
      </c>
      <c r="B2006" t="s">
        <v>661</v>
      </c>
      <c r="C2006" t="s">
        <v>4885</v>
      </c>
    </row>
    <row r="2007" spans="1:3" x14ac:dyDescent="0.3">
      <c r="A2007">
        <v>67577</v>
      </c>
      <c r="B2007" t="s">
        <v>661</v>
      </c>
      <c r="C2007" t="s">
        <v>4885</v>
      </c>
    </row>
    <row r="2008" spans="1:3" x14ac:dyDescent="0.3">
      <c r="A2008">
        <v>67578</v>
      </c>
      <c r="B2008" t="s">
        <v>661</v>
      </c>
      <c r="C2008" t="s">
        <v>4885</v>
      </c>
    </row>
    <row r="2009" spans="1:3" x14ac:dyDescent="0.3">
      <c r="A2009">
        <v>67579</v>
      </c>
      <c r="B2009" t="s">
        <v>4496</v>
      </c>
      <c r="C2009" t="s">
        <v>4885</v>
      </c>
    </row>
    <row r="2010" spans="1:3" x14ac:dyDescent="0.3">
      <c r="A2010">
        <v>67602</v>
      </c>
      <c r="B2010" t="s">
        <v>661</v>
      </c>
      <c r="C2010" t="s">
        <v>4885</v>
      </c>
    </row>
    <row r="2011" spans="1:3" x14ac:dyDescent="0.3">
      <c r="A2011">
        <v>67801</v>
      </c>
      <c r="B2011" t="s">
        <v>124</v>
      </c>
      <c r="C2011" t="s">
        <v>4892</v>
      </c>
    </row>
    <row r="2012" spans="1:3" x14ac:dyDescent="0.3">
      <c r="A2012">
        <v>67901</v>
      </c>
      <c r="B2012" t="s">
        <v>124</v>
      </c>
      <c r="C2012" t="s">
        <v>4892</v>
      </c>
    </row>
    <row r="2013" spans="1:3" x14ac:dyDescent="0.3">
      <c r="A2013">
        <v>67902</v>
      </c>
      <c r="B2013" t="s">
        <v>124</v>
      </c>
      <c r="C2013" t="s">
        <v>4892</v>
      </c>
    </row>
    <row r="2014" spans="1:3" x14ac:dyDescent="0.3">
      <c r="A2014">
        <v>67903</v>
      </c>
      <c r="B2014" t="s">
        <v>124</v>
      </c>
      <c r="C2014" t="s">
        <v>4892</v>
      </c>
    </row>
    <row r="2015" spans="1:3" x14ac:dyDescent="0.3">
      <c r="A2015">
        <v>67904</v>
      </c>
      <c r="B2015" t="s">
        <v>124</v>
      </c>
      <c r="C2015" t="s">
        <v>4892</v>
      </c>
    </row>
    <row r="2016" spans="1:3" x14ac:dyDescent="0.3">
      <c r="A2016">
        <v>67905</v>
      </c>
      <c r="B2016" t="s">
        <v>4891</v>
      </c>
      <c r="C2016" t="s">
        <v>4892</v>
      </c>
    </row>
    <row r="2017" spans="1:3" x14ac:dyDescent="0.3">
      <c r="A2017">
        <v>67906</v>
      </c>
      <c r="B2017" t="s">
        <v>124</v>
      </c>
      <c r="C2017" t="s">
        <v>4892</v>
      </c>
    </row>
    <row r="2018" spans="1:3" x14ac:dyDescent="0.3">
      <c r="A2018">
        <v>67907</v>
      </c>
      <c r="B2018" t="s">
        <v>124</v>
      </c>
      <c r="C2018" t="s">
        <v>4892</v>
      </c>
    </row>
    <row r="2019" spans="1:3" x14ac:dyDescent="0.3">
      <c r="A2019">
        <v>67911</v>
      </c>
      <c r="B2019" t="s">
        <v>124</v>
      </c>
      <c r="C2019" t="s">
        <v>4892</v>
      </c>
    </row>
    <row r="2020" spans="1:3" x14ac:dyDescent="0.3">
      <c r="A2020">
        <v>67913</v>
      </c>
      <c r="B2020" t="s">
        <v>124</v>
      </c>
      <c r="C2020" t="s">
        <v>4892</v>
      </c>
    </row>
    <row r="2021" spans="1:3" x14ac:dyDescent="0.3">
      <c r="A2021">
        <v>67914</v>
      </c>
      <c r="B2021" t="s">
        <v>124</v>
      </c>
      <c r="C2021" t="s">
        <v>4892</v>
      </c>
    </row>
    <row r="2022" spans="1:3" x14ac:dyDescent="0.3">
      <c r="A2022">
        <v>67915</v>
      </c>
      <c r="B2022" t="s">
        <v>124</v>
      </c>
      <c r="C2022" t="s">
        <v>4892</v>
      </c>
    </row>
    <row r="2023" spans="1:3" x14ac:dyDescent="0.3">
      <c r="A2023">
        <v>67921</v>
      </c>
      <c r="B2023" t="s">
        <v>124</v>
      </c>
      <c r="C2023" t="s">
        <v>4892</v>
      </c>
    </row>
    <row r="2024" spans="1:3" x14ac:dyDescent="0.3">
      <c r="A2024">
        <v>67922</v>
      </c>
      <c r="B2024" t="s">
        <v>124</v>
      </c>
      <c r="C2024" t="s">
        <v>4892</v>
      </c>
    </row>
    <row r="2025" spans="1:3" x14ac:dyDescent="0.3">
      <c r="A2025">
        <v>67923</v>
      </c>
      <c r="B2025" t="s">
        <v>4891</v>
      </c>
      <c r="C2025" t="s">
        <v>4892</v>
      </c>
    </row>
    <row r="2026" spans="1:3" x14ac:dyDescent="0.3">
      <c r="A2026">
        <v>67924</v>
      </c>
      <c r="B2026" t="s">
        <v>4891</v>
      </c>
      <c r="C2026" t="s">
        <v>4892</v>
      </c>
    </row>
    <row r="2027" spans="1:3" x14ac:dyDescent="0.3">
      <c r="A2027">
        <v>67931</v>
      </c>
      <c r="B2027" t="s">
        <v>124</v>
      </c>
      <c r="C2027" t="s">
        <v>4892</v>
      </c>
    </row>
    <row r="2028" spans="1:3" x14ac:dyDescent="0.3">
      <c r="A2028">
        <v>67932</v>
      </c>
      <c r="B2028" t="s">
        <v>124</v>
      </c>
      <c r="C2028" t="s">
        <v>4892</v>
      </c>
    </row>
    <row r="2029" spans="1:3" x14ac:dyDescent="0.3">
      <c r="A2029">
        <v>67933</v>
      </c>
      <c r="B2029" t="s">
        <v>124</v>
      </c>
      <c r="C2029" t="s">
        <v>4892</v>
      </c>
    </row>
    <row r="2030" spans="1:3" x14ac:dyDescent="0.3">
      <c r="A2030">
        <v>67934</v>
      </c>
      <c r="B2030" t="s">
        <v>124</v>
      </c>
      <c r="C2030" t="s">
        <v>4892</v>
      </c>
    </row>
    <row r="2031" spans="1:3" x14ac:dyDescent="0.3">
      <c r="A2031">
        <v>67935</v>
      </c>
      <c r="B2031" t="s">
        <v>124</v>
      </c>
      <c r="C2031" t="s">
        <v>4892</v>
      </c>
    </row>
    <row r="2032" spans="1:3" x14ac:dyDescent="0.3">
      <c r="A2032">
        <v>67936</v>
      </c>
      <c r="B2032" t="s">
        <v>124</v>
      </c>
      <c r="C2032" t="s">
        <v>4892</v>
      </c>
    </row>
    <row r="2033" spans="1:3" x14ac:dyDescent="0.3">
      <c r="A2033">
        <v>67937</v>
      </c>
      <c r="B2033" t="s">
        <v>124</v>
      </c>
      <c r="C2033" t="s">
        <v>4892</v>
      </c>
    </row>
    <row r="2034" spans="1:3" x14ac:dyDescent="0.3">
      <c r="A2034">
        <v>67938</v>
      </c>
      <c r="B2034" t="s">
        <v>124</v>
      </c>
      <c r="C2034" t="s">
        <v>4892</v>
      </c>
    </row>
    <row r="2035" spans="1:3" x14ac:dyDescent="0.3">
      <c r="A2035">
        <v>67939</v>
      </c>
      <c r="B2035" t="s">
        <v>124</v>
      </c>
      <c r="C2035" t="s">
        <v>4892</v>
      </c>
    </row>
    <row r="2036" spans="1:3" x14ac:dyDescent="0.3">
      <c r="A2036">
        <v>67951</v>
      </c>
      <c r="B2036" t="s">
        <v>124</v>
      </c>
      <c r="C2036" t="s">
        <v>4892</v>
      </c>
    </row>
    <row r="2037" spans="1:3" x14ac:dyDescent="0.3">
      <c r="A2037">
        <v>67952</v>
      </c>
      <c r="B2037" t="s">
        <v>124</v>
      </c>
      <c r="C2037" t="s">
        <v>4892</v>
      </c>
    </row>
    <row r="2038" spans="1:3" x14ac:dyDescent="0.3">
      <c r="A2038">
        <v>67953</v>
      </c>
      <c r="B2038" t="s">
        <v>124</v>
      </c>
      <c r="C2038" t="s">
        <v>4892</v>
      </c>
    </row>
    <row r="2039" spans="1:3" x14ac:dyDescent="0.3">
      <c r="A2039">
        <v>67961</v>
      </c>
      <c r="B2039" t="s">
        <v>124</v>
      </c>
      <c r="C2039" t="s">
        <v>4892</v>
      </c>
    </row>
    <row r="2040" spans="1:3" x14ac:dyDescent="0.3">
      <c r="A2040">
        <v>67962</v>
      </c>
      <c r="B2040" t="s">
        <v>124</v>
      </c>
      <c r="C2040" t="s">
        <v>4892</v>
      </c>
    </row>
    <row r="2041" spans="1:3" x14ac:dyDescent="0.3">
      <c r="A2041">
        <v>67963</v>
      </c>
      <c r="B2041" t="s">
        <v>124</v>
      </c>
      <c r="C2041" t="s">
        <v>4892</v>
      </c>
    </row>
    <row r="2042" spans="1:3" x14ac:dyDescent="0.3">
      <c r="A2042">
        <v>67971</v>
      </c>
      <c r="B2042" t="s">
        <v>124</v>
      </c>
      <c r="C2042" t="s">
        <v>4892</v>
      </c>
    </row>
    <row r="2043" spans="1:3" x14ac:dyDescent="0.3">
      <c r="A2043">
        <v>67972</v>
      </c>
      <c r="B2043" t="s">
        <v>124</v>
      </c>
      <c r="C2043" t="s">
        <v>4892</v>
      </c>
    </row>
    <row r="2044" spans="1:3" x14ac:dyDescent="0.3">
      <c r="A2044">
        <v>67973</v>
      </c>
      <c r="B2044" t="s">
        <v>124</v>
      </c>
      <c r="C2044" t="s">
        <v>4892</v>
      </c>
    </row>
    <row r="2045" spans="1:3" x14ac:dyDescent="0.3">
      <c r="A2045">
        <v>67974</v>
      </c>
      <c r="B2045" t="s">
        <v>124</v>
      </c>
      <c r="C2045" t="s">
        <v>4892</v>
      </c>
    </row>
    <row r="2046" spans="1:3" x14ac:dyDescent="0.3">
      <c r="A2046">
        <v>67975</v>
      </c>
      <c r="B2046" t="s">
        <v>124</v>
      </c>
      <c r="C2046" t="s">
        <v>4892</v>
      </c>
    </row>
    <row r="2047" spans="1:3" x14ac:dyDescent="0.3">
      <c r="A2047">
        <v>67976</v>
      </c>
      <c r="B2047" t="s">
        <v>124</v>
      </c>
      <c r="C2047" t="s">
        <v>4892</v>
      </c>
    </row>
    <row r="2048" spans="1:3" x14ac:dyDescent="0.3">
      <c r="A2048">
        <v>68001</v>
      </c>
      <c r="B2048" t="s">
        <v>124</v>
      </c>
      <c r="C2048" t="s">
        <v>4892</v>
      </c>
    </row>
    <row r="2049" spans="1:3" x14ac:dyDescent="0.3">
      <c r="A2049">
        <v>68201</v>
      </c>
      <c r="B2049" t="s">
        <v>3198</v>
      </c>
      <c r="C2049" t="s">
        <v>4892</v>
      </c>
    </row>
    <row r="2050" spans="1:3" x14ac:dyDescent="0.3">
      <c r="A2050">
        <v>68301</v>
      </c>
      <c r="B2050" t="s">
        <v>3198</v>
      </c>
      <c r="C2050" t="s">
        <v>4892</v>
      </c>
    </row>
    <row r="2051" spans="1:3" x14ac:dyDescent="0.3">
      <c r="A2051">
        <v>68303</v>
      </c>
      <c r="B2051" t="s">
        <v>3198</v>
      </c>
      <c r="C2051" t="s">
        <v>4892</v>
      </c>
    </row>
    <row r="2052" spans="1:3" x14ac:dyDescent="0.3">
      <c r="A2052">
        <v>68304</v>
      </c>
      <c r="B2052" t="s">
        <v>3198</v>
      </c>
      <c r="C2052" t="s">
        <v>4892</v>
      </c>
    </row>
    <row r="2053" spans="1:3" x14ac:dyDescent="0.3">
      <c r="A2053">
        <v>68305</v>
      </c>
      <c r="B2053" t="s">
        <v>3198</v>
      </c>
      <c r="C2053" t="s">
        <v>4892</v>
      </c>
    </row>
    <row r="2054" spans="1:3" x14ac:dyDescent="0.3">
      <c r="A2054">
        <v>68308</v>
      </c>
      <c r="B2054" t="s">
        <v>3198</v>
      </c>
      <c r="C2054" t="s">
        <v>4892</v>
      </c>
    </row>
    <row r="2055" spans="1:3" x14ac:dyDescent="0.3">
      <c r="A2055">
        <v>68321</v>
      </c>
      <c r="B2055" t="s">
        <v>3198</v>
      </c>
      <c r="C2055" t="s">
        <v>4892</v>
      </c>
    </row>
    <row r="2056" spans="1:3" x14ac:dyDescent="0.3">
      <c r="A2056">
        <v>68323</v>
      </c>
      <c r="B2056" t="s">
        <v>3198</v>
      </c>
      <c r="C2056" t="s">
        <v>4892</v>
      </c>
    </row>
    <row r="2057" spans="1:3" x14ac:dyDescent="0.3">
      <c r="A2057">
        <v>68333</v>
      </c>
      <c r="B2057" t="s">
        <v>3198</v>
      </c>
      <c r="C2057" t="s">
        <v>4892</v>
      </c>
    </row>
    <row r="2058" spans="1:3" x14ac:dyDescent="0.3">
      <c r="A2058">
        <v>68335</v>
      </c>
      <c r="B2058" t="s">
        <v>3198</v>
      </c>
      <c r="C2058" t="s">
        <v>4892</v>
      </c>
    </row>
    <row r="2059" spans="1:3" x14ac:dyDescent="0.3">
      <c r="A2059">
        <v>68341</v>
      </c>
      <c r="B2059" t="s">
        <v>3198</v>
      </c>
      <c r="C2059" t="s">
        <v>4892</v>
      </c>
    </row>
    <row r="2060" spans="1:3" x14ac:dyDescent="0.3">
      <c r="A2060">
        <v>68351</v>
      </c>
      <c r="B2060" t="s">
        <v>3198</v>
      </c>
      <c r="C2060" t="s">
        <v>4892</v>
      </c>
    </row>
    <row r="2061" spans="1:3" x14ac:dyDescent="0.3">
      <c r="A2061">
        <v>68352</v>
      </c>
      <c r="B2061" t="s">
        <v>3198</v>
      </c>
      <c r="C2061" t="s">
        <v>4892</v>
      </c>
    </row>
    <row r="2062" spans="1:3" x14ac:dyDescent="0.3">
      <c r="A2062">
        <v>68354</v>
      </c>
      <c r="B2062" t="s">
        <v>3198</v>
      </c>
      <c r="C2062" t="s">
        <v>4892</v>
      </c>
    </row>
    <row r="2063" spans="1:3" x14ac:dyDescent="0.3">
      <c r="A2063">
        <v>68401</v>
      </c>
      <c r="B2063" t="s">
        <v>3198</v>
      </c>
      <c r="C2063" t="s">
        <v>4892</v>
      </c>
    </row>
    <row r="2064" spans="1:3" x14ac:dyDescent="0.3">
      <c r="A2064">
        <v>68501</v>
      </c>
      <c r="B2064" t="s">
        <v>3198</v>
      </c>
      <c r="C2064" t="s">
        <v>4892</v>
      </c>
    </row>
    <row r="2065" spans="1:3" x14ac:dyDescent="0.3">
      <c r="A2065">
        <v>68601</v>
      </c>
      <c r="B2065" t="s">
        <v>4894</v>
      </c>
      <c r="C2065" t="s">
        <v>4895</v>
      </c>
    </row>
    <row r="2066" spans="1:3" x14ac:dyDescent="0.3">
      <c r="A2066">
        <v>68602</v>
      </c>
      <c r="B2066" t="s">
        <v>4894</v>
      </c>
      <c r="C2066" t="s">
        <v>4895</v>
      </c>
    </row>
    <row r="2067" spans="1:3" x14ac:dyDescent="0.3">
      <c r="A2067">
        <v>68603</v>
      </c>
      <c r="B2067" t="s">
        <v>4894</v>
      </c>
      <c r="C2067" t="s">
        <v>4895</v>
      </c>
    </row>
    <row r="2068" spans="1:3" x14ac:dyDescent="0.3">
      <c r="A2068">
        <v>68604</v>
      </c>
      <c r="B2068" t="s">
        <v>4894</v>
      </c>
      <c r="C2068" t="s">
        <v>4895</v>
      </c>
    </row>
    <row r="2069" spans="1:3" x14ac:dyDescent="0.3">
      <c r="A2069">
        <v>68605</v>
      </c>
      <c r="B2069" t="s">
        <v>4894</v>
      </c>
      <c r="C2069" t="s">
        <v>4895</v>
      </c>
    </row>
    <row r="2070" spans="1:3" x14ac:dyDescent="0.3">
      <c r="A2070">
        <v>68606</v>
      </c>
      <c r="B2070" t="s">
        <v>4894</v>
      </c>
      <c r="C2070" t="s">
        <v>4895</v>
      </c>
    </row>
    <row r="2071" spans="1:3" x14ac:dyDescent="0.3">
      <c r="A2071">
        <v>68703</v>
      </c>
      <c r="B2071" t="s">
        <v>4894</v>
      </c>
      <c r="C2071" t="s">
        <v>4895</v>
      </c>
    </row>
    <row r="2072" spans="1:3" x14ac:dyDescent="0.3">
      <c r="A2072">
        <v>68704</v>
      </c>
      <c r="B2072" t="s">
        <v>4894</v>
      </c>
      <c r="C2072" t="s">
        <v>4895</v>
      </c>
    </row>
    <row r="2073" spans="1:3" x14ac:dyDescent="0.3">
      <c r="A2073">
        <v>68705</v>
      </c>
      <c r="B2073" t="s">
        <v>4894</v>
      </c>
      <c r="C2073" t="s">
        <v>4895</v>
      </c>
    </row>
    <row r="2074" spans="1:3" x14ac:dyDescent="0.3">
      <c r="A2074">
        <v>68706</v>
      </c>
      <c r="B2074" t="s">
        <v>4894</v>
      </c>
      <c r="C2074" t="s">
        <v>4895</v>
      </c>
    </row>
    <row r="2075" spans="1:3" x14ac:dyDescent="0.3">
      <c r="A2075">
        <v>68707</v>
      </c>
      <c r="B2075" t="s">
        <v>4894</v>
      </c>
      <c r="C2075" t="s">
        <v>4895</v>
      </c>
    </row>
    <row r="2076" spans="1:3" x14ac:dyDescent="0.3">
      <c r="A2076">
        <v>68708</v>
      </c>
      <c r="B2076" t="s">
        <v>4894</v>
      </c>
      <c r="C2076" t="s">
        <v>4895</v>
      </c>
    </row>
    <row r="2077" spans="1:3" x14ac:dyDescent="0.3">
      <c r="A2077">
        <v>68709</v>
      </c>
      <c r="B2077" t="s">
        <v>4894</v>
      </c>
      <c r="C2077" t="s">
        <v>4895</v>
      </c>
    </row>
    <row r="2078" spans="1:3" x14ac:dyDescent="0.3">
      <c r="A2078">
        <v>68710</v>
      </c>
      <c r="B2078" t="s">
        <v>4894</v>
      </c>
      <c r="C2078" t="s">
        <v>4895</v>
      </c>
    </row>
    <row r="2079" spans="1:3" x14ac:dyDescent="0.3">
      <c r="A2079">
        <v>68711</v>
      </c>
      <c r="B2079" t="s">
        <v>4894</v>
      </c>
      <c r="C2079" t="s">
        <v>4895</v>
      </c>
    </row>
    <row r="2080" spans="1:3" x14ac:dyDescent="0.3">
      <c r="A2080">
        <v>68712</v>
      </c>
      <c r="B2080" t="s">
        <v>4894</v>
      </c>
      <c r="C2080" t="s">
        <v>4895</v>
      </c>
    </row>
    <row r="2081" spans="1:3" x14ac:dyDescent="0.3">
      <c r="A2081">
        <v>68713</v>
      </c>
      <c r="B2081" t="s">
        <v>4894</v>
      </c>
      <c r="C2081" t="s">
        <v>4895</v>
      </c>
    </row>
    <row r="2082" spans="1:3" x14ac:dyDescent="0.3">
      <c r="A2082">
        <v>68722</v>
      </c>
      <c r="B2082" t="s">
        <v>4894</v>
      </c>
      <c r="C2082" t="s">
        <v>4895</v>
      </c>
    </row>
    <row r="2083" spans="1:3" x14ac:dyDescent="0.3">
      <c r="A2083">
        <v>68723</v>
      </c>
      <c r="B2083" t="s">
        <v>4894</v>
      </c>
      <c r="C2083" t="s">
        <v>4895</v>
      </c>
    </row>
    <row r="2084" spans="1:3" x14ac:dyDescent="0.3">
      <c r="A2084">
        <v>68724</v>
      </c>
      <c r="B2084" t="s">
        <v>4894</v>
      </c>
      <c r="C2084" t="s">
        <v>4895</v>
      </c>
    </row>
    <row r="2085" spans="1:3" x14ac:dyDescent="0.3">
      <c r="A2085">
        <v>68725</v>
      </c>
      <c r="B2085" t="s">
        <v>4894</v>
      </c>
      <c r="C2085" t="s">
        <v>4895</v>
      </c>
    </row>
    <row r="2086" spans="1:3" x14ac:dyDescent="0.3">
      <c r="A2086">
        <v>68731</v>
      </c>
      <c r="B2086" t="s">
        <v>4894</v>
      </c>
      <c r="C2086" t="s">
        <v>4895</v>
      </c>
    </row>
    <row r="2087" spans="1:3" x14ac:dyDescent="0.3">
      <c r="A2087">
        <v>68732</v>
      </c>
      <c r="B2087" t="s">
        <v>4894</v>
      </c>
      <c r="C2087" t="s">
        <v>4895</v>
      </c>
    </row>
    <row r="2088" spans="1:3" x14ac:dyDescent="0.3">
      <c r="A2088">
        <v>68733</v>
      </c>
      <c r="B2088" t="s">
        <v>4894</v>
      </c>
      <c r="C2088" t="s">
        <v>4895</v>
      </c>
    </row>
    <row r="2089" spans="1:3" x14ac:dyDescent="0.3">
      <c r="A2089">
        <v>68734</v>
      </c>
      <c r="B2089" t="s">
        <v>4894</v>
      </c>
      <c r="C2089" t="s">
        <v>4895</v>
      </c>
    </row>
    <row r="2090" spans="1:3" x14ac:dyDescent="0.3">
      <c r="A2090">
        <v>68737</v>
      </c>
      <c r="B2090" t="s">
        <v>4894</v>
      </c>
      <c r="C2090" t="s">
        <v>4895</v>
      </c>
    </row>
    <row r="2091" spans="1:3" x14ac:dyDescent="0.3">
      <c r="A2091">
        <v>68738</v>
      </c>
      <c r="B2091" t="s">
        <v>4894</v>
      </c>
      <c r="C2091" t="s">
        <v>4895</v>
      </c>
    </row>
    <row r="2092" spans="1:3" x14ac:dyDescent="0.3">
      <c r="A2092">
        <v>68741</v>
      </c>
      <c r="B2092" t="s">
        <v>4894</v>
      </c>
      <c r="C2092" t="s">
        <v>4895</v>
      </c>
    </row>
    <row r="2093" spans="1:3" x14ac:dyDescent="0.3">
      <c r="A2093">
        <v>68742</v>
      </c>
      <c r="B2093" t="s">
        <v>4894</v>
      </c>
      <c r="C2093" t="s">
        <v>4895</v>
      </c>
    </row>
    <row r="2094" spans="1:3" x14ac:dyDescent="0.3">
      <c r="A2094">
        <v>68751</v>
      </c>
      <c r="B2094" t="s">
        <v>4894</v>
      </c>
      <c r="C2094" t="s">
        <v>4895</v>
      </c>
    </row>
    <row r="2095" spans="1:3" x14ac:dyDescent="0.3">
      <c r="A2095">
        <v>68752</v>
      </c>
      <c r="B2095" t="s">
        <v>4894</v>
      </c>
      <c r="C2095" t="s">
        <v>4895</v>
      </c>
    </row>
    <row r="2096" spans="1:3" x14ac:dyDescent="0.3">
      <c r="A2096">
        <v>68753</v>
      </c>
      <c r="B2096" t="s">
        <v>4894</v>
      </c>
      <c r="C2096" t="s">
        <v>4895</v>
      </c>
    </row>
    <row r="2097" spans="1:3" x14ac:dyDescent="0.3">
      <c r="A2097">
        <v>68754</v>
      </c>
      <c r="B2097" t="s">
        <v>4894</v>
      </c>
      <c r="C2097" t="s">
        <v>4895</v>
      </c>
    </row>
    <row r="2098" spans="1:3" x14ac:dyDescent="0.3">
      <c r="A2098">
        <v>68755</v>
      </c>
      <c r="B2098" t="s">
        <v>4894</v>
      </c>
      <c r="C2098" t="s">
        <v>4895</v>
      </c>
    </row>
    <row r="2099" spans="1:3" x14ac:dyDescent="0.3">
      <c r="A2099">
        <v>68756</v>
      </c>
      <c r="B2099" t="s">
        <v>4894</v>
      </c>
      <c r="C2099" t="s">
        <v>4895</v>
      </c>
    </row>
    <row r="2100" spans="1:3" x14ac:dyDescent="0.3">
      <c r="A2100">
        <v>68761</v>
      </c>
      <c r="B2100" t="s">
        <v>4894</v>
      </c>
      <c r="C2100" t="s">
        <v>4895</v>
      </c>
    </row>
    <row r="2101" spans="1:3" x14ac:dyDescent="0.3">
      <c r="A2101">
        <v>68762</v>
      </c>
      <c r="B2101" t="s">
        <v>4894</v>
      </c>
      <c r="C2101" t="s">
        <v>4895</v>
      </c>
    </row>
    <row r="2102" spans="1:3" x14ac:dyDescent="0.3">
      <c r="A2102">
        <v>68763</v>
      </c>
      <c r="B2102" t="s">
        <v>4894</v>
      </c>
      <c r="C2102" t="s">
        <v>4895</v>
      </c>
    </row>
    <row r="2103" spans="1:3" x14ac:dyDescent="0.3">
      <c r="A2103">
        <v>68764</v>
      </c>
      <c r="B2103" t="s">
        <v>4894</v>
      </c>
      <c r="C2103" t="s">
        <v>4895</v>
      </c>
    </row>
    <row r="2104" spans="1:3" x14ac:dyDescent="0.3">
      <c r="A2104">
        <v>68765</v>
      </c>
      <c r="B2104" t="s">
        <v>4894</v>
      </c>
      <c r="C2104" t="s">
        <v>4895</v>
      </c>
    </row>
    <row r="2105" spans="1:3" x14ac:dyDescent="0.3">
      <c r="A2105">
        <v>68766</v>
      </c>
      <c r="B2105" t="s">
        <v>4894</v>
      </c>
      <c r="C2105" t="s">
        <v>4895</v>
      </c>
    </row>
    <row r="2106" spans="1:3" x14ac:dyDescent="0.3">
      <c r="A2106">
        <v>68767</v>
      </c>
      <c r="B2106" t="s">
        <v>4894</v>
      </c>
      <c r="C2106" t="s">
        <v>4895</v>
      </c>
    </row>
    <row r="2107" spans="1:3" x14ac:dyDescent="0.3">
      <c r="A2107">
        <v>68771</v>
      </c>
      <c r="B2107" t="s">
        <v>4894</v>
      </c>
      <c r="C2107" t="s">
        <v>4895</v>
      </c>
    </row>
    <row r="2108" spans="1:3" x14ac:dyDescent="0.3">
      <c r="A2108">
        <v>68774</v>
      </c>
      <c r="B2108" t="s">
        <v>4894</v>
      </c>
      <c r="C2108" t="s">
        <v>4895</v>
      </c>
    </row>
    <row r="2109" spans="1:3" x14ac:dyDescent="0.3">
      <c r="A2109">
        <v>68801</v>
      </c>
      <c r="B2109" t="s">
        <v>4894</v>
      </c>
      <c r="C2109" t="s">
        <v>4895</v>
      </c>
    </row>
    <row r="2110" spans="1:3" x14ac:dyDescent="0.3">
      <c r="A2110">
        <v>69002</v>
      </c>
      <c r="B2110" t="s">
        <v>925</v>
      </c>
      <c r="C2110" t="s">
        <v>4892</v>
      </c>
    </row>
    <row r="2111" spans="1:3" x14ac:dyDescent="0.3">
      <c r="A2111">
        <v>69003</v>
      </c>
      <c r="B2111" t="s">
        <v>925</v>
      </c>
      <c r="C2111" t="s">
        <v>4892</v>
      </c>
    </row>
    <row r="2112" spans="1:3" x14ac:dyDescent="0.3">
      <c r="A2112">
        <v>69006</v>
      </c>
      <c r="B2112" t="s">
        <v>925</v>
      </c>
      <c r="C2112" t="s">
        <v>4892</v>
      </c>
    </row>
    <row r="2113" spans="1:3" x14ac:dyDescent="0.3">
      <c r="A2113">
        <v>69101</v>
      </c>
      <c r="B2113" t="s">
        <v>925</v>
      </c>
      <c r="C2113" t="s">
        <v>4892</v>
      </c>
    </row>
    <row r="2114" spans="1:3" x14ac:dyDescent="0.3">
      <c r="A2114">
        <v>69102</v>
      </c>
      <c r="B2114" t="s">
        <v>925</v>
      </c>
      <c r="C2114" t="s">
        <v>4892</v>
      </c>
    </row>
    <row r="2115" spans="1:3" x14ac:dyDescent="0.3">
      <c r="A2115">
        <v>69103</v>
      </c>
      <c r="B2115" t="s">
        <v>925</v>
      </c>
      <c r="C2115" t="s">
        <v>4892</v>
      </c>
    </row>
    <row r="2116" spans="1:3" x14ac:dyDescent="0.3">
      <c r="A2116">
        <v>69104</v>
      </c>
      <c r="B2116" t="s">
        <v>925</v>
      </c>
      <c r="C2116" t="s">
        <v>4892</v>
      </c>
    </row>
    <row r="2117" spans="1:3" x14ac:dyDescent="0.3">
      <c r="A2117">
        <v>69105</v>
      </c>
      <c r="B2117" t="s">
        <v>925</v>
      </c>
      <c r="C2117" t="s">
        <v>4892</v>
      </c>
    </row>
    <row r="2118" spans="1:3" x14ac:dyDescent="0.3">
      <c r="A2118">
        <v>69106</v>
      </c>
      <c r="B2118" t="s">
        <v>925</v>
      </c>
      <c r="C2118" t="s">
        <v>4892</v>
      </c>
    </row>
    <row r="2119" spans="1:3" x14ac:dyDescent="0.3">
      <c r="A2119">
        <v>69107</v>
      </c>
      <c r="B2119" t="s">
        <v>925</v>
      </c>
      <c r="C2119" t="s">
        <v>4892</v>
      </c>
    </row>
    <row r="2120" spans="1:3" x14ac:dyDescent="0.3">
      <c r="A2120">
        <v>69108</v>
      </c>
      <c r="B2120" t="s">
        <v>925</v>
      </c>
      <c r="C2120" t="s">
        <v>4892</v>
      </c>
    </row>
    <row r="2121" spans="1:3" x14ac:dyDescent="0.3">
      <c r="A2121">
        <v>69109</v>
      </c>
      <c r="B2121" t="s">
        <v>925</v>
      </c>
      <c r="C2121" t="s">
        <v>4892</v>
      </c>
    </row>
    <row r="2122" spans="1:3" x14ac:dyDescent="0.3">
      <c r="A2122">
        <v>69110</v>
      </c>
      <c r="B2122" t="s">
        <v>925</v>
      </c>
      <c r="C2122" t="s">
        <v>4892</v>
      </c>
    </row>
    <row r="2123" spans="1:3" x14ac:dyDescent="0.3">
      <c r="A2123">
        <v>69111</v>
      </c>
      <c r="B2123" t="s">
        <v>925</v>
      </c>
      <c r="C2123" t="s">
        <v>4892</v>
      </c>
    </row>
    <row r="2124" spans="1:3" x14ac:dyDescent="0.3">
      <c r="A2124">
        <v>69112</v>
      </c>
      <c r="B2124" t="s">
        <v>925</v>
      </c>
      <c r="C2124" t="s">
        <v>4892</v>
      </c>
    </row>
    <row r="2125" spans="1:3" x14ac:dyDescent="0.3">
      <c r="A2125">
        <v>69121</v>
      </c>
      <c r="B2125" t="s">
        <v>925</v>
      </c>
      <c r="C2125" t="s">
        <v>4892</v>
      </c>
    </row>
    <row r="2126" spans="1:3" x14ac:dyDescent="0.3">
      <c r="A2126">
        <v>69122</v>
      </c>
      <c r="B2126" t="s">
        <v>4891</v>
      </c>
      <c r="C2126" t="s">
        <v>4892</v>
      </c>
    </row>
    <row r="2127" spans="1:3" x14ac:dyDescent="0.3">
      <c r="A2127">
        <v>69123</v>
      </c>
      <c r="B2127" t="s">
        <v>4891</v>
      </c>
      <c r="C2127" t="s">
        <v>4892</v>
      </c>
    </row>
    <row r="2128" spans="1:3" x14ac:dyDescent="0.3">
      <c r="A2128">
        <v>69124</v>
      </c>
      <c r="B2128" t="s">
        <v>4891</v>
      </c>
      <c r="C2128" t="s">
        <v>4892</v>
      </c>
    </row>
    <row r="2129" spans="1:3" x14ac:dyDescent="0.3">
      <c r="A2129">
        <v>69125</v>
      </c>
      <c r="B2129" t="s">
        <v>4891</v>
      </c>
      <c r="C2129" t="s">
        <v>4892</v>
      </c>
    </row>
    <row r="2130" spans="1:3" x14ac:dyDescent="0.3">
      <c r="A2130">
        <v>69126</v>
      </c>
      <c r="B2130" t="s">
        <v>925</v>
      </c>
      <c r="C2130" t="s">
        <v>4892</v>
      </c>
    </row>
    <row r="2131" spans="1:3" x14ac:dyDescent="0.3">
      <c r="A2131">
        <v>69127</v>
      </c>
      <c r="B2131" t="s">
        <v>925</v>
      </c>
      <c r="C2131" t="s">
        <v>4892</v>
      </c>
    </row>
    <row r="2132" spans="1:3" x14ac:dyDescent="0.3">
      <c r="A2132">
        <v>69129</v>
      </c>
      <c r="B2132" t="s">
        <v>925</v>
      </c>
      <c r="C2132" t="s">
        <v>4892</v>
      </c>
    </row>
    <row r="2133" spans="1:3" x14ac:dyDescent="0.3">
      <c r="A2133">
        <v>69130</v>
      </c>
      <c r="B2133" t="s">
        <v>4891</v>
      </c>
      <c r="C2133" t="s">
        <v>4892</v>
      </c>
    </row>
    <row r="2134" spans="1:3" x14ac:dyDescent="0.3">
      <c r="A2134">
        <v>69141</v>
      </c>
      <c r="B2134" t="s">
        <v>925</v>
      </c>
      <c r="C2134" t="s">
        <v>4892</v>
      </c>
    </row>
    <row r="2135" spans="1:3" x14ac:dyDescent="0.3">
      <c r="A2135">
        <v>69142</v>
      </c>
      <c r="B2135" t="s">
        <v>925</v>
      </c>
      <c r="C2135" t="s">
        <v>4892</v>
      </c>
    </row>
    <row r="2136" spans="1:3" x14ac:dyDescent="0.3">
      <c r="A2136">
        <v>69143</v>
      </c>
      <c r="B2136" t="s">
        <v>925</v>
      </c>
      <c r="C2136" t="s">
        <v>4892</v>
      </c>
    </row>
    <row r="2137" spans="1:3" x14ac:dyDescent="0.3">
      <c r="A2137">
        <v>69144</v>
      </c>
      <c r="B2137" t="s">
        <v>925</v>
      </c>
      <c r="C2137" t="s">
        <v>4892</v>
      </c>
    </row>
    <row r="2138" spans="1:3" x14ac:dyDescent="0.3">
      <c r="A2138">
        <v>69145</v>
      </c>
      <c r="B2138" t="s">
        <v>925</v>
      </c>
      <c r="C2138" t="s">
        <v>4892</v>
      </c>
    </row>
    <row r="2139" spans="1:3" x14ac:dyDescent="0.3">
      <c r="A2139">
        <v>69146</v>
      </c>
      <c r="B2139" t="s">
        <v>925</v>
      </c>
      <c r="C2139" t="s">
        <v>4892</v>
      </c>
    </row>
    <row r="2140" spans="1:3" x14ac:dyDescent="0.3">
      <c r="A2140">
        <v>69151</v>
      </c>
      <c r="B2140" t="s">
        <v>925</v>
      </c>
      <c r="C2140" t="s">
        <v>4892</v>
      </c>
    </row>
    <row r="2141" spans="1:3" x14ac:dyDescent="0.3">
      <c r="A2141">
        <v>69152</v>
      </c>
      <c r="B2141" t="s">
        <v>925</v>
      </c>
      <c r="C2141" t="s">
        <v>4892</v>
      </c>
    </row>
    <row r="2142" spans="1:3" x14ac:dyDescent="0.3">
      <c r="A2142">
        <v>69153</v>
      </c>
      <c r="B2142" t="s">
        <v>925</v>
      </c>
      <c r="C2142" t="s">
        <v>4892</v>
      </c>
    </row>
    <row r="2143" spans="1:3" x14ac:dyDescent="0.3">
      <c r="A2143">
        <v>69154</v>
      </c>
      <c r="B2143" t="s">
        <v>925</v>
      </c>
      <c r="C2143" t="s">
        <v>4892</v>
      </c>
    </row>
    <row r="2144" spans="1:3" x14ac:dyDescent="0.3">
      <c r="A2144">
        <v>69155</v>
      </c>
      <c r="B2144" t="s">
        <v>925</v>
      </c>
      <c r="C2144" t="s">
        <v>4892</v>
      </c>
    </row>
    <row r="2145" spans="1:3" x14ac:dyDescent="0.3">
      <c r="A2145">
        <v>69156</v>
      </c>
      <c r="B2145" t="s">
        <v>925</v>
      </c>
      <c r="C2145" t="s">
        <v>4892</v>
      </c>
    </row>
    <row r="2146" spans="1:3" x14ac:dyDescent="0.3">
      <c r="A2146">
        <v>69162</v>
      </c>
      <c r="B2146" t="s">
        <v>925</v>
      </c>
      <c r="C2146" t="s">
        <v>4892</v>
      </c>
    </row>
    <row r="2147" spans="1:3" x14ac:dyDescent="0.3">
      <c r="A2147">
        <v>69163</v>
      </c>
      <c r="B2147" t="s">
        <v>925</v>
      </c>
      <c r="C2147" t="s">
        <v>4892</v>
      </c>
    </row>
    <row r="2148" spans="1:3" x14ac:dyDescent="0.3">
      <c r="A2148">
        <v>69164</v>
      </c>
      <c r="B2148" t="s">
        <v>4891</v>
      </c>
      <c r="C2148" t="s">
        <v>4892</v>
      </c>
    </row>
    <row r="2149" spans="1:3" x14ac:dyDescent="0.3">
      <c r="A2149">
        <v>69165</v>
      </c>
      <c r="B2149" t="s">
        <v>925</v>
      </c>
      <c r="C2149" t="s">
        <v>4892</v>
      </c>
    </row>
    <row r="2150" spans="1:3" x14ac:dyDescent="0.3">
      <c r="A2150">
        <v>69167</v>
      </c>
      <c r="B2150" t="s">
        <v>925</v>
      </c>
      <c r="C2150" t="s">
        <v>4892</v>
      </c>
    </row>
    <row r="2151" spans="1:3" x14ac:dyDescent="0.3">
      <c r="A2151">
        <v>69171</v>
      </c>
      <c r="B2151" t="s">
        <v>925</v>
      </c>
      <c r="C2151" t="s">
        <v>4892</v>
      </c>
    </row>
    <row r="2152" spans="1:3" x14ac:dyDescent="0.3">
      <c r="A2152">
        <v>69172</v>
      </c>
      <c r="B2152" t="s">
        <v>925</v>
      </c>
      <c r="C2152" t="s">
        <v>4892</v>
      </c>
    </row>
    <row r="2153" spans="1:3" x14ac:dyDescent="0.3">
      <c r="A2153">
        <v>69173</v>
      </c>
      <c r="B2153" t="s">
        <v>1207</v>
      </c>
      <c r="C2153" t="s">
        <v>4892</v>
      </c>
    </row>
    <row r="2154" spans="1:3" x14ac:dyDescent="0.3">
      <c r="A2154">
        <v>69174</v>
      </c>
      <c r="B2154" t="s">
        <v>925</v>
      </c>
      <c r="C2154" t="s">
        <v>4892</v>
      </c>
    </row>
    <row r="2155" spans="1:3" x14ac:dyDescent="0.3">
      <c r="A2155">
        <v>69175</v>
      </c>
      <c r="B2155" t="s">
        <v>925</v>
      </c>
      <c r="C2155" t="s">
        <v>4892</v>
      </c>
    </row>
    <row r="2156" spans="1:3" x14ac:dyDescent="0.3">
      <c r="A2156">
        <v>69176</v>
      </c>
      <c r="B2156" t="s">
        <v>925</v>
      </c>
      <c r="C2156" t="s">
        <v>4892</v>
      </c>
    </row>
    <row r="2157" spans="1:3" x14ac:dyDescent="0.3">
      <c r="A2157">
        <v>69181</v>
      </c>
      <c r="B2157" t="s">
        <v>925</v>
      </c>
      <c r="C2157" t="s">
        <v>4892</v>
      </c>
    </row>
    <row r="2158" spans="1:3" x14ac:dyDescent="0.3">
      <c r="A2158">
        <v>69182</v>
      </c>
      <c r="B2158" t="s">
        <v>925</v>
      </c>
      <c r="C2158" t="s">
        <v>4892</v>
      </c>
    </row>
    <row r="2159" spans="1:3" x14ac:dyDescent="0.3">
      <c r="A2159">
        <v>69183</v>
      </c>
      <c r="B2159" t="s">
        <v>925</v>
      </c>
      <c r="C2159" t="s">
        <v>4892</v>
      </c>
    </row>
    <row r="2160" spans="1:3" x14ac:dyDescent="0.3">
      <c r="A2160">
        <v>69185</v>
      </c>
      <c r="B2160" t="s">
        <v>925</v>
      </c>
      <c r="C2160" t="s">
        <v>4892</v>
      </c>
    </row>
    <row r="2161" spans="1:3" x14ac:dyDescent="0.3">
      <c r="A2161">
        <v>69186</v>
      </c>
      <c r="B2161" t="s">
        <v>925</v>
      </c>
      <c r="C2161" t="s">
        <v>4892</v>
      </c>
    </row>
    <row r="2162" spans="1:3" x14ac:dyDescent="0.3">
      <c r="A2162">
        <v>69188</v>
      </c>
      <c r="B2162" t="s">
        <v>925</v>
      </c>
      <c r="C2162" t="s">
        <v>4892</v>
      </c>
    </row>
    <row r="2163" spans="1:3" x14ac:dyDescent="0.3">
      <c r="A2163">
        <v>69189</v>
      </c>
      <c r="B2163" t="s">
        <v>925</v>
      </c>
      <c r="C2163" t="s">
        <v>4892</v>
      </c>
    </row>
    <row r="2164" spans="1:3" x14ac:dyDescent="0.3">
      <c r="A2164">
        <v>69201</v>
      </c>
      <c r="B2164" t="s">
        <v>925</v>
      </c>
      <c r="C2164" t="s">
        <v>4892</v>
      </c>
    </row>
    <row r="2165" spans="1:3" x14ac:dyDescent="0.3">
      <c r="A2165">
        <v>69301</v>
      </c>
      <c r="B2165" t="s">
        <v>925</v>
      </c>
      <c r="C2165" t="s">
        <v>4892</v>
      </c>
    </row>
    <row r="2166" spans="1:3" x14ac:dyDescent="0.3">
      <c r="A2166">
        <v>69501</v>
      </c>
      <c r="B2166" t="s">
        <v>1207</v>
      </c>
      <c r="C2166" t="s">
        <v>4892</v>
      </c>
    </row>
    <row r="2167" spans="1:3" x14ac:dyDescent="0.3">
      <c r="A2167">
        <v>69601</v>
      </c>
      <c r="B2167" t="s">
        <v>1207</v>
      </c>
      <c r="C2167" t="s">
        <v>4892</v>
      </c>
    </row>
    <row r="2168" spans="1:3" x14ac:dyDescent="0.3">
      <c r="A2168">
        <v>69602</v>
      </c>
      <c r="B2168" t="s">
        <v>1207</v>
      </c>
      <c r="C2168" t="s">
        <v>4892</v>
      </c>
    </row>
    <row r="2169" spans="1:3" x14ac:dyDescent="0.3">
      <c r="A2169">
        <v>69603</v>
      </c>
      <c r="B2169" t="s">
        <v>1207</v>
      </c>
      <c r="C2169" t="s">
        <v>4892</v>
      </c>
    </row>
    <row r="2170" spans="1:3" x14ac:dyDescent="0.3">
      <c r="A2170">
        <v>69604</v>
      </c>
      <c r="B2170" t="s">
        <v>1207</v>
      </c>
      <c r="C2170" t="s">
        <v>4892</v>
      </c>
    </row>
    <row r="2171" spans="1:3" x14ac:dyDescent="0.3">
      <c r="A2171">
        <v>69605</v>
      </c>
      <c r="B2171" t="s">
        <v>1207</v>
      </c>
      <c r="C2171" t="s">
        <v>4892</v>
      </c>
    </row>
    <row r="2172" spans="1:3" x14ac:dyDescent="0.3">
      <c r="A2172">
        <v>69606</v>
      </c>
      <c r="B2172" t="s">
        <v>1207</v>
      </c>
      <c r="C2172" t="s">
        <v>4892</v>
      </c>
    </row>
    <row r="2173" spans="1:3" x14ac:dyDescent="0.3">
      <c r="A2173">
        <v>69611</v>
      </c>
      <c r="B2173" t="s">
        <v>1207</v>
      </c>
      <c r="C2173" t="s">
        <v>4892</v>
      </c>
    </row>
    <row r="2174" spans="1:3" x14ac:dyDescent="0.3">
      <c r="A2174">
        <v>69612</v>
      </c>
      <c r="B2174" t="s">
        <v>1207</v>
      </c>
      <c r="C2174" t="s">
        <v>4892</v>
      </c>
    </row>
    <row r="2175" spans="1:3" x14ac:dyDescent="0.3">
      <c r="A2175">
        <v>69613</v>
      </c>
      <c r="B2175" t="s">
        <v>1207</v>
      </c>
      <c r="C2175" t="s">
        <v>4892</v>
      </c>
    </row>
    <row r="2176" spans="1:3" x14ac:dyDescent="0.3">
      <c r="A2176">
        <v>69614</v>
      </c>
      <c r="B2176" t="s">
        <v>1207</v>
      </c>
      <c r="C2176" t="s">
        <v>4892</v>
      </c>
    </row>
    <row r="2177" spans="1:3" x14ac:dyDescent="0.3">
      <c r="A2177">
        <v>69615</v>
      </c>
      <c r="B2177" t="s">
        <v>1207</v>
      </c>
      <c r="C2177" t="s">
        <v>4892</v>
      </c>
    </row>
    <row r="2178" spans="1:3" x14ac:dyDescent="0.3">
      <c r="A2178">
        <v>69616</v>
      </c>
      <c r="B2178" t="s">
        <v>1207</v>
      </c>
      <c r="C2178" t="s">
        <v>4892</v>
      </c>
    </row>
    <row r="2179" spans="1:3" x14ac:dyDescent="0.3">
      <c r="A2179">
        <v>69617</v>
      </c>
      <c r="B2179" t="s">
        <v>1207</v>
      </c>
      <c r="C2179" t="s">
        <v>4892</v>
      </c>
    </row>
    <row r="2180" spans="1:3" x14ac:dyDescent="0.3">
      <c r="A2180">
        <v>69618</v>
      </c>
      <c r="B2180" t="s">
        <v>1207</v>
      </c>
      <c r="C2180" t="s">
        <v>4892</v>
      </c>
    </row>
    <row r="2181" spans="1:3" x14ac:dyDescent="0.3">
      <c r="A2181">
        <v>69619</v>
      </c>
      <c r="B2181" t="s">
        <v>1207</v>
      </c>
      <c r="C2181" t="s">
        <v>4892</v>
      </c>
    </row>
    <row r="2182" spans="1:3" x14ac:dyDescent="0.3">
      <c r="A2182">
        <v>69621</v>
      </c>
      <c r="B2182" t="s">
        <v>1207</v>
      </c>
      <c r="C2182" t="s">
        <v>4892</v>
      </c>
    </row>
    <row r="2183" spans="1:3" x14ac:dyDescent="0.3">
      <c r="A2183">
        <v>69631</v>
      </c>
      <c r="B2183" t="s">
        <v>1207</v>
      </c>
      <c r="C2183" t="s">
        <v>4892</v>
      </c>
    </row>
    <row r="2184" spans="1:3" x14ac:dyDescent="0.3">
      <c r="A2184">
        <v>69632</v>
      </c>
      <c r="B2184" t="s">
        <v>1207</v>
      </c>
      <c r="C2184" t="s">
        <v>4892</v>
      </c>
    </row>
    <row r="2185" spans="1:3" x14ac:dyDescent="0.3">
      <c r="A2185">
        <v>69633</v>
      </c>
      <c r="B2185" t="s">
        <v>1207</v>
      </c>
      <c r="C2185" t="s">
        <v>4892</v>
      </c>
    </row>
    <row r="2186" spans="1:3" x14ac:dyDescent="0.3">
      <c r="A2186">
        <v>69634</v>
      </c>
      <c r="B2186" t="s">
        <v>1207</v>
      </c>
      <c r="C2186" t="s">
        <v>4892</v>
      </c>
    </row>
    <row r="2187" spans="1:3" x14ac:dyDescent="0.3">
      <c r="A2187">
        <v>69635</v>
      </c>
      <c r="B2187" t="s">
        <v>1207</v>
      </c>
      <c r="C2187" t="s">
        <v>4892</v>
      </c>
    </row>
    <row r="2188" spans="1:3" x14ac:dyDescent="0.3">
      <c r="A2188">
        <v>69636</v>
      </c>
      <c r="B2188" t="s">
        <v>1207</v>
      </c>
      <c r="C2188" t="s">
        <v>4892</v>
      </c>
    </row>
    <row r="2189" spans="1:3" x14ac:dyDescent="0.3">
      <c r="A2189">
        <v>69637</v>
      </c>
      <c r="B2189" t="s">
        <v>1207</v>
      </c>
      <c r="C2189" t="s">
        <v>4892</v>
      </c>
    </row>
    <row r="2190" spans="1:3" x14ac:dyDescent="0.3">
      <c r="A2190">
        <v>69638</v>
      </c>
      <c r="B2190" t="s">
        <v>1207</v>
      </c>
      <c r="C2190" t="s">
        <v>4892</v>
      </c>
    </row>
    <row r="2191" spans="1:3" x14ac:dyDescent="0.3">
      <c r="A2191">
        <v>69639</v>
      </c>
      <c r="B2191" t="s">
        <v>1207</v>
      </c>
      <c r="C2191" t="s">
        <v>4892</v>
      </c>
    </row>
    <row r="2192" spans="1:3" x14ac:dyDescent="0.3">
      <c r="A2192">
        <v>69641</v>
      </c>
      <c r="B2192" t="s">
        <v>1207</v>
      </c>
      <c r="C2192" t="s">
        <v>4892</v>
      </c>
    </row>
    <row r="2193" spans="1:3" x14ac:dyDescent="0.3">
      <c r="A2193">
        <v>69642</v>
      </c>
      <c r="B2193" t="s">
        <v>1207</v>
      </c>
      <c r="C2193" t="s">
        <v>4892</v>
      </c>
    </row>
    <row r="2194" spans="1:3" x14ac:dyDescent="0.3">
      <c r="A2194">
        <v>69647</v>
      </c>
      <c r="B2194" t="s">
        <v>1207</v>
      </c>
      <c r="C2194" t="s">
        <v>4892</v>
      </c>
    </row>
    <row r="2195" spans="1:3" x14ac:dyDescent="0.3">
      <c r="A2195">
        <v>69648</v>
      </c>
      <c r="B2195" t="s">
        <v>1207</v>
      </c>
      <c r="C2195" t="s">
        <v>4892</v>
      </c>
    </row>
    <row r="2196" spans="1:3" x14ac:dyDescent="0.3">
      <c r="A2196">
        <v>69649</v>
      </c>
      <c r="B2196" t="s">
        <v>1207</v>
      </c>
      <c r="C2196" t="s">
        <v>4892</v>
      </c>
    </row>
    <row r="2197" spans="1:3" x14ac:dyDescent="0.3">
      <c r="A2197">
        <v>69650</v>
      </c>
      <c r="B2197" t="s">
        <v>1207</v>
      </c>
      <c r="C2197" t="s">
        <v>4892</v>
      </c>
    </row>
    <row r="2198" spans="1:3" x14ac:dyDescent="0.3">
      <c r="A2198">
        <v>69651</v>
      </c>
      <c r="B2198" t="s">
        <v>1207</v>
      </c>
      <c r="C2198" t="s">
        <v>4892</v>
      </c>
    </row>
    <row r="2199" spans="1:3" x14ac:dyDescent="0.3">
      <c r="A2199">
        <v>69655</v>
      </c>
      <c r="B2199" t="s">
        <v>1207</v>
      </c>
      <c r="C2199" t="s">
        <v>4892</v>
      </c>
    </row>
    <row r="2200" spans="1:3" x14ac:dyDescent="0.3">
      <c r="A2200">
        <v>69661</v>
      </c>
      <c r="B2200" t="s">
        <v>1207</v>
      </c>
      <c r="C2200" t="s">
        <v>4892</v>
      </c>
    </row>
    <row r="2201" spans="1:3" x14ac:dyDescent="0.3">
      <c r="A2201">
        <v>69662</v>
      </c>
      <c r="B2201" t="s">
        <v>1207</v>
      </c>
      <c r="C2201" t="s">
        <v>4892</v>
      </c>
    </row>
    <row r="2202" spans="1:3" x14ac:dyDescent="0.3">
      <c r="A2202">
        <v>69663</v>
      </c>
      <c r="B2202" t="s">
        <v>1207</v>
      </c>
      <c r="C2202" t="s">
        <v>4892</v>
      </c>
    </row>
    <row r="2203" spans="1:3" x14ac:dyDescent="0.3">
      <c r="A2203">
        <v>69664</v>
      </c>
      <c r="B2203" t="s">
        <v>1207</v>
      </c>
      <c r="C2203" t="s">
        <v>4892</v>
      </c>
    </row>
    <row r="2204" spans="1:3" x14ac:dyDescent="0.3">
      <c r="A2204">
        <v>69665</v>
      </c>
      <c r="B2204" t="s">
        <v>1207</v>
      </c>
      <c r="C2204" t="s">
        <v>4892</v>
      </c>
    </row>
    <row r="2205" spans="1:3" x14ac:dyDescent="0.3">
      <c r="A2205">
        <v>69666</v>
      </c>
      <c r="B2205" t="s">
        <v>1207</v>
      </c>
      <c r="C2205" t="s">
        <v>4892</v>
      </c>
    </row>
    <row r="2206" spans="1:3" x14ac:dyDescent="0.3">
      <c r="A2206">
        <v>69667</v>
      </c>
      <c r="B2206" t="s">
        <v>1207</v>
      </c>
      <c r="C2206" t="s">
        <v>4892</v>
      </c>
    </row>
    <row r="2207" spans="1:3" x14ac:dyDescent="0.3">
      <c r="A2207">
        <v>69671</v>
      </c>
      <c r="B2207" t="s">
        <v>1207</v>
      </c>
      <c r="C2207" t="s">
        <v>4892</v>
      </c>
    </row>
    <row r="2208" spans="1:3" x14ac:dyDescent="0.3">
      <c r="A2208">
        <v>69672</v>
      </c>
      <c r="B2208" t="s">
        <v>1207</v>
      </c>
      <c r="C2208" t="s">
        <v>4892</v>
      </c>
    </row>
    <row r="2209" spans="1:3" x14ac:dyDescent="0.3">
      <c r="A2209">
        <v>69673</v>
      </c>
      <c r="B2209" t="s">
        <v>1207</v>
      </c>
      <c r="C2209" t="s">
        <v>4892</v>
      </c>
    </row>
    <row r="2210" spans="1:3" x14ac:dyDescent="0.3">
      <c r="A2210">
        <v>69674</v>
      </c>
      <c r="B2210" t="s">
        <v>1207</v>
      </c>
      <c r="C2210" t="s">
        <v>4892</v>
      </c>
    </row>
    <row r="2211" spans="1:3" x14ac:dyDescent="0.3">
      <c r="A2211">
        <v>69676</v>
      </c>
      <c r="B2211" t="s">
        <v>1207</v>
      </c>
      <c r="C2211" t="s">
        <v>4892</v>
      </c>
    </row>
    <row r="2212" spans="1:3" x14ac:dyDescent="0.3">
      <c r="A2212">
        <v>69681</v>
      </c>
      <c r="B2212" t="s">
        <v>1207</v>
      </c>
      <c r="C2212" t="s">
        <v>4892</v>
      </c>
    </row>
    <row r="2213" spans="1:3" x14ac:dyDescent="0.3">
      <c r="A2213">
        <v>69683</v>
      </c>
      <c r="B2213" t="s">
        <v>1207</v>
      </c>
      <c r="C2213" t="s">
        <v>4892</v>
      </c>
    </row>
    <row r="2214" spans="1:3" x14ac:dyDescent="0.3">
      <c r="A2214">
        <v>69684</v>
      </c>
      <c r="B2214" t="s">
        <v>1207</v>
      </c>
      <c r="C2214" t="s">
        <v>4892</v>
      </c>
    </row>
    <row r="2215" spans="1:3" x14ac:dyDescent="0.3">
      <c r="A2215">
        <v>69685</v>
      </c>
      <c r="B2215" t="s">
        <v>1207</v>
      </c>
      <c r="C2215" t="s">
        <v>4892</v>
      </c>
    </row>
    <row r="2216" spans="1:3" x14ac:dyDescent="0.3">
      <c r="A2216">
        <v>69701</v>
      </c>
      <c r="B2216" t="s">
        <v>1207</v>
      </c>
      <c r="C2216" t="s">
        <v>4892</v>
      </c>
    </row>
    <row r="2217" spans="1:3" x14ac:dyDescent="0.3">
      <c r="A2217">
        <v>69801</v>
      </c>
      <c r="B2217" t="s">
        <v>1207</v>
      </c>
      <c r="C2217" t="s">
        <v>4892</v>
      </c>
    </row>
    <row r="2218" spans="1:3" x14ac:dyDescent="0.3">
      <c r="A2218">
        <v>70030</v>
      </c>
      <c r="B2218" t="s">
        <v>4896</v>
      </c>
      <c r="C2218" t="s">
        <v>4897</v>
      </c>
    </row>
    <row r="2219" spans="1:3" x14ac:dyDescent="0.3">
      <c r="A2219">
        <v>70200</v>
      </c>
      <c r="B2219" t="s">
        <v>4896</v>
      </c>
      <c r="C2219" t="s">
        <v>4897</v>
      </c>
    </row>
    <row r="2220" spans="1:3" x14ac:dyDescent="0.3">
      <c r="A2220">
        <v>70250</v>
      </c>
      <c r="B2220" t="s">
        <v>4896</v>
      </c>
      <c r="C2220" t="s">
        <v>4897</v>
      </c>
    </row>
    <row r="2221" spans="1:3" x14ac:dyDescent="0.3">
      <c r="A2221">
        <v>70300</v>
      </c>
      <c r="B2221" t="s">
        <v>4896</v>
      </c>
      <c r="C2221" t="s">
        <v>4897</v>
      </c>
    </row>
    <row r="2222" spans="1:3" x14ac:dyDescent="0.3">
      <c r="A2222">
        <v>70800</v>
      </c>
      <c r="B2222" t="s">
        <v>4896</v>
      </c>
      <c r="C2222" t="s">
        <v>4897</v>
      </c>
    </row>
    <row r="2223" spans="1:3" x14ac:dyDescent="0.3">
      <c r="A2223">
        <v>70900</v>
      </c>
      <c r="B2223" t="s">
        <v>4896</v>
      </c>
      <c r="C2223" t="s">
        <v>4897</v>
      </c>
    </row>
    <row r="2224" spans="1:3" x14ac:dyDescent="0.3">
      <c r="A2224">
        <v>71000</v>
      </c>
      <c r="B2224" t="s">
        <v>4896</v>
      </c>
      <c r="C2224" t="s">
        <v>4897</v>
      </c>
    </row>
    <row r="2225" spans="1:3" x14ac:dyDescent="0.3">
      <c r="A2225">
        <v>71100</v>
      </c>
      <c r="B2225" t="s">
        <v>4896</v>
      </c>
      <c r="C2225" t="s">
        <v>4897</v>
      </c>
    </row>
    <row r="2226" spans="1:3" x14ac:dyDescent="0.3">
      <c r="A2226">
        <v>71200</v>
      </c>
      <c r="B2226" t="s">
        <v>4896</v>
      </c>
      <c r="C2226" t="s">
        <v>4897</v>
      </c>
    </row>
    <row r="2227" spans="1:3" x14ac:dyDescent="0.3">
      <c r="A2227">
        <v>71300</v>
      </c>
      <c r="B2227" t="s">
        <v>4896</v>
      </c>
      <c r="C2227" t="s">
        <v>4897</v>
      </c>
    </row>
    <row r="2228" spans="1:3" x14ac:dyDescent="0.3">
      <c r="A2228">
        <v>71500</v>
      </c>
      <c r="B2228" t="s">
        <v>4896</v>
      </c>
      <c r="C2228" t="s">
        <v>4897</v>
      </c>
    </row>
    <row r="2229" spans="1:3" x14ac:dyDescent="0.3">
      <c r="A2229">
        <v>71600</v>
      </c>
      <c r="B2229" t="s">
        <v>4896</v>
      </c>
      <c r="C2229" t="s">
        <v>4897</v>
      </c>
    </row>
    <row r="2230" spans="1:3" x14ac:dyDescent="0.3">
      <c r="A2230">
        <v>71700</v>
      </c>
      <c r="B2230" t="s">
        <v>4896</v>
      </c>
      <c r="C2230" t="s">
        <v>4897</v>
      </c>
    </row>
    <row r="2231" spans="1:3" x14ac:dyDescent="0.3">
      <c r="A2231">
        <v>71800</v>
      </c>
      <c r="B2231" t="s">
        <v>4896</v>
      </c>
      <c r="C2231" t="s">
        <v>4897</v>
      </c>
    </row>
    <row r="2232" spans="1:3" x14ac:dyDescent="0.3">
      <c r="A2232">
        <v>71900</v>
      </c>
      <c r="B2232" t="s">
        <v>4896</v>
      </c>
      <c r="C2232" t="s">
        <v>4897</v>
      </c>
    </row>
    <row r="2233" spans="1:3" x14ac:dyDescent="0.3">
      <c r="A2233">
        <v>72000</v>
      </c>
      <c r="B2233" t="s">
        <v>4896</v>
      </c>
      <c r="C2233" t="s">
        <v>4897</v>
      </c>
    </row>
    <row r="2234" spans="1:3" x14ac:dyDescent="0.3">
      <c r="A2234">
        <v>72100</v>
      </c>
      <c r="B2234" t="s">
        <v>4896</v>
      </c>
      <c r="C2234" t="s">
        <v>4897</v>
      </c>
    </row>
    <row r="2235" spans="1:3" x14ac:dyDescent="0.3">
      <c r="A2235">
        <v>72200</v>
      </c>
      <c r="B2235" t="s">
        <v>4896</v>
      </c>
      <c r="C2235" t="s">
        <v>4897</v>
      </c>
    </row>
    <row r="2236" spans="1:3" x14ac:dyDescent="0.3">
      <c r="A2236">
        <v>72300</v>
      </c>
      <c r="B2236" t="s">
        <v>4896</v>
      </c>
      <c r="C2236" t="s">
        <v>4897</v>
      </c>
    </row>
    <row r="2237" spans="1:3" x14ac:dyDescent="0.3">
      <c r="A2237">
        <v>72400</v>
      </c>
      <c r="B2237" t="s">
        <v>4896</v>
      </c>
      <c r="C2237" t="s">
        <v>4897</v>
      </c>
    </row>
    <row r="2238" spans="1:3" x14ac:dyDescent="0.3">
      <c r="A2238">
        <v>72525</v>
      </c>
      <c r="B2238" t="s">
        <v>4896</v>
      </c>
      <c r="C2238" t="s">
        <v>4897</v>
      </c>
    </row>
    <row r="2239" spans="1:3" x14ac:dyDescent="0.3">
      <c r="A2239">
        <v>72526</v>
      </c>
      <c r="B2239" t="s">
        <v>4896</v>
      </c>
      <c r="C2239" t="s">
        <v>4897</v>
      </c>
    </row>
    <row r="2240" spans="1:3" x14ac:dyDescent="0.3">
      <c r="A2240">
        <v>72527</v>
      </c>
      <c r="B2240" t="s">
        <v>4896</v>
      </c>
      <c r="C2240" t="s">
        <v>4897</v>
      </c>
    </row>
    <row r="2241" spans="1:3" x14ac:dyDescent="0.3">
      <c r="A2241">
        <v>72528</v>
      </c>
      <c r="B2241" t="s">
        <v>4896</v>
      </c>
      <c r="C2241" t="s">
        <v>4897</v>
      </c>
    </row>
    <row r="2242" spans="1:3" x14ac:dyDescent="0.3">
      <c r="A2242">
        <v>72529</v>
      </c>
      <c r="B2242" t="s">
        <v>4896</v>
      </c>
      <c r="C2242" t="s">
        <v>4897</v>
      </c>
    </row>
    <row r="2243" spans="1:3" x14ac:dyDescent="0.3">
      <c r="A2243">
        <v>73301</v>
      </c>
      <c r="B2243" t="s">
        <v>2455</v>
      </c>
      <c r="C2243" t="s">
        <v>4897</v>
      </c>
    </row>
    <row r="2244" spans="1:3" x14ac:dyDescent="0.3">
      <c r="A2244">
        <v>73401</v>
      </c>
      <c r="B2244" t="s">
        <v>2455</v>
      </c>
      <c r="C2244" t="s">
        <v>4897</v>
      </c>
    </row>
    <row r="2245" spans="1:3" x14ac:dyDescent="0.3">
      <c r="A2245">
        <v>73503</v>
      </c>
      <c r="B2245" t="s">
        <v>2455</v>
      </c>
      <c r="C2245" t="s">
        <v>4897</v>
      </c>
    </row>
    <row r="2246" spans="1:3" x14ac:dyDescent="0.3">
      <c r="A2246">
        <v>73506</v>
      </c>
      <c r="B2246" t="s">
        <v>2455</v>
      </c>
      <c r="C2246" t="s">
        <v>4897</v>
      </c>
    </row>
    <row r="2247" spans="1:3" x14ac:dyDescent="0.3">
      <c r="A2247">
        <v>73511</v>
      </c>
      <c r="B2247" t="s">
        <v>2455</v>
      </c>
      <c r="C2247" t="s">
        <v>4897</v>
      </c>
    </row>
    <row r="2248" spans="1:3" x14ac:dyDescent="0.3">
      <c r="A2248">
        <v>73514</v>
      </c>
      <c r="B2248" t="s">
        <v>2455</v>
      </c>
      <c r="C2248" t="s">
        <v>4897</v>
      </c>
    </row>
    <row r="2249" spans="1:3" x14ac:dyDescent="0.3">
      <c r="A2249">
        <v>73531</v>
      </c>
      <c r="B2249" t="s">
        <v>2455</v>
      </c>
      <c r="C2249" t="s">
        <v>4897</v>
      </c>
    </row>
    <row r="2250" spans="1:3" x14ac:dyDescent="0.3">
      <c r="A2250">
        <v>73532</v>
      </c>
      <c r="B2250" t="s">
        <v>2455</v>
      </c>
      <c r="C2250" t="s">
        <v>4897</v>
      </c>
    </row>
    <row r="2251" spans="1:3" x14ac:dyDescent="0.3">
      <c r="A2251">
        <v>73533</v>
      </c>
      <c r="B2251" t="s">
        <v>2455</v>
      </c>
      <c r="C2251" t="s">
        <v>4897</v>
      </c>
    </row>
    <row r="2252" spans="1:3" x14ac:dyDescent="0.3">
      <c r="A2252">
        <v>73534</v>
      </c>
      <c r="B2252" t="s">
        <v>2455</v>
      </c>
      <c r="C2252" t="s">
        <v>4897</v>
      </c>
    </row>
    <row r="2253" spans="1:3" x14ac:dyDescent="0.3">
      <c r="A2253">
        <v>73535</v>
      </c>
      <c r="B2253" t="s">
        <v>2455</v>
      </c>
      <c r="C2253" t="s">
        <v>4897</v>
      </c>
    </row>
    <row r="2254" spans="1:3" x14ac:dyDescent="0.3">
      <c r="A2254">
        <v>73541</v>
      </c>
      <c r="B2254" t="s">
        <v>2455</v>
      </c>
      <c r="C2254" t="s">
        <v>4897</v>
      </c>
    </row>
    <row r="2255" spans="1:3" x14ac:dyDescent="0.3">
      <c r="A2255">
        <v>73542</v>
      </c>
      <c r="B2255" t="s">
        <v>2455</v>
      </c>
      <c r="C2255" t="s">
        <v>4897</v>
      </c>
    </row>
    <row r="2256" spans="1:3" x14ac:dyDescent="0.3">
      <c r="A2256">
        <v>73543</v>
      </c>
      <c r="B2256" t="s">
        <v>2455</v>
      </c>
      <c r="C2256" t="s">
        <v>4897</v>
      </c>
    </row>
    <row r="2257" spans="1:3" x14ac:dyDescent="0.3">
      <c r="A2257">
        <v>73551</v>
      </c>
      <c r="B2257" t="s">
        <v>2455</v>
      </c>
      <c r="C2257" t="s">
        <v>4897</v>
      </c>
    </row>
    <row r="2258" spans="1:3" x14ac:dyDescent="0.3">
      <c r="A2258">
        <v>73552</v>
      </c>
      <c r="B2258" t="s">
        <v>2455</v>
      </c>
      <c r="C2258" t="s">
        <v>4897</v>
      </c>
    </row>
    <row r="2259" spans="1:3" x14ac:dyDescent="0.3">
      <c r="A2259">
        <v>73553</v>
      </c>
      <c r="B2259" t="s">
        <v>2455</v>
      </c>
      <c r="C2259" t="s">
        <v>4897</v>
      </c>
    </row>
    <row r="2260" spans="1:3" x14ac:dyDescent="0.3">
      <c r="A2260">
        <v>73561</v>
      </c>
      <c r="B2260" t="s">
        <v>2455</v>
      </c>
      <c r="C2260" t="s">
        <v>4897</v>
      </c>
    </row>
    <row r="2261" spans="1:3" x14ac:dyDescent="0.3">
      <c r="A2261">
        <v>73562</v>
      </c>
      <c r="B2261" t="s">
        <v>2455</v>
      </c>
      <c r="C2261" t="s">
        <v>4897</v>
      </c>
    </row>
    <row r="2262" spans="1:3" x14ac:dyDescent="0.3">
      <c r="A2262">
        <v>73564</v>
      </c>
      <c r="B2262" t="s">
        <v>2455</v>
      </c>
      <c r="C2262" t="s">
        <v>4897</v>
      </c>
    </row>
    <row r="2263" spans="1:3" x14ac:dyDescent="0.3">
      <c r="A2263">
        <v>73571</v>
      </c>
      <c r="B2263" t="s">
        <v>2455</v>
      </c>
      <c r="C2263" t="s">
        <v>4897</v>
      </c>
    </row>
    <row r="2264" spans="1:3" x14ac:dyDescent="0.3">
      <c r="A2264">
        <v>73572</v>
      </c>
      <c r="B2264" t="s">
        <v>2455</v>
      </c>
      <c r="C2264" t="s">
        <v>4897</v>
      </c>
    </row>
    <row r="2265" spans="1:3" x14ac:dyDescent="0.3">
      <c r="A2265">
        <v>73581</v>
      </c>
      <c r="B2265" t="s">
        <v>2455</v>
      </c>
      <c r="C2265" t="s">
        <v>4897</v>
      </c>
    </row>
    <row r="2266" spans="1:3" x14ac:dyDescent="0.3">
      <c r="A2266">
        <v>73601</v>
      </c>
      <c r="B2266" t="s">
        <v>2455</v>
      </c>
      <c r="C2266" t="s">
        <v>4897</v>
      </c>
    </row>
    <row r="2267" spans="1:3" x14ac:dyDescent="0.3">
      <c r="A2267">
        <v>73701</v>
      </c>
      <c r="B2267" t="s">
        <v>2455</v>
      </c>
      <c r="C2267" t="s">
        <v>4897</v>
      </c>
    </row>
    <row r="2268" spans="1:3" x14ac:dyDescent="0.3">
      <c r="A2268">
        <v>73801</v>
      </c>
      <c r="B2268" t="s">
        <v>477</v>
      </c>
      <c r="C2268" t="s">
        <v>4897</v>
      </c>
    </row>
    <row r="2269" spans="1:3" x14ac:dyDescent="0.3">
      <c r="A2269">
        <v>73901</v>
      </c>
      <c r="B2269" t="s">
        <v>477</v>
      </c>
      <c r="C2269" t="s">
        <v>4897</v>
      </c>
    </row>
    <row r="2270" spans="1:3" x14ac:dyDescent="0.3">
      <c r="A2270">
        <v>73904</v>
      </c>
      <c r="B2270" t="s">
        <v>477</v>
      </c>
      <c r="C2270" t="s">
        <v>4897</v>
      </c>
    </row>
    <row r="2271" spans="1:3" x14ac:dyDescent="0.3">
      <c r="A2271">
        <v>73908</v>
      </c>
      <c r="B2271" t="s">
        <v>477</v>
      </c>
      <c r="C2271" t="s">
        <v>4897</v>
      </c>
    </row>
    <row r="2272" spans="1:3" x14ac:dyDescent="0.3">
      <c r="A2272">
        <v>73911</v>
      </c>
      <c r="B2272" t="s">
        <v>477</v>
      </c>
      <c r="C2272" t="s">
        <v>4897</v>
      </c>
    </row>
    <row r="2273" spans="1:3" x14ac:dyDescent="0.3">
      <c r="A2273">
        <v>73912</v>
      </c>
      <c r="B2273" t="s">
        <v>477</v>
      </c>
      <c r="C2273" t="s">
        <v>4897</v>
      </c>
    </row>
    <row r="2274" spans="1:3" x14ac:dyDescent="0.3">
      <c r="A2274">
        <v>73913</v>
      </c>
      <c r="B2274" t="s">
        <v>477</v>
      </c>
      <c r="C2274" t="s">
        <v>4897</v>
      </c>
    </row>
    <row r="2275" spans="1:3" x14ac:dyDescent="0.3">
      <c r="A2275">
        <v>73914</v>
      </c>
      <c r="B2275" t="s">
        <v>477</v>
      </c>
      <c r="C2275" t="s">
        <v>4897</v>
      </c>
    </row>
    <row r="2276" spans="1:3" x14ac:dyDescent="0.3">
      <c r="A2276">
        <v>73915</v>
      </c>
      <c r="B2276" t="s">
        <v>477</v>
      </c>
      <c r="C2276" t="s">
        <v>4897</v>
      </c>
    </row>
    <row r="2277" spans="1:3" x14ac:dyDescent="0.3">
      <c r="A2277">
        <v>73921</v>
      </c>
      <c r="B2277" t="s">
        <v>477</v>
      </c>
      <c r="C2277" t="s">
        <v>4897</v>
      </c>
    </row>
    <row r="2278" spans="1:3" x14ac:dyDescent="0.3">
      <c r="A2278">
        <v>73923</v>
      </c>
      <c r="B2278" t="s">
        <v>4896</v>
      </c>
      <c r="C2278" t="s">
        <v>4897</v>
      </c>
    </row>
    <row r="2279" spans="1:3" x14ac:dyDescent="0.3">
      <c r="A2279">
        <v>73924</v>
      </c>
      <c r="B2279" t="s">
        <v>477</v>
      </c>
      <c r="C2279" t="s">
        <v>4897</v>
      </c>
    </row>
    <row r="2280" spans="1:3" x14ac:dyDescent="0.3">
      <c r="A2280">
        <v>73925</v>
      </c>
      <c r="B2280" t="s">
        <v>477</v>
      </c>
      <c r="C2280" t="s">
        <v>4897</v>
      </c>
    </row>
    <row r="2281" spans="1:3" x14ac:dyDescent="0.3">
      <c r="A2281">
        <v>73932</v>
      </c>
      <c r="B2281" t="s">
        <v>4896</v>
      </c>
      <c r="C2281" t="s">
        <v>4897</v>
      </c>
    </row>
    <row r="2282" spans="1:3" x14ac:dyDescent="0.3">
      <c r="A2282">
        <v>73934</v>
      </c>
      <c r="B2282" t="s">
        <v>4896</v>
      </c>
      <c r="C2282" t="s">
        <v>4897</v>
      </c>
    </row>
    <row r="2283" spans="1:3" x14ac:dyDescent="0.3">
      <c r="A2283">
        <v>73936</v>
      </c>
      <c r="B2283" t="s">
        <v>477</v>
      </c>
      <c r="C2283" t="s">
        <v>4897</v>
      </c>
    </row>
    <row r="2284" spans="1:3" x14ac:dyDescent="0.3">
      <c r="A2284">
        <v>73937</v>
      </c>
      <c r="B2284" t="s">
        <v>2455</v>
      </c>
      <c r="C2284" t="s">
        <v>4897</v>
      </c>
    </row>
    <row r="2285" spans="1:3" x14ac:dyDescent="0.3">
      <c r="A2285">
        <v>73938</v>
      </c>
      <c r="B2285" t="s">
        <v>477</v>
      </c>
      <c r="C2285" t="s">
        <v>4897</v>
      </c>
    </row>
    <row r="2286" spans="1:3" x14ac:dyDescent="0.3">
      <c r="A2286">
        <v>73939</v>
      </c>
      <c r="B2286" t="s">
        <v>477</v>
      </c>
      <c r="C2286" t="s">
        <v>4897</v>
      </c>
    </row>
    <row r="2287" spans="1:3" x14ac:dyDescent="0.3">
      <c r="A2287">
        <v>73941</v>
      </c>
      <c r="B2287" t="s">
        <v>477</v>
      </c>
      <c r="C2287" t="s">
        <v>4897</v>
      </c>
    </row>
    <row r="2288" spans="1:3" x14ac:dyDescent="0.3">
      <c r="A2288">
        <v>73942</v>
      </c>
      <c r="B2288" t="s">
        <v>477</v>
      </c>
      <c r="C2288" t="s">
        <v>4897</v>
      </c>
    </row>
    <row r="2289" spans="1:3" x14ac:dyDescent="0.3">
      <c r="A2289">
        <v>73943</v>
      </c>
      <c r="B2289" t="s">
        <v>477</v>
      </c>
      <c r="C2289" t="s">
        <v>4897</v>
      </c>
    </row>
    <row r="2290" spans="1:3" x14ac:dyDescent="0.3">
      <c r="A2290">
        <v>73944</v>
      </c>
      <c r="B2290" t="s">
        <v>477</v>
      </c>
      <c r="C2290" t="s">
        <v>4897</v>
      </c>
    </row>
    <row r="2291" spans="1:3" x14ac:dyDescent="0.3">
      <c r="A2291">
        <v>73945</v>
      </c>
      <c r="B2291" t="s">
        <v>477</v>
      </c>
      <c r="C2291" t="s">
        <v>4897</v>
      </c>
    </row>
    <row r="2292" spans="1:3" x14ac:dyDescent="0.3">
      <c r="A2292">
        <v>73946</v>
      </c>
      <c r="B2292" t="s">
        <v>477</v>
      </c>
      <c r="C2292" t="s">
        <v>4897</v>
      </c>
    </row>
    <row r="2293" spans="1:3" x14ac:dyDescent="0.3">
      <c r="A2293">
        <v>73947</v>
      </c>
      <c r="B2293" t="s">
        <v>477</v>
      </c>
      <c r="C2293" t="s">
        <v>4897</v>
      </c>
    </row>
    <row r="2294" spans="1:3" x14ac:dyDescent="0.3">
      <c r="A2294">
        <v>73949</v>
      </c>
      <c r="B2294" t="s">
        <v>477</v>
      </c>
      <c r="C2294" t="s">
        <v>4897</v>
      </c>
    </row>
    <row r="2295" spans="1:3" x14ac:dyDescent="0.3">
      <c r="A2295">
        <v>73951</v>
      </c>
      <c r="B2295" t="s">
        <v>477</v>
      </c>
      <c r="C2295" t="s">
        <v>4897</v>
      </c>
    </row>
    <row r="2296" spans="1:3" x14ac:dyDescent="0.3">
      <c r="A2296">
        <v>73953</v>
      </c>
      <c r="B2296" t="s">
        <v>477</v>
      </c>
      <c r="C2296" t="s">
        <v>4897</v>
      </c>
    </row>
    <row r="2297" spans="1:3" x14ac:dyDescent="0.3">
      <c r="A2297">
        <v>73955</v>
      </c>
      <c r="B2297" t="s">
        <v>477</v>
      </c>
      <c r="C2297" t="s">
        <v>4897</v>
      </c>
    </row>
    <row r="2298" spans="1:3" x14ac:dyDescent="0.3">
      <c r="A2298">
        <v>73959</v>
      </c>
      <c r="B2298" t="s">
        <v>477</v>
      </c>
      <c r="C2298" t="s">
        <v>4897</v>
      </c>
    </row>
    <row r="2299" spans="1:3" x14ac:dyDescent="0.3">
      <c r="A2299">
        <v>73961</v>
      </c>
      <c r="B2299" t="s">
        <v>477</v>
      </c>
      <c r="C2299" t="s">
        <v>4897</v>
      </c>
    </row>
    <row r="2300" spans="1:3" x14ac:dyDescent="0.3">
      <c r="A2300">
        <v>73981</v>
      </c>
      <c r="B2300" t="s">
        <v>477</v>
      </c>
      <c r="C2300" t="s">
        <v>4897</v>
      </c>
    </row>
    <row r="2301" spans="1:3" x14ac:dyDescent="0.3">
      <c r="A2301">
        <v>73984</v>
      </c>
      <c r="B2301" t="s">
        <v>477</v>
      </c>
      <c r="C2301" t="s">
        <v>4897</v>
      </c>
    </row>
    <row r="2302" spans="1:3" x14ac:dyDescent="0.3">
      <c r="A2302">
        <v>73991</v>
      </c>
      <c r="B2302" t="s">
        <v>477</v>
      </c>
      <c r="C2302" t="s">
        <v>4897</v>
      </c>
    </row>
    <row r="2303" spans="1:3" x14ac:dyDescent="0.3">
      <c r="A2303">
        <v>73992</v>
      </c>
      <c r="B2303" t="s">
        <v>477</v>
      </c>
      <c r="C2303" t="s">
        <v>4897</v>
      </c>
    </row>
    <row r="2304" spans="1:3" x14ac:dyDescent="0.3">
      <c r="A2304">
        <v>73994</v>
      </c>
      <c r="B2304" t="s">
        <v>477</v>
      </c>
      <c r="C2304" t="s">
        <v>4897</v>
      </c>
    </row>
    <row r="2305" spans="1:3" x14ac:dyDescent="0.3">
      <c r="A2305">
        <v>73995</v>
      </c>
      <c r="B2305" t="s">
        <v>477</v>
      </c>
      <c r="C2305" t="s">
        <v>4897</v>
      </c>
    </row>
    <row r="2306" spans="1:3" x14ac:dyDescent="0.3">
      <c r="A2306">
        <v>73997</v>
      </c>
      <c r="B2306" t="s">
        <v>477</v>
      </c>
      <c r="C2306" t="s">
        <v>4897</v>
      </c>
    </row>
    <row r="2307" spans="1:3" x14ac:dyDescent="0.3">
      <c r="A2307">
        <v>73998</v>
      </c>
      <c r="B2307" t="s">
        <v>477</v>
      </c>
      <c r="C2307" t="s">
        <v>4897</v>
      </c>
    </row>
    <row r="2308" spans="1:3" x14ac:dyDescent="0.3">
      <c r="A2308">
        <v>74101</v>
      </c>
      <c r="B2308" t="s">
        <v>1113</v>
      </c>
      <c r="C2308" t="s">
        <v>4897</v>
      </c>
    </row>
    <row r="2309" spans="1:3" x14ac:dyDescent="0.3">
      <c r="A2309">
        <v>74201</v>
      </c>
      <c r="B2309" t="s">
        <v>1113</v>
      </c>
      <c r="C2309" t="s">
        <v>4897</v>
      </c>
    </row>
    <row r="2310" spans="1:3" x14ac:dyDescent="0.3">
      <c r="A2310">
        <v>74213</v>
      </c>
      <c r="B2310" t="s">
        <v>1113</v>
      </c>
      <c r="C2310" t="s">
        <v>4897</v>
      </c>
    </row>
    <row r="2311" spans="1:3" x14ac:dyDescent="0.3">
      <c r="A2311">
        <v>74221</v>
      </c>
      <c r="B2311" t="s">
        <v>1113</v>
      </c>
      <c r="C2311" t="s">
        <v>4897</v>
      </c>
    </row>
    <row r="2312" spans="1:3" x14ac:dyDescent="0.3">
      <c r="A2312">
        <v>74231</v>
      </c>
      <c r="B2312" t="s">
        <v>1113</v>
      </c>
      <c r="C2312" t="s">
        <v>4897</v>
      </c>
    </row>
    <row r="2313" spans="1:3" x14ac:dyDescent="0.3">
      <c r="A2313">
        <v>74233</v>
      </c>
      <c r="B2313" t="s">
        <v>1113</v>
      </c>
      <c r="C2313" t="s">
        <v>4897</v>
      </c>
    </row>
    <row r="2314" spans="1:3" x14ac:dyDescent="0.3">
      <c r="A2314">
        <v>74235</v>
      </c>
      <c r="B2314" t="s">
        <v>1113</v>
      </c>
      <c r="C2314" t="s">
        <v>4897</v>
      </c>
    </row>
    <row r="2315" spans="1:3" x14ac:dyDescent="0.3">
      <c r="A2315">
        <v>74236</v>
      </c>
      <c r="B2315" t="s">
        <v>1113</v>
      </c>
      <c r="C2315" t="s">
        <v>4897</v>
      </c>
    </row>
    <row r="2316" spans="1:3" x14ac:dyDescent="0.3">
      <c r="A2316">
        <v>74237</v>
      </c>
      <c r="B2316" t="s">
        <v>1113</v>
      </c>
      <c r="C2316" t="s">
        <v>4897</v>
      </c>
    </row>
    <row r="2317" spans="1:3" x14ac:dyDescent="0.3">
      <c r="A2317">
        <v>74242</v>
      </c>
      <c r="B2317" t="s">
        <v>1113</v>
      </c>
      <c r="C2317" t="s">
        <v>4897</v>
      </c>
    </row>
    <row r="2318" spans="1:3" x14ac:dyDescent="0.3">
      <c r="A2318">
        <v>74243</v>
      </c>
      <c r="B2318" t="s">
        <v>1113</v>
      </c>
      <c r="C2318" t="s">
        <v>4897</v>
      </c>
    </row>
    <row r="2319" spans="1:3" x14ac:dyDescent="0.3">
      <c r="A2319">
        <v>74245</v>
      </c>
      <c r="B2319" t="s">
        <v>1113</v>
      </c>
      <c r="C2319" t="s">
        <v>4897</v>
      </c>
    </row>
    <row r="2320" spans="1:3" x14ac:dyDescent="0.3">
      <c r="A2320">
        <v>74247</v>
      </c>
      <c r="B2320" t="s">
        <v>1113</v>
      </c>
      <c r="C2320" t="s">
        <v>4897</v>
      </c>
    </row>
    <row r="2321" spans="1:3" x14ac:dyDescent="0.3">
      <c r="A2321">
        <v>74251</v>
      </c>
      <c r="B2321" t="s">
        <v>1113</v>
      </c>
      <c r="C2321" t="s">
        <v>4897</v>
      </c>
    </row>
    <row r="2322" spans="1:3" x14ac:dyDescent="0.3">
      <c r="A2322">
        <v>74253</v>
      </c>
      <c r="B2322" t="s">
        <v>1113</v>
      </c>
      <c r="C2322" t="s">
        <v>4897</v>
      </c>
    </row>
    <row r="2323" spans="1:3" x14ac:dyDescent="0.3">
      <c r="A2323">
        <v>74254</v>
      </c>
      <c r="B2323" t="s">
        <v>1113</v>
      </c>
      <c r="C2323" t="s">
        <v>4897</v>
      </c>
    </row>
    <row r="2324" spans="1:3" x14ac:dyDescent="0.3">
      <c r="A2324">
        <v>74255</v>
      </c>
      <c r="B2324" t="s">
        <v>1113</v>
      </c>
      <c r="C2324" t="s">
        <v>4897</v>
      </c>
    </row>
    <row r="2325" spans="1:3" x14ac:dyDescent="0.3">
      <c r="A2325">
        <v>74256</v>
      </c>
      <c r="B2325" t="s">
        <v>1113</v>
      </c>
      <c r="C2325" t="s">
        <v>4897</v>
      </c>
    </row>
    <row r="2326" spans="1:3" x14ac:dyDescent="0.3">
      <c r="A2326">
        <v>74257</v>
      </c>
      <c r="B2326" t="s">
        <v>1113</v>
      </c>
      <c r="C2326" t="s">
        <v>4897</v>
      </c>
    </row>
    <row r="2327" spans="1:3" x14ac:dyDescent="0.3">
      <c r="A2327">
        <v>74258</v>
      </c>
      <c r="B2327" t="s">
        <v>1113</v>
      </c>
      <c r="C2327" t="s">
        <v>4897</v>
      </c>
    </row>
    <row r="2328" spans="1:3" x14ac:dyDescent="0.3">
      <c r="A2328">
        <v>74259</v>
      </c>
      <c r="B2328" t="s">
        <v>1113</v>
      </c>
      <c r="C2328" t="s">
        <v>4897</v>
      </c>
    </row>
    <row r="2329" spans="1:3" x14ac:dyDescent="0.3">
      <c r="A2329">
        <v>74260</v>
      </c>
      <c r="B2329" t="s">
        <v>1113</v>
      </c>
      <c r="C2329" t="s">
        <v>4897</v>
      </c>
    </row>
    <row r="2330" spans="1:3" x14ac:dyDescent="0.3">
      <c r="A2330">
        <v>74265</v>
      </c>
      <c r="B2330" t="s">
        <v>1113</v>
      </c>
      <c r="C2330" t="s">
        <v>4897</v>
      </c>
    </row>
    <row r="2331" spans="1:3" x14ac:dyDescent="0.3">
      <c r="A2331">
        <v>74266</v>
      </c>
      <c r="B2331" t="s">
        <v>1113</v>
      </c>
      <c r="C2331" t="s">
        <v>4897</v>
      </c>
    </row>
    <row r="2332" spans="1:3" x14ac:dyDescent="0.3">
      <c r="A2332">
        <v>74267</v>
      </c>
      <c r="B2332" t="s">
        <v>1113</v>
      </c>
      <c r="C2332" t="s">
        <v>4897</v>
      </c>
    </row>
    <row r="2333" spans="1:3" x14ac:dyDescent="0.3">
      <c r="A2333">
        <v>74271</v>
      </c>
      <c r="B2333" t="s">
        <v>1113</v>
      </c>
      <c r="C2333" t="s">
        <v>4897</v>
      </c>
    </row>
    <row r="2334" spans="1:3" x14ac:dyDescent="0.3">
      <c r="A2334">
        <v>74272</v>
      </c>
      <c r="B2334" t="s">
        <v>1113</v>
      </c>
      <c r="C2334" t="s">
        <v>4897</v>
      </c>
    </row>
    <row r="2335" spans="1:3" x14ac:dyDescent="0.3">
      <c r="A2335">
        <v>74273</v>
      </c>
      <c r="B2335" t="s">
        <v>1113</v>
      </c>
      <c r="C2335" t="s">
        <v>4897</v>
      </c>
    </row>
    <row r="2336" spans="1:3" x14ac:dyDescent="0.3">
      <c r="A2336">
        <v>74274</v>
      </c>
      <c r="B2336" t="s">
        <v>1113</v>
      </c>
      <c r="C2336" t="s">
        <v>4897</v>
      </c>
    </row>
    <row r="2337" spans="1:3" x14ac:dyDescent="0.3">
      <c r="A2337">
        <v>74275</v>
      </c>
      <c r="B2337" t="s">
        <v>1113</v>
      </c>
      <c r="C2337" t="s">
        <v>4897</v>
      </c>
    </row>
    <row r="2338" spans="1:3" x14ac:dyDescent="0.3">
      <c r="A2338">
        <v>74281</v>
      </c>
      <c r="B2338" t="s">
        <v>1113</v>
      </c>
      <c r="C2338" t="s">
        <v>4897</v>
      </c>
    </row>
    <row r="2339" spans="1:3" x14ac:dyDescent="0.3">
      <c r="A2339">
        <v>74282</v>
      </c>
      <c r="B2339" t="s">
        <v>1113</v>
      </c>
      <c r="C2339" t="s">
        <v>4897</v>
      </c>
    </row>
    <row r="2340" spans="1:3" x14ac:dyDescent="0.3">
      <c r="A2340">
        <v>74283</v>
      </c>
      <c r="B2340" t="s">
        <v>4896</v>
      </c>
      <c r="C2340" t="s">
        <v>4897</v>
      </c>
    </row>
    <row r="2341" spans="1:3" x14ac:dyDescent="0.3">
      <c r="A2341">
        <v>74285</v>
      </c>
      <c r="B2341" t="s">
        <v>4896</v>
      </c>
      <c r="C2341" t="s">
        <v>4897</v>
      </c>
    </row>
    <row r="2342" spans="1:3" x14ac:dyDescent="0.3">
      <c r="A2342">
        <v>74291</v>
      </c>
      <c r="B2342" t="s">
        <v>1113</v>
      </c>
      <c r="C2342" t="s">
        <v>4897</v>
      </c>
    </row>
    <row r="2343" spans="1:3" x14ac:dyDescent="0.3">
      <c r="A2343">
        <v>74292</v>
      </c>
      <c r="B2343" t="s">
        <v>1113</v>
      </c>
      <c r="C2343" t="s">
        <v>4897</v>
      </c>
    </row>
    <row r="2344" spans="1:3" x14ac:dyDescent="0.3">
      <c r="A2344">
        <v>74293</v>
      </c>
      <c r="B2344" t="s">
        <v>1113</v>
      </c>
      <c r="C2344" t="s">
        <v>4897</v>
      </c>
    </row>
    <row r="2345" spans="1:3" x14ac:dyDescent="0.3">
      <c r="A2345">
        <v>74301</v>
      </c>
      <c r="B2345" t="s">
        <v>1113</v>
      </c>
      <c r="C2345" t="s">
        <v>4897</v>
      </c>
    </row>
    <row r="2346" spans="1:3" x14ac:dyDescent="0.3">
      <c r="A2346">
        <v>74401</v>
      </c>
      <c r="B2346" t="s">
        <v>1113</v>
      </c>
      <c r="C2346" t="s">
        <v>4897</v>
      </c>
    </row>
    <row r="2347" spans="1:3" x14ac:dyDescent="0.3">
      <c r="A2347">
        <v>74601</v>
      </c>
      <c r="B2347" t="s">
        <v>1644</v>
      </c>
      <c r="C2347" t="s">
        <v>4897</v>
      </c>
    </row>
    <row r="2348" spans="1:3" x14ac:dyDescent="0.3">
      <c r="A2348">
        <v>74705</v>
      </c>
      <c r="B2348" t="s">
        <v>1644</v>
      </c>
      <c r="C2348" t="s">
        <v>4897</v>
      </c>
    </row>
    <row r="2349" spans="1:3" x14ac:dyDescent="0.3">
      <c r="A2349">
        <v>74706</v>
      </c>
      <c r="B2349" t="s">
        <v>1644</v>
      </c>
      <c r="C2349" t="s">
        <v>4897</v>
      </c>
    </row>
    <row r="2350" spans="1:3" x14ac:dyDescent="0.3">
      <c r="A2350">
        <v>74707</v>
      </c>
      <c r="B2350" t="s">
        <v>1644</v>
      </c>
      <c r="C2350" t="s">
        <v>4897</v>
      </c>
    </row>
    <row r="2351" spans="1:3" x14ac:dyDescent="0.3">
      <c r="A2351">
        <v>74711</v>
      </c>
      <c r="B2351" t="s">
        <v>1644</v>
      </c>
      <c r="C2351" t="s">
        <v>4897</v>
      </c>
    </row>
    <row r="2352" spans="1:3" x14ac:dyDescent="0.3">
      <c r="A2352">
        <v>74714</v>
      </c>
      <c r="B2352" t="s">
        <v>1644</v>
      </c>
      <c r="C2352" t="s">
        <v>4897</v>
      </c>
    </row>
    <row r="2353" spans="1:3" x14ac:dyDescent="0.3">
      <c r="A2353">
        <v>74715</v>
      </c>
      <c r="B2353" t="s">
        <v>1644</v>
      </c>
      <c r="C2353" t="s">
        <v>4897</v>
      </c>
    </row>
    <row r="2354" spans="1:3" x14ac:dyDescent="0.3">
      <c r="A2354">
        <v>74716</v>
      </c>
      <c r="B2354" t="s">
        <v>1644</v>
      </c>
      <c r="C2354" t="s">
        <v>4897</v>
      </c>
    </row>
    <row r="2355" spans="1:3" x14ac:dyDescent="0.3">
      <c r="A2355">
        <v>74717</v>
      </c>
      <c r="B2355" t="s">
        <v>1644</v>
      </c>
      <c r="C2355" t="s">
        <v>4897</v>
      </c>
    </row>
    <row r="2356" spans="1:3" x14ac:dyDescent="0.3">
      <c r="A2356">
        <v>74718</v>
      </c>
      <c r="B2356" t="s">
        <v>1644</v>
      </c>
      <c r="C2356" t="s">
        <v>4897</v>
      </c>
    </row>
    <row r="2357" spans="1:3" x14ac:dyDescent="0.3">
      <c r="A2357">
        <v>74719</v>
      </c>
      <c r="B2357" t="s">
        <v>1644</v>
      </c>
      <c r="C2357" t="s">
        <v>4897</v>
      </c>
    </row>
    <row r="2358" spans="1:3" x14ac:dyDescent="0.3">
      <c r="A2358">
        <v>74720</v>
      </c>
      <c r="B2358" t="s">
        <v>1644</v>
      </c>
      <c r="C2358" t="s">
        <v>4897</v>
      </c>
    </row>
    <row r="2359" spans="1:3" x14ac:dyDescent="0.3">
      <c r="A2359">
        <v>74721</v>
      </c>
      <c r="B2359" t="s">
        <v>1644</v>
      </c>
      <c r="C2359" t="s">
        <v>4897</v>
      </c>
    </row>
    <row r="2360" spans="1:3" x14ac:dyDescent="0.3">
      <c r="A2360">
        <v>74722</v>
      </c>
      <c r="B2360" t="s">
        <v>1644</v>
      </c>
      <c r="C2360" t="s">
        <v>4897</v>
      </c>
    </row>
    <row r="2361" spans="1:3" x14ac:dyDescent="0.3">
      <c r="A2361">
        <v>74723</v>
      </c>
      <c r="B2361" t="s">
        <v>1644</v>
      </c>
      <c r="C2361" t="s">
        <v>4897</v>
      </c>
    </row>
    <row r="2362" spans="1:3" x14ac:dyDescent="0.3">
      <c r="A2362">
        <v>74724</v>
      </c>
      <c r="B2362" t="s">
        <v>1644</v>
      </c>
      <c r="C2362" t="s">
        <v>4897</v>
      </c>
    </row>
    <row r="2363" spans="1:3" x14ac:dyDescent="0.3">
      <c r="A2363">
        <v>74725</v>
      </c>
      <c r="B2363" t="s">
        <v>1644</v>
      </c>
      <c r="C2363" t="s">
        <v>4897</v>
      </c>
    </row>
    <row r="2364" spans="1:3" x14ac:dyDescent="0.3">
      <c r="A2364">
        <v>74726</v>
      </c>
      <c r="B2364" t="s">
        <v>1644</v>
      </c>
      <c r="C2364" t="s">
        <v>4897</v>
      </c>
    </row>
    <row r="2365" spans="1:3" x14ac:dyDescent="0.3">
      <c r="A2365">
        <v>74727</v>
      </c>
      <c r="B2365" t="s">
        <v>1644</v>
      </c>
      <c r="C2365" t="s">
        <v>4897</v>
      </c>
    </row>
    <row r="2366" spans="1:3" x14ac:dyDescent="0.3">
      <c r="A2366">
        <v>74728</v>
      </c>
      <c r="B2366" t="s">
        <v>1644</v>
      </c>
      <c r="C2366" t="s">
        <v>4897</v>
      </c>
    </row>
    <row r="2367" spans="1:3" x14ac:dyDescent="0.3">
      <c r="A2367">
        <v>74730</v>
      </c>
      <c r="B2367" t="s">
        <v>1644</v>
      </c>
      <c r="C2367" t="s">
        <v>4897</v>
      </c>
    </row>
    <row r="2368" spans="1:3" x14ac:dyDescent="0.3">
      <c r="A2368">
        <v>74731</v>
      </c>
      <c r="B2368" t="s">
        <v>1644</v>
      </c>
      <c r="C2368" t="s">
        <v>4897</v>
      </c>
    </row>
    <row r="2369" spans="1:3" x14ac:dyDescent="0.3">
      <c r="A2369">
        <v>74733</v>
      </c>
      <c r="B2369" t="s">
        <v>1644</v>
      </c>
      <c r="C2369" t="s">
        <v>4897</v>
      </c>
    </row>
    <row r="2370" spans="1:3" x14ac:dyDescent="0.3">
      <c r="A2370">
        <v>74735</v>
      </c>
      <c r="B2370" t="s">
        <v>1644</v>
      </c>
      <c r="C2370" t="s">
        <v>4897</v>
      </c>
    </row>
    <row r="2371" spans="1:3" x14ac:dyDescent="0.3">
      <c r="A2371">
        <v>74741</v>
      </c>
      <c r="B2371" t="s">
        <v>1644</v>
      </c>
      <c r="C2371" t="s">
        <v>4897</v>
      </c>
    </row>
    <row r="2372" spans="1:3" x14ac:dyDescent="0.3">
      <c r="A2372">
        <v>74742</v>
      </c>
      <c r="B2372" t="s">
        <v>1644</v>
      </c>
      <c r="C2372" t="s">
        <v>4897</v>
      </c>
    </row>
    <row r="2373" spans="1:3" x14ac:dyDescent="0.3">
      <c r="A2373">
        <v>74743</v>
      </c>
      <c r="B2373" t="s">
        <v>1644</v>
      </c>
      <c r="C2373" t="s">
        <v>4897</v>
      </c>
    </row>
    <row r="2374" spans="1:3" x14ac:dyDescent="0.3">
      <c r="A2374">
        <v>74744</v>
      </c>
      <c r="B2374" t="s">
        <v>1644</v>
      </c>
      <c r="C2374" t="s">
        <v>4897</v>
      </c>
    </row>
    <row r="2375" spans="1:3" x14ac:dyDescent="0.3">
      <c r="A2375">
        <v>74745</v>
      </c>
      <c r="B2375" t="s">
        <v>1644</v>
      </c>
      <c r="C2375" t="s">
        <v>4897</v>
      </c>
    </row>
    <row r="2376" spans="1:3" x14ac:dyDescent="0.3">
      <c r="A2376">
        <v>74747</v>
      </c>
      <c r="B2376" t="s">
        <v>1644</v>
      </c>
      <c r="C2376" t="s">
        <v>4897</v>
      </c>
    </row>
    <row r="2377" spans="1:3" x14ac:dyDescent="0.3">
      <c r="A2377">
        <v>74751</v>
      </c>
      <c r="B2377" t="s">
        <v>1644</v>
      </c>
      <c r="C2377" t="s">
        <v>4897</v>
      </c>
    </row>
    <row r="2378" spans="1:3" x14ac:dyDescent="0.3">
      <c r="A2378">
        <v>74752</v>
      </c>
      <c r="B2378" t="s">
        <v>1644</v>
      </c>
      <c r="C2378" t="s">
        <v>4897</v>
      </c>
    </row>
    <row r="2379" spans="1:3" x14ac:dyDescent="0.3">
      <c r="A2379">
        <v>74753</v>
      </c>
      <c r="B2379" t="s">
        <v>1644</v>
      </c>
      <c r="C2379" t="s">
        <v>4897</v>
      </c>
    </row>
    <row r="2380" spans="1:3" x14ac:dyDescent="0.3">
      <c r="A2380">
        <v>74754</v>
      </c>
      <c r="B2380" t="s">
        <v>1644</v>
      </c>
      <c r="C2380" t="s">
        <v>4897</v>
      </c>
    </row>
    <row r="2381" spans="1:3" x14ac:dyDescent="0.3">
      <c r="A2381">
        <v>74755</v>
      </c>
      <c r="B2381" t="s">
        <v>1644</v>
      </c>
      <c r="C2381" t="s">
        <v>4897</v>
      </c>
    </row>
    <row r="2382" spans="1:3" x14ac:dyDescent="0.3">
      <c r="A2382">
        <v>74756</v>
      </c>
      <c r="B2382" t="s">
        <v>1644</v>
      </c>
      <c r="C2382" t="s">
        <v>4897</v>
      </c>
    </row>
    <row r="2383" spans="1:3" x14ac:dyDescent="0.3">
      <c r="A2383">
        <v>74757</v>
      </c>
      <c r="B2383" t="s">
        <v>1644</v>
      </c>
      <c r="C2383" t="s">
        <v>4897</v>
      </c>
    </row>
    <row r="2384" spans="1:3" x14ac:dyDescent="0.3">
      <c r="A2384">
        <v>74761</v>
      </c>
      <c r="B2384" t="s">
        <v>1644</v>
      </c>
      <c r="C2384" t="s">
        <v>4897</v>
      </c>
    </row>
    <row r="2385" spans="1:3" x14ac:dyDescent="0.3">
      <c r="A2385">
        <v>74762</v>
      </c>
      <c r="B2385" t="s">
        <v>1644</v>
      </c>
      <c r="C2385" t="s">
        <v>4897</v>
      </c>
    </row>
    <row r="2386" spans="1:3" x14ac:dyDescent="0.3">
      <c r="A2386">
        <v>74763</v>
      </c>
      <c r="B2386" t="s">
        <v>1644</v>
      </c>
      <c r="C2386" t="s">
        <v>4897</v>
      </c>
    </row>
    <row r="2387" spans="1:3" x14ac:dyDescent="0.3">
      <c r="A2387">
        <v>74764</v>
      </c>
      <c r="B2387" t="s">
        <v>1644</v>
      </c>
      <c r="C2387" t="s">
        <v>4897</v>
      </c>
    </row>
    <row r="2388" spans="1:3" x14ac:dyDescent="0.3">
      <c r="A2388">
        <v>74766</v>
      </c>
      <c r="B2388" t="s">
        <v>4896</v>
      </c>
      <c r="C2388" t="s">
        <v>4897</v>
      </c>
    </row>
    <row r="2389" spans="1:3" x14ac:dyDescent="0.3">
      <c r="A2389">
        <v>74767</v>
      </c>
      <c r="B2389" t="s">
        <v>1644</v>
      </c>
      <c r="C2389" t="s">
        <v>4897</v>
      </c>
    </row>
    <row r="2390" spans="1:3" x14ac:dyDescent="0.3">
      <c r="A2390">
        <v>74768</v>
      </c>
      <c r="B2390" t="s">
        <v>1644</v>
      </c>
      <c r="C2390" t="s">
        <v>4897</v>
      </c>
    </row>
    <row r="2391" spans="1:3" x14ac:dyDescent="0.3">
      <c r="A2391">
        <v>74769</v>
      </c>
      <c r="B2391" t="s">
        <v>1644</v>
      </c>
      <c r="C2391" t="s">
        <v>4897</v>
      </c>
    </row>
    <row r="2392" spans="1:3" x14ac:dyDescent="0.3">
      <c r="A2392">
        <v>74770</v>
      </c>
      <c r="B2392" t="s">
        <v>1644</v>
      </c>
      <c r="C2392" t="s">
        <v>4897</v>
      </c>
    </row>
    <row r="2393" spans="1:3" x14ac:dyDescent="0.3">
      <c r="A2393">
        <v>74771</v>
      </c>
      <c r="B2393" t="s">
        <v>1644</v>
      </c>
      <c r="C2393" t="s">
        <v>4897</v>
      </c>
    </row>
    <row r="2394" spans="1:3" x14ac:dyDescent="0.3">
      <c r="A2394">
        <v>74773</v>
      </c>
      <c r="B2394" t="s">
        <v>1644</v>
      </c>
      <c r="C2394" t="s">
        <v>4897</v>
      </c>
    </row>
    <row r="2395" spans="1:3" x14ac:dyDescent="0.3">
      <c r="A2395">
        <v>74774</v>
      </c>
      <c r="B2395" t="s">
        <v>1644</v>
      </c>
      <c r="C2395" t="s">
        <v>4897</v>
      </c>
    </row>
    <row r="2396" spans="1:3" x14ac:dyDescent="0.3">
      <c r="A2396">
        <v>74775</v>
      </c>
      <c r="B2396" t="s">
        <v>1644</v>
      </c>
      <c r="C2396" t="s">
        <v>4897</v>
      </c>
    </row>
    <row r="2397" spans="1:3" x14ac:dyDescent="0.3">
      <c r="A2397">
        <v>74781</v>
      </c>
      <c r="B2397" t="s">
        <v>1644</v>
      </c>
      <c r="C2397" t="s">
        <v>4897</v>
      </c>
    </row>
    <row r="2398" spans="1:3" x14ac:dyDescent="0.3">
      <c r="A2398">
        <v>74782</v>
      </c>
      <c r="B2398" t="s">
        <v>1644</v>
      </c>
      <c r="C2398" t="s">
        <v>4897</v>
      </c>
    </row>
    <row r="2399" spans="1:3" x14ac:dyDescent="0.3">
      <c r="A2399">
        <v>74783</v>
      </c>
      <c r="B2399" t="s">
        <v>1644</v>
      </c>
      <c r="C2399" t="s">
        <v>4897</v>
      </c>
    </row>
    <row r="2400" spans="1:3" x14ac:dyDescent="0.3">
      <c r="A2400">
        <v>74784</v>
      </c>
      <c r="B2400" t="s">
        <v>1644</v>
      </c>
      <c r="C2400" t="s">
        <v>4897</v>
      </c>
    </row>
    <row r="2401" spans="1:3" x14ac:dyDescent="0.3">
      <c r="A2401">
        <v>74786</v>
      </c>
      <c r="B2401" t="s">
        <v>1644</v>
      </c>
      <c r="C2401" t="s">
        <v>4897</v>
      </c>
    </row>
    <row r="2402" spans="1:3" x14ac:dyDescent="0.3">
      <c r="A2402">
        <v>74787</v>
      </c>
      <c r="B2402" t="s">
        <v>1644</v>
      </c>
      <c r="C2402" t="s">
        <v>4897</v>
      </c>
    </row>
    <row r="2403" spans="1:3" x14ac:dyDescent="0.3">
      <c r="A2403">
        <v>74791</v>
      </c>
      <c r="B2403" t="s">
        <v>1644</v>
      </c>
      <c r="C2403" t="s">
        <v>4897</v>
      </c>
    </row>
    <row r="2404" spans="1:3" x14ac:dyDescent="0.3">
      <c r="A2404">
        <v>74792</v>
      </c>
      <c r="B2404" t="s">
        <v>1644</v>
      </c>
      <c r="C2404" t="s">
        <v>4897</v>
      </c>
    </row>
    <row r="2405" spans="1:3" x14ac:dyDescent="0.3">
      <c r="A2405">
        <v>74794</v>
      </c>
      <c r="B2405" t="s">
        <v>1644</v>
      </c>
      <c r="C2405" t="s">
        <v>4897</v>
      </c>
    </row>
    <row r="2406" spans="1:3" x14ac:dyDescent="0.3">
      <c r="A2406">
        <v>74795</v>
      </c>
      <c r="B2406" t="s">
        <v>1644</v>
      </c>
      <c r="C2406" t="s">
        <v>4897</v>
      </c>
    </row>
    <row r="2407" spans="1:3" x14ac:dyDescent="0.3">
      <c r="A2407">
        <v>74801</v>
      </c>
      <c r="B2407" t="s">
        <v>1644</v>
      </c>
      <c r="C2407" t="s">
        <v>4897</v>
      </c>
    </row>
    <row r="2408" spans="1:3" x14ac:dyDescent="0.3">
      <c r="A2408">
        <v>74901</v>
      </c>
      <c r="B2408" t="s">
        <v>1644</v>
      </c>
      <c r="C2408" t="s">
        <v>4897</v>
      </c>
    </row>
    <row r="2409" spans="1:3" x14ac:dyDescent="0.3">
      <c r="A2409">
        <v>75002</v>
      </c>
      <c r="B2409" t="s">
        <v>4898</v>
      </c>
      <c r="C2409" t="s">
        <v>4899</v>
      </c>
    </row>
    <row r="2410" spans="1:3" x14ac:dyDescent="0.3">
      <c r="A2410">
        <v>75101</v>
      </c>
      <c r="B2410" t="s">
        <v>4898</v>
      </c>
      <c r="C2410" t="s">
        <v>4899</v>
      </c>
    </row>
    <row r="2411" spans="1:3" x14ac:dyDescent="0.3">
      <c r="A2411">
        <v>75102</v>
      </c>
      <c r="B2411" t="s">
        <v>4898</v>
      </c>
      <c r="C2411" t="s">
        <v>4899</v>
      </c>
    </row>
    <row r="2412" spans="1:3" x14ac:dyDescent="0.3">
      <c r="A2412">
        <v>75103</v>
      </c>
      <c r="B2412" t="s">
        <v>4898</v>
      </c>
      <c r="C2412" t="s">
        <v>4899</v>
      </c>
    </row>
    <row r="2413" spans="1:3" x14ac:dyDescent="0.3">
      <c r="A2413">
        <v>75104</v>
      </c>
      <c r="B2413" t="s">
        <v>4898</v>
      </c>
      <c r="C2413" t="s">
        <v>4899</v>
      </c>
    </row>
    <row r="2414" spans="1:3" x14ac:dyDescent="0.3">
      <c r="A2414">
        <v>75105</v>
      </c>
      <c r="B2414" t="s">
        <v>4898</v>
      </c>
      <c r="C2414" t="s">
        <v>4899</v>
      </c>
    </row>
    <row r="2415" spans="1:3" x14ac:dyDescent="0.3">
      <c r="A2415">
        <v>75111</v>
      </c>
      <c r="B2415" t="s">
        <v>4898</v>
      </c>
      <c r="C2415" t="s">
        <v>4899</v>
      </c>
    </row>
    <row r="2416" spans="1:3" x14ac:dyDescent="0.3">
      <c r="A2416">
        <v>75114</v>
      </c>
      <c r="B2416" t="s">
        <v>4898</v>
      </c>
      <c r="C2416" t="s">
        <v>4899</v>
      </c>
    </row>
    <row r="2417" spans="1:3" x14ac:dyDescent="0.3">
      <c r="A2417">
        <v>75115</v>
      </c>
      <c r="B2417" t="s">
        <v>4898</v>
      </c>
      <c r="C2417" t="s">
        <v>4899</v>
      </c>
    </row>
    <row r="2418" spans="1:3" x14ac:dyDescent="0.3">
      <c r="A2418">
        <v>75116</v>
      </c>
      <c r="B2418" t="s">
        <v>4898</v>
      </c>
      <c r="C2418" t="s">
        <v>4899</v>
      </c>
    </row>
    <row r="2419" spans="1:3" x14ac:dyDescent="0.3">
      <c r="A2419">
        <v>75117</v>
      </c>
      <c r="B2419" t="s">
        <v>4898</v>
      </c>
      <c r="C2419" t="s">
        <v>4899</v>
      </c>
    </row>
    <row r="2420" spans="1:3" x14ac:dyDescent="0.3">
      <c r="A2420">
        <v>75118</v>
      </c>
      <c r="B2420" t="s">
        <v>4898</v>
      </c>
      <c r="C2420" t="s">
        <v>4899</v>
      </c>
    </row>
    <row r="2421" spans="1:3" x14ac:dyDescent="0.3">
      <c r="A2421">
        <v>75119</v>
      </c>
      <c r="B2421" t="s">
        <v>4898</v>
      </c>
      <c r="C2421" t="s">
        <v>4899</v>
      </c>
    </row>
    <row r="2422" spans="1:3" x14ac:dyDescent="0.3">
      <c r="A2422">
        <v>75121</v>
      </c>
      <c r="B2422" t="s">
        <v>4898</v>
      </c>
      <c r="C2422" t="s">
        <v>4899</v>
      </c>
    </row>
    <row r="2423" spans="1:3" x14ac:dyDescent="0.3">
      <c r="A2423">
        <v>75122</v>
      </c>
      <c r="B2423" t="s">
        <v>4898</v>
      </c>
      <c r="C2423" t="s">
        <v>4899</v>
      </c>
    </row>
    <row r="2424" spans="1:3" x14ac:dyDescent="0.3">
      <c r="A2424">
        <v>75123</v>
      </c>
      <c r="B2424" t="s">
        <v>4898</v>
      </c>
      <c r="C2424" t="s">
        <v>4899</v>
      </c>
    </row>
    <row r="2425" spans="1:3" x14ac:dyDescent="0.3">
      <c r="A2425">
        <v>75124</v>
      </c>
      <c r="B2425" t="s">
        <v>4898</v>
      </c>
      <c r="C2425" t="s">
        <v>4899</v>
      </c>
    </row>
    <row r="2426" spans="1:3" x14ac:dyDescent="0.3">
      <c r="A2426">
        <v>75125</v>
      </c>
      <c r="B2426" t="s">
        <v>4898</v>
      </c>
      <c r="C2426" t="s">
        <v>4899</v>
      </c>
    </row>
    <row r="2427" spans="1:3" x14ac:dyDescent="0.3">
      <c r="A2427">
        <v>75127</v>
      </c>
      <c r="B2427" t="s">
        <v>4898</v>
      </c>
      <c r="C2427" t="s">
        <v>4899</v>
      </c>
    </row>
    <row r="2428" spans="1:3" x14ac:dyDescent="0.3">
      <c r="A2428">
        <v>75131</v>
      </c>
      <c r="B2428" t="s">
        <v>4898</v>
      </c>
      <c r="C2428" t="s">
        <v>4899</v>
      </c>
    </row>
    <row r="2429" spans="1:3" x14ac:dyDescent="0.3">
      <c r="A2429">
        <v>75144</v>
      </c>
      <c r="B2429" t="s">
        <v>4898</v>
      </c>
      <c r="C2429" t="s">
        <v>4899</v>
      </c>
    </row>
    <row r="2430" spans="1:3" x14ac:dyDescent="0.3">
      <c r="A2430">
        <v>75201</v>
      </c>
      <c r="B2430" t="s">
        <v>4898</v>
      </c>
      <c r="C2430" t="s">
        <v>4899</v>
      </c>
    </row>
    <row r="2431" spans="1:3" x14ac:dyDescent="0.3">
      <c r="A2431">
        <v>75301</v>
      </c>
      <c r="B2431" t="s">
        <v>4898</v>
      </c>
      <c r="C2431" t="s">
        <v>4899</v>
      </c>
    </row>
    <row r="2432" spans="1:3" x14ac:dyDescent="0.3">
      <c r="A2432">
        <v>75352</v>
      </c>
      <c r="B2432" t="s">
        <v>4898</v>
      </c>
      <c r="C2432" t="s">
        <v>4899</v>
      </c>
    </row>
    <row r="2433" spans="1:3" x14ac:dyDescent="0.3">
      <c r="A2433">
        <v>75353</v>
      </c>
      <c r="B2433" t="s">
        <v>4898</v>
      </c>
      <c r="C2433" t="s">
        <v>4899</v>
      </c>
    </row>
    <row r="2434" spans="1:3" x14ac:dyDescent="0.3">
      <c r="A2434">
        <v>75354</v>
      </c>
      <c r="B2434" t="s">
        <v>4898</v>
      </c>
      <c r="C2434" t="s">
        <v>4899</v>
      </c>
    </row>
    <row r="2435" spans="1:3" x14ac:dyDescent="0.3">
      <c r="A2435">
        <v>75355</v>
      </c>
      <c r="B2435" t="s">
        <v>4898</v>
      </c>
      <c r="C2435" t="s">
        <v>4899</v>
      </c>
    </row>
    <row r="2436" spans="1:3" x14ac:dyDescent="0.3">
      <c r="A2436">
        <v>75356</v>
      </c>
      <c r="B2436" t="s">
        <v>4898</v>
      </c>
      <c r="C2436" t="s">
        <v>4899</v>
      </c>
    </row>
    <row r="2437" spans="1:3" x14ac:dyDescent="0.3">
      <c r="A2437">
        <v>75361</v>
      </c>
      <c r="B2437" t="s">
        <v>4898</v>
      </c>
      <c r="C2437" t="s">
        <v>4899</v>
      </c>
    </row>
    <row r="2438" spans="1:3" x14ac:dyDescent="0.3">
      <c r="A2438">
        <v>75362</v>
      </c>
      <c r="B2438" t="s">
        <v>4898</v>
      </c>
      <c r="C2438" t="s">
        <v>4899</v>
      </c>
    </row>
    <row r="2439" spans="1:3" x14ac:dyDescent="0.3">
      <c r="A2439">
        <v>75363</v>
      </c>
      <c r="B2439" t="s">
        <v>4898</v>
      </c>
      <c r="C2439" t="s">
        <v>4899</v>
      </c>
    </row>
    <row r="2440" spans="1:3" x14ac:dyDescent="0.3">
      <c r="A2440">
        <v>75364</v>
      </c>
      <c r="B2440" t="s">
        <v>4898</v>
      </c>
      <c r="C2440" t="s">
        <v>4899</v>
      </c>
    </row>
    <row r="2441" spans="1:3" x14ac:dyDescent="0.3">
      <c r="A2441">
        <v>75366</v>
      </c>
      <c r="B2441" t="s">
        <v>4898</v>
      </c>
      <c r="C2441" t="s">
        <v>4899</v>
      </c>
    </row>
    <row r="2442" spans="1:3" x14ac:dyDescent="0.3">
      <c r="A2442">
        <v>75367</v>
      </c>
      <c r="B2442" t="s">
        <v>4898</v>
      </c>
      <c r="C2442" t="s">
        <v>4899</v>
      </c>
    </row>
    <row r="2443" spans="1:3" x14ac:dyDescent="0.3">
      <c r="A2443">
        <v>75368</v>
      </c>
      <c r="B2443" t="s">
        <v>4898</v>
      </c>
      <c r="C2443" t="s">
        <v>4899</v>
      </c>
    </row>
    <row r="2444" spans="1:3" x14ac:dyDescent="0.3">
      <c r="A2444">
        <v>75501</v>
      </c>
      <c r="B2444" t="s">
        <v>556</v>
      </c>
      <c r="C2444" t="s">
        <v>4895</v>
      </c>
    </row>
    <row r="2445" spans="1:3" x14ac:dyDescent="0.3">
      <c r="A2445">
        <v>75601</v>
      </c>
      <c r="B2445" t="s">
        <v>556</v>
      </c>
      <c r="C2445" t="s">
        <v>4895</v>
      </c>
    </row>
    <row r="2446" spans="1:3" x14ac:dyDescent="0.3">
      <c r="A2446">
        <v>75602</v>
      </c>
      <c r="B2446" t="s">
        <v>556</v>
      </c>
      <c r="C2446" t="s">
        <v>4895</v>
      </c>
    </row>
    <row r="2447" spans="1:3" x14ac:dyDescent="0.3">
      <c r="A2447">
        <v>75603</v>
      </c>
      <c r="B2447" t="s">
        <v>556</v>
      </c>
      <c r="C2447" t="s">
        <v>4895</v>
      </c>
    </row>
    <row r="2448" spans="1:3" x14ac:dyDescent="0.3">
      <c r="A2448">
        <v>75604</v>
      </c>
      <c r="B2448" t="s">
        <v>556</v>
      </c>
      <c r="C2448" t="s">
        <v>4895</v>
      </c>
    </row>
    <row r="2449" spans="1:3" x14ac:dyDescent="0.3">
      <c r="A2449">
        <v>75605</v>
      </c>
      <c r="B2449" t="s">
        <v>556</v>
      </c>
      <c r="C2449" t="s">
        <v>4895</v>
      </c>
    </row>
    <row r="2450" spans="1:3" x14ac:dyDescent="0.3">
      <c r="A2450">
        <v>75606</v>
      </c>
      <c r="B2450" t="s">
        <v>556</v>
      </c>
      <c r="C2450" t="s">
        <v>4895</v>
      </c>
    </row>
    <row r="2451" spans="1:3" x14ac:dyDescent="0.3">
      <c r="A2451">
        <v>75607</v>
      </c>
      <c r="B2451" t="s">
        <v>556</v>
      </c>
      <c r="C2451" t="s">
        <v>4895</v>
      </c>
    </row>
    <row r="2452" spans="1:3" x14ac:dyDescent="0.3">
      <c r="A2452">
        <v>75611</v>
      </c>
      <c r="B2452" t="s">
        <v>556</v>
      </c>
      <c r="C2452" t="s">
        <v>4895</v>
      </c>
    </row>
    <row r="2453" spans="1:3" x14ac:dyDescent="0.3">
      <c r="A2453">
        <v>75612</v>
      </c>
      <c r="B2453" t="s">
        <v>556</v>
      </c>
      <c r="C2453" t="s">
        <v>4895</v>
      </c>
    </row>
    <row r="2454" spans="1:3" x14ac:dyDescent="0.3">
      <c r="A2454">
        <v>75614</v>
      </c>
      <c r="B2454" t="s">
        <v>556</v>
      </c>
      <c r="C2454" t="s">
        <v>4895</v>
      </c>
    </row>
    <row r="2455" spans="1:3" x14ac:dyDescent="0.3">
      <c r="A2455">
        <v>75621</v>
      </c>
      <c r="B2455" t="s">
        <v>556</v>
      </c>
      <c r="C2455" t="s">
        <v>4895</v>
      </c>
    </row>
    <row r="2456" spans="1:3" x14ac:dyDescent="0.3">
      <c r="A2456">
        <v>75622</v>
      </c>
      <c r="B2456" t="s">
        <v>556</v>
      </c>
      <c r="C2456" t="s">
        <v>4895</v>
      </c>
    </row>
    <row r="2457" spans="1:3" x14ac:dyDescent="0.3">
      <c r="A2457">
        <v>75623</v>
      </c>
      <c r="B2457" t="s">
        <v>556</v>
      </c>
      <c r="C2457" t="s">
        <v>4895</v>
      </c>
    </row>
    <row r="2458" spans="1:3" x14ac:dyDescent="0.3">
      <c r="A2458">
        <v>75624</v>
      </c>
      <c r="B2458" t="s">
        <v>556</v>
      </c>
      <c r="C2458" t="s">
        <v>4895</v>
      </c>
    </row>
    <row r="2459" spans="1:3" x14ac:dyDescent="0.3">
      <c r="A2459">
        <v>75625</v>
      </c>
      <c r="B2459" t="s">
        <v>556</v>
      </c>
      <c r="C2459" t="s">
        <v>4895</v>
      </c>
    </row>
    <row r="2460" spans="1:3" x14ac:dyDescent="0.3">
      <c r="A2460">
        <v>75627</v>
      </c>
      <c r="B2460" t="s">
        <v>556</v>
      </c>
      <c r="C2460" t="s">
        <v>4895</v>
      </c>
    </row>
    <row r="2461" spans="1:3" x14ac:dyDescent="0.3">
      <c r="A2461">
        <v>75631</v>
      </c>
      <c r="B2461" t="s">
        <v>556</v>
      </c>
      <c r="C2461" t="s">
        <v>4895</v>
      </c>
    </row>
    <row r="2462" spans="1:3" x14ac:dyDescent="0.3">
      <c r="A2462">
        <v>75641</v>
      </c>
      <c r="B2462" t="s">
        <v>556</v>
      </c>
      <c r="C2462" t="s">
        <v>4895</v>
      </c>
    </row>
    <row r="2463" spans="1:3" x14ac:dyDescent="0.3">
      <c r="A2463">
        <v>75642</v>
      </c>
      <c r="B2463" t="s">
        <v>556</v>
      </c>
      <c r="C2463" t="s">
        <v>4895</v>
      </c>
    </row>
    <row r="2464" spans="1:3" x14ac:dyDescent="0.3">
      <c r="A2464">
        <v>75643</v>
      </c>
      <c r="B2464" t="s">
        <v>556</v>
      </c>
      <c r="C2464" t="s">
        <v>4895</v>
      </c>
    </row>
    <row r="2465" spans="1:3" x14ac:dyDescent="0.3">
      <c r="A2465">
        <v>75644</v>
      </c>
      <c r="B2465" t="s">
        <v>556</v>
      </c>
      <c r="C2465" t="s">
        <v>4895</v>
      </c>
    </row>
    <row r="2466" spans="1:3" x14ac:dyDescent="0.3">
      <c r="A2466">
        <v>75645</v>
      </c>
      <c r="B2466" t="s">
        <v>556</v>
      </c>
      <c r="C2466" t="s">
        <v>4895</v>
      </c>
    </row>
    <row r="2467" spans="1:3" x14ac:dyDescent="0.3">
      <c r="A2467">
        <v>75651</v>
      </c>
      <c r="B2467" t="s">
        <v>556</v>
      </c>
      <c r="C2467" t="s">
        <v>4895</v>
      </c>
    </row>
    <row r="2468" spans="1:3" x14ac:dyDescent="0.3">
      <c r="A2468">
        <v>75652</v>
      </c>
      <c r="B2468" t="s">
        <v>556</v>
      </c>
      <c r="C2468" t="s">
        <v>4895</v>
      </c>
    </row>
    <row r="2469" spans="1:3" x14ac:dyDescent="0.3">
      <c r="A2469">
        <v>75653</v>
      </c>
      <c r="B2469" t="s">
        <v>556</v>
      </c>
      <c r="C2469" t="s">
        <v>4895</v>
      </c>
    </row>
    <row r="2470" spans="1:3" x14ac:dyDescent="0.3">
      <c r="A2470">
        <v>75654</v>
      </c>
      <c r="B2470" t="s">
        <v>556</v>
      </c>
      <c r="C2470" t="s">
        <v>4895</v>
      </c>
    </row>
    <row r="2471" spans="1:3" x14ac:dyDescent="0.3">
      <c r="A2471">
        <v>75655</v>
      </c>
      <c r="B2471" t="s">
        <v>556</v>
      </c>
      <c r="C2471" t="s">
        <v>4895</v>
      </c>
    </row>
    <row r="2472" spans="1:3" x14ac:dyDescent="0.3">
      <c r="A2472">
        <v>75656</v>
      </c>
      <c r="B2472" t="s">
        <v>556</v>
      </c>
      <c r="C2472" t="s">
        <v>4895</v>
      </c>
    </row>
    <row r="2473" spans="1:3" x14ac:dyDescent="0.3">
      <c r="A2473">
        <v>75657</v>
      </c>
      <c r="B2473" t="s">
        <v>556</v>
      </c>
      <c r="C2473" t="s">
        <v>4895</v>
      </c>
    </row>
    <row r="2474" spans="1:3" x14ac:dyDescent="0.3">
      <c r="A2474">
        <v>75661</v>
      </c>
      <c r="B2474" t="s">
        <v>556</v>
      </c>
      <c r="C2474" t="s">
        <v>4895</v>
      </c>
    </row>
    <row r="2475" spans="1:3" x14ac:dyDescent="0.3">
      <c r="A2475">
        <v>75662</v>
      </c>
      <c r="B2475" t="s">
        <v>556</v>
      </c>
      <c r="C2475" t="s">
        <v>4895</v>
      </c>
    </row>
    <row r="2476" spans="1:3" x14ac:dyDescent="0.3">
      <c r="A2476">
        <v>75663</v>
      </c>
      <c r="B2476" t="s">
        <v>556</v>
      </c>
      <c r="C2476" t="s">
        <v>4895</v>
      </c>
    </row>
    <row r="2477" spans="1:3" x14ac:dyDescent="0.3">
      <c r="A2477">
        <v>75701</v>
      </c>
      <c r="B2477" t="s">
        <v>556</v>
      </c>
      <c r="C2477" t="s">
        <v>4895</v>
      </c>
    </row>
    <row r="2478" spans="1:3" x14ac:dyDescent="0.3">
      <c r="A2478">
        <v>76001</v>
      </c>
      <c r="B2478" t="s">
        <v>230</v>
      </c>
      <c r="C2478" t="s">
        <v>4895</v>
      </c>
    </row>
    <row r="2479" spans="1:3" x14ac:dyDescent="0.3">
      <c r="A2479">
        <v>76005</v>
      </c>
      <c r="B2479" t="s">
        <v>230</v>
      </c>
      <c r="C2479" t="s">
        <v>4895</v>
      </c>
    </row>
    <row r="2480" spans="1:3" x14ac:dyDescent="0.3">
      <c r="A2480">
        <v>76301</v>
      </c>
      <c r="B2480" t="s">
        <v>230</v>
      </c>
      <c r="C2480" t="s">
        <v>4895</v>
      </c>
    </row>
    <row r="2481" spans="1:3" x14ac:dyDescent="0.3">
      <c r="A2481">
        <v>76302</v>
      </c>
      <c r="B2481" t="s">
        <v>230</v>
      </c>
      <c r="C2481" t="s">
        <v>4895</v>
      </c>
    </row>
    <row r="2482" spans="1:3" x14ac:dyDescent="0.3">
      <c r="A2482">
        <v>76307</v>
      </c>
      <c r="B2482" t="s">
        <v>230</v>
      </c>
      <c r="C2482" t="s">
        <v>4895</v>
      </c>
    </row>
    <row r="2483" spans="1:3" x14ac:dyDescent="0.3">
      <c r="A2483">
        <v>76311</v>
      </c>
      <c r="B2483" t="s">
        <v>230</v>
      </c>
      <c r="C2483" t="s">
        <v>4895</v>
      </c>
    </row>
    <row r="2484" spans="1:3" x14ac:dyDescent="0.3">
      <c r="A2484">
        <v>76312</v>
      </c>
      <c r="B2484" t="s">
        <v>230</v>
      </c>
      <c r="C2484" t="s">
        <v>4895</v>
      </c>
    </row>
    <row r="2485" spans="1:3" x14ac:dyDescent="0.3">
      <c r="A2485">
        <v>76313</v>
      </c>
      <c r="B2485" t="s">
        <v>230</v>
      </c>
      <c r="C2485" t="s">
        <v>4895</v>
      </c>
    </row>
    <row r="2486" spans="1:3" x14ac:dyDescent="0.3">
      <c r="A2486">
        <v>76314</v>
      </c>
      <c r="B2486" t="s">
        <v>230</v>
      </c>
      <c r="C2486" t="s">
        <v>4895</v>
      </c>
    </row>
    <row r="2487" spans="1:3" x14ac:dyDescent="0.3">
      <c r="A2487">
        <v>76315</v>
      </c>
      <c r="B2487" t="s">
        <v>230</v>
      </c>
      <c r="C2487" t="s">
        <v>4895</v>
      </c>
    </row>
    <row r="2488" spans="1:3" x14ac:dyDescent="0.3">
      <c r="A2488">
        <v>76316</v>
      </c>
      <c r="B2488" t="s">
        <v>230</v>
      </c>
      <c r="C2488" t="s">
        <v>4895</v>
      </c>
    </row>
    <row r="2489" spans="1:3" x14ac:dyDescent="0.3">
      <c r="A2489">
        <v>76317</v>
      </c>
      <c r="B2489" t="s">
        <v>230</v>
      </c>
      <c r="C2489" t="s">
        <v>4895</v>
      </c>
    </row>
    <row r="2490" spans="1:3" x14ac:dyDescent="0.3">
      <c r="A2490">
        <v>76318</v>
      </c>
      <c r="B2490" t="s">
        <v>230</v>
      </c>
      <c r="C2490" t="s">
        <v>4895</v>
      </c>
    </row>
    <row r="2491" spans="1:3" x14ac:dyDescent="0.3">
      <c r="A2491">
        <v>76319</v>
      </c>
      <c r="B2491" t="s">
        <v>230</v>
      </c>
      <c r="C2491" t="s">
        <v>4895</v>
      </c>
    </row>
    <row r="2492" spans="1:3" x14ac:dyDescent="0.3">
      <c r="A2492">
        <v>76321</v>
      </c>
      <c r="B2492" t="s">
        <v>230</v>
      </c>
      <c r="C2492" t="s">
        <v>4895</v>
      </c>
    </row>
    <row r="2493" spans="1:3" x14ac:dyDescent="0.3">
      <c r="A2493">
        <v>76323</v>
      </c>
      <c r="B2493" t="s">
        <v>230</v>
      </c>
      <c r="C2493" t="s">
        <v>4895</v>
      </c>
    </row>
    <row r="2494" spans="1:3" x14ac:dyDescent="0.3">
      <c r="A2494">
        <v>76324</v>
      </c>
      <c r="B2494" t="s">
        <v>230</v>
      </c>
      <c r="C2494" t="s">
        <v>4895</v>
      </c>
    </row>
    <row r="2495" spans="1:3" x14ac:dyDescent="0.3">
      <c r="A2495">
        <v>76325</v>
      </c>
      <c r="B2495" t="s">
        <v>230</v>
      </c>
      <c r="C2495" t="s">
        <v>4895</v>
      </c>
    </row>
    <row r="2496" spans="1:3" x14ac:dyDescent="0.3">
      <c r="A2496">
        <v>76326</v>
      </c>
      <c r="B2496" t="s">
        <v>230</v>
      </c>
      <c r="C2496" t="s">
        <v>4895</v>
      </c>
    </row>
    <row r="2497" spans="1:3" x14ac:dyDescent="0.3">
      <c r="A2497">
        <v>76331</v>
      </c>
      <c r="B2497" t="s">
        <v>230</v>
      </c>
      <c r="C2497" t="s">
        <v>4895</v>
      </c>
    </row>
    <row r="2498" spans="1:3" x14ac:dyDescent="0.3">
      <c r="A2498">
        <v>76332</v>
      </c>
      <c r="B2498" t="s">
        <v>230</v>
      </c>
      <c r="C2498" t="s">
        <v>4895</v>
      </c>
    </row>
    <row r="2499" spans="1:3" x14ac:dyDescent="0.3">
      <c r="A2499">
        <v>76333</v>
      </c>
      <c r="B2499" t="s">
        <v>230</v>
      </c>
      <c r="C2499" t="s">
        <v>4895</v>
      </c>
    </row>
    <row r="2500" spans="1:3" x14ac:dyDescent="0.3">
      <c r="A2500">
        <v>76334</v>
      </c>
      <c r="B2500" t="s">
        <v>230</v>
      </c>
      <c r="C2500" t="s">
        <v>4895</v>
      </c>
    </row>
    <row r="2501" spans="1:3" x14ac:dyDescent="0.3">
      <c r="A2501">
        <v>76341</v>
      </c>
      <c r="B2501" t="s">
        <v>230</v>
      </c>
      <c r="C2501" t="s">
        <v>4895</v>
      </c>
    </row>
    <row r="2502" spans="1:3" x14ac:dyDescent="0.3">
      <c r="A2502">
        <v>76345</v>
      </c>
      <c r="B2502" t="s">
        <v>230</v>
      </c>
      <c r="C2502" t="s">
        <v>4895</v>
      </c>
    </row>
    <row r="2503" spans="1:3" x14ac:dyDescent="0.3">
      <c r="A2503">
        <v>76351</v>
      </c>
      <c r="B2503" t="s">
        <v>230</v>
      </c>
      <c r="C2503" t="s">
        <v>4895</v>
      </c>
    </row>
    <row r="2504" spans="1:3" x14ac:dyDescent="0.3">
      <c r="A2504">
        <v>76361</v>
      </c>
      <c r="B2504" t="s">
        <v>230</v>
      </c>
      <c r="C2504" t="s">
        <v>4895</v>
      </c>
    </row>
    <row r="2505" spans="1:3" x14ac:dyDescent="0.3">
      <c r="A2505">
        <v>76362</v>
      </c>
      <c r="B2505" t="s">
        <v>230</v>
      </c>
      <c r="C2505" t="s">
        <v>4895</v>
      </c>
    </row>
    <row r="2506" spans="1:3" x14ac:dyDescent="0.3">
      <c r="A2506">
        <v>76363</v>
      </c>
      <c r="B2506" t="s">
        <v>230</v>
      </c>
      <c r="C2506" t="s">
        <v>4895</v>
      </c>
    </row>
    <row r="2507" spans="1:3" x14ac:dyDescent="0.3">
      <c r="A2507">
        <v>76364</v>
      </c>
      <c r="B2507" t="s">
        <v>230</v>
      </c>
      <c r="C2507" t="s">
        <v>4895</v>
      </c>
    </row>
    <row r="2508" spans="1:3" x14ac:dyDescent="0.3">
      <c r="A2508">
        <v>76502</v>
      </c>
      <c r="B2508" t="s">
        <v>230</v>
      </c>
      <c r="C2508" t="s">
        <v>4895</v>
      </c>
    </row>
    <row r="2509" spans="1:3" x14ac:dyDescent="0.3">
      <c r="A2509">
        <v>76601</v>
      </c>
      <c r="B2509" t="s">
        <v>230</v>
      </c>
      <c r="C2509" t="s">
        <v>4895</v>
      </c>
    </row>
    <row r="2510" spans="1:3" x14ac:dyDescent="0.3">
      <c r="A2510">
        <v>76701</v>
      </c>
      <c r="B2510" t="s">
        <v>567</v>
      </c>
      <c r="C2510" t="s">
        <v>4895</v>
      </c>
    </row>
    <row r="2511" spans="1:3" x14ac:dyDescent="0.3">
      <c r="A2511">
        <v>76801</v>
      </c>
      <c r="B2511" t="s">
        <v>567</v>
      </c>
      <c r="C2511" t="s">
        <v>4895</v>
      </c>
    </row>
    <row r="2512" spans="1:3" x14ac:dyDescent="0.3">
      <c r="A2512">
        <v>76802</v>
      </c>
      <c r="B2512" t="s">
        <v>567</v>
      </c>
      <c r="C2512" t="s">
        <v>4895</v>
      </c>
    </row>
    <row r="2513" spans="1:3" x14ac:dyDescent="0.3">
      <c r="A2513">
        <v>76803</v>
      </c>
      <c r="B2513" t="s">
        <v>567</v>
      </c>
      <c r="C2513" t="s">
        <v>4895</v>
      </c>
    </row>
    <row r="2514" spans="1:3" x14ac:dyDescent="0.3">
      <c r="A2514">
        <v>76804</v>
      </c>
      <c r="B2514" t="s">
        <v>567</v>
      </c>
      <c r="C2514" t="s">
        <v>4895</v>
      </c>
    </row>
    <row r="2515" spans="1:3" x14ac:dyDescent="0.3">
      <c r="A2515">
        <v>76805</v>
      </c>
      <c r="B2515" t="s">
        <v>567</v>
      </c>
      <c r="C2515" t="s">
        <v>4895</v>
      </c>
    </row>
    <row r="2516" spans="1:3" x14ac:dyDescent="0.3">
      <c r="A2516">
        <v>76811</v>
      </c>
      <c r="B2516" t="s">
        <v>567</v>
      </c>
      <c r="C2516" t="s">
        <v>4895</v>
      </c>
    </row>
    <row r="2517" spans="1:3" x14ac:dyDescent="0.3">
      <c r="A2517">
        <v>76812</v>
      </c>
      <c r="B2517" t="s">
        <v>567</v>
      </c>
      <c r="C2517" t="s">
        <v>4895</v>
      </c>
    </row>
    <row r="2518" spans="1:3" x14ac:dyDescent="0.3">
      <c r="A2518">
        <v>76813</v>
      </c>
      <c r="B2518" t="s">
        <v>567</v>
      </c>
      <c r="C2518" t="s">
        <v>4895</v>
      </c>
    </row>
    <row r="2519" spans="1:3" x14ac:dyDescent="0.3">
      <c r="A2519">
        <v>76821</v>
      </c>
      <c r="B2519" t="s">
        <v>230</v>
      </c>
      <c r="C2519" t="s">
        <v>4895</v>
      </c>
    </row>
    <row r="2520" spans="1:3" x14ac:dyDescent="0.3">
      <c r="A2520">
        <v>76823</v>
      </c>
      <c r="B2520" t="s">
        <v>567</v>
      </c>
      <c r="C2520" t="s">
        <v>4895</v>
      </c>
    </row>
    <row r="2521" spans="1:3" x14ac:dyDescent="0.3">
      <c r="A2521">
        <v>76824</v>
      </c>
      <c r="B2521" t="s">
        <v>567</v>
      </c>
      <c r="C2521" t="s">
        <v>4895</v>
      </c>
    </row>
    <row r="2522" spans="1:3" x14ac:dyDescent="0.3">
      <c r="A2522">
        <v>76831</v>
      </c>
      <c r="B2522" t="s">
        <v>567</v>
      </c>
      <c r="C2522" t="s">
        <v>4895</v>
      </c>
    </row>
    <row r="2523" spans="1:3" x14ac:dyDescent="0.3">
      <c r="A2523">
        <v>76832</v>
      </c>
      <c r="B2523" t="s">
        <v>567</v>
      </c>
      <c r="C2523" t="s">
        <v>4895</v>
      </c>
    </row>
    <row r="2524" spans="1:3" x14ac:dyDescent="0.3">
      <c r="A2524">
        <v>76833</v>
      </c>
      <c r="B2524" t="s">
        <v>567</v>
      </c>
      <c r="C2524" t="s">
        <v>4895</v>
      </c>
    </row>
    <row r="2525" spans="1:3" x14ac:dyDescent="0.3">
      <c r="A2525">
        <v>76834</v>
      </c>
      <c r="B2525" t="s">
        <v>567</v>
      </c>
      <c r="C2525" t="s">
        <v>4895</v>
      </c>
    </row>
    <row r="2526" spans="1:3" x14ac:dyDescent="0.3">
      <c r="A2526">
        <v>76841</v>
      </c>
      <c r="B2526" t="s">
        <v>567</v>
      </c>
      <c r="C2526" t="s">
        <v>4895</v>
      </c>
    </row>
    <row r="2527" spans="1:3" x14ac:dyDescent="0.3">
      <c r="A2527">
        <v>76842</v>
      </c>
      <c r="B2527" t="s">
        <v>567</v>
      </c>
      <c r="C2527" t="s">
        <v>4895</v>
      </c>
    </row>
    <row r="2528" spans="1:3" x14ac:dyDescent="0.3">
      <c r="A2528">
        <v>76843</v>
      </c>
      <c r="B2528" t="s">
        <v>567</v>
      </c>
      <c r="C2528" t="s">
        <v>4895</v>
      </c>
    </row>
    <row r="2529" spans="1:3" x14ac:dyDescent="0.3">
      <c r="A2529">
        <v>76852</v>
      </c>
      <c r="B2529" t="s">
        <v>567</v>
      </c>
      <c r="C2529" t="s">
        <v>4895</v>
      </c>
    </row>
    <row r="2530" spans="1:3" x14ac:dyDescent="0.3">
      <c r="A2530">
        <v>76861</v>
      </c>
      <c r="B2530" t="s">
        <v>567</v>
      </c>
      <c r="C2530" t="s">
        <v>4895</v>
      </c>
    </row>
    <row r="2531" spans="1:3" x14ac:dyDescent="0.3">
      <c r="A2531">
        <v>76871</v>
      </c>
      <c r="B2531" t="s">
        <v>567</v>
      </c>
      <c r="C2531" t="s">
        <v>4895</v>
      </c>
    </row>
    <row r="2532" spans="1:3" x14ac:dyDescent="0.3">
      <c r="A2532">
        <v>76872</v>
      </c>
      <c r="B2532" t="s">
        <v>567</v>
      </c>
      <c r="C2532" t="s">
        <v>4895</v>
      </c>
    </row>
    <row r="2533" spans="1:3" x14ac:dyDescent="0.3">
      <c r="A2533">
        <v>76875</v>
      </c>
      <c r="B2533" t="s">
        <v>567</v>
      </c>
      <c r="C2533" t="s">
        <v>4895</v>
      </c>
    </row>
    <row r="2534" spans="1:3" x14ac:dyDescent="0.3">
      <c r="A2534">
        <v>76901</v>
      </c>
      <c r="B2534" t="s">
        <v>567</v>
      </c>
      <c r="C2534" t="s">
        <v>4895</v>
      </c>
    </row>
    <row r="2535" spans="1:3" x14ac:dyDescent="0.3">
      <c r="A2535">
        <v>77200</v>
      </c>
      <c r="B2535" t="s">
        <v>265</v>
      </c>
      <c r="C2535" t="s">
        <v>4899</v>
      </c>
    </row>
    <row r="2536" spans="1:3" x14ac:dyDescent="0.3">
      <c r="A2536">
        <v>77700</v>
      </c>
      <c r="B2536" t="s">
        <v>265</v>
      </c>
      <c r="C2536" t="s">
        <v>4899</v>
      </c>
    </row>
    <row r="2537" spans="1:3" x14ac:dyDescent="0.3">
      <c r="A2537">
        <v>77900</v>
      </c>
      <c r="B2537" t="s">
        <v>265</v>
      </c>
      <c r="C2537" t="s">
        <v>4899</v>
      </c>
    </row>
    <row r="2538" spans="1:3" x14ac:dyDescent="0.3">
      <c r="A2538">
        <v>78301</v>
      </c>
      <c r="B2538" t="s">
        <v>265</v>
      </c>
      <c r="C2538" t="s">
        <v>4899</v>
      </c>
    </row>
    <row r="2539" spans="1:3" x14ac:dyDescent="0.3">
      <c r="A2539">
        <v>78305</v>
      </c>
      <c r="B2539" t="s">
        <v>265</v>
      </c>
      <c r="C2539" t="s">
        <v>4899</v>
      </c>
    </row>
    <row r="2540" spans="1:3" x14ac:dyDescent="0.3">
      <c r="A2540">
        <v>78306</v>
      </c>
      <c r="B2540" t="s">
        <v>265</v>
      </c>
      <c r="C2540" t="s">
        <v>4899</v>
      </c>
    </row>
    <row r="2541" spans="1:3" x14ac:dyDescent="0.3">
      <c r="A2541">
        <v>78311</v>
      </c>
      <c r="B2541" t="s">
        <v>265</v>
      </c>
      <c r="C2541" t="s">
        <v>4899</v>
      </c>
    </row>
    <row r="2542" spans="1:3" x14ac:dyDescent="0.3">
      <c r="A2542">
        <v>78313</v>
      </c>
      <c r="B2542" t="s">
        <v>265</v>
      </c>
      <c r="C2542" t="s">
        <v>4899</v>
      </c>
    </row>
    <row r="2543" spans="1:3" x14ac:dyDescent="0.3">
      <c r="A2543">
        <v>78314</v>
      </c>
      <c r="B2543" t="s">
        <v>265</v>
      </c>
      <c r="C2543" t="s">
        <v>4899</v>
      </c>
    </row>
    <row r="2544" spans="1:3" x14ac:dyDescent="0.3">
      <c r="A2544">
        <v>78315</v>
      </c>
      <c r="B2544" t="s">
        <v>265</v>
      </c>
      <c r="C2544" t="s">
        <v>4899</v>
      </c>
    </row>
    <row r="2545" spans="1:3" x14ac:dyDescent="0.3">
      <c r="A2545">
        <v>78316</v>
      </c>
      <c r="B2545" t="s">
        <v>265</v>
      </c>
      <c r="C2545" t="s">
        <v>4899</v>
      </c>
    </row>
    <row r="2546" spans="1:3" x14ac:dyDescent="0.3">
      <c r="A2546">
        <v>78321</v>
      </c>
      <c r="B2546" t="s">
        <v>265</v>
      </c>
      <c r="C2546" t="s">
        <v>4899</v>
      </c>
    </row>
    <row r="2547" spans="1:3" x14ac:dyDescent="0.3">
      <c r="A2547">
        <v>78322</v>
      </c>
      <c r="B2547" t="s">
        <v>265</v>
      </c>
      <c r="C2547" t="s">
        <v>4899</v>
      </c>
    </row>
    <row r="2548" spans="1:3" x14ac:dyDescent="0.3">
      <c r="A2548">
        <v>78324</v>
      </c>
      <c r="B2548" t="s">
        <v>265</v>
      </c>
      <c r="C2548" t="s">
        <v>4899</v>
      </c>
    </row>
    <row r="2549" spans="1:3" x14ac:dyDescent="0.3">
      <c r="A2549">
        <v>78325</v>
      </c>
      <c r="B2549" t="s">
        <v>265</v>
      </c>
      <c r="C2549" t="s">
        <v>4899</v>
      </c>
    </row>
    <row r="2550" spans="1:3" x14ac:dyDescent="0.3">
      <c r="A2550">
        <v>78332</v>
      </c>
      <c r="B2550" t="s">
        <v>265</v>
      </c>
      <c r="C2550" t="s">
        <v>4899</v>
      </c>
    </row>
    <row r="2551" spans="1:3" x14ac:dyDescent="0.3">
      <c r="A2551">
        <v>78333</v>
      </c>
      <c r="B2551" t="s">
        <v>265</v>
      </c>
      <c r="C2551" t="s">
        <v>4899</v>
      </c>
    </row>
    <row r="2552" spans="1:3" x14ac:dyDescent="0.3">
      <c r="A2552">
        <v>78335</v>
      </c>
      <c r="B2552" t="s">
        <v>265</v>
      </c>
      <c r="C2552" t="s">
        <v>4899</v>
      </c>
    </row>
    <row r="2553" spans="1:3" x14ac:dyDescent="0.3">
      <c r="A2553">
        <v>78336</v>
      </c>
      <c r="B2553" t="s">
        <v>265</v>
      </c>
      <c r="C2553" t="s">
        <v>4899</v>
      </c>
    </row>
    <row r="2554" spans="1:3" x14ac:dyDescent="0.3">
      <c r="A2554">
        <v>78342</v>
      </c>
      <c r="B2554" t="s">
        <v>265</v>
      </c>
      <c r="C2554" t="s">
        <v>4899</v>
      </c>
    </row>
    <row r="2555" spans="1:3" x14ac:dyDescent="0.3">
      <c r="A2555">
        <v>78344</v>
      </c>
      <c r="B2555" t="s">
        <v>265</v>
      </c>
      <c r="C2555" t="s">
        <v>4899</v>
      </c>
    </row>
    <row r="2556" spans="1:3" x14ac:dyDescent="0.3">
      <c r="A2556">
        <v>78345</v>
      </c>
      <c r="B2556" t="s">
        <v>265</v>
      </c>
      <c r="C2556" t="s">
        <v>4899</v>
      </c>
    </row>
    <row r="2557" spans="1:3" x14ac:dyDescent="0.3">
      <c r="A2557">
        <v>78346</v>
      </c>
      <c r="B2557" t="s">
        <v>265</v>
      </c>
      <c r="C2557" t="s">
        <v>4899</v>
      </c>
    </row>
    <row r="2558" spans="1:3" x14ac:dyDescent="0.3">
      <c r="A2558">
        <v>78347</v>
      </c>
      <c r="B2558" t="s">
        <v>265</v>
      </c>
      <c r="C2558" t="s">
        <v>4899</v>
      </c>
    </row>
    <row r="2559" spans="1:3" x14ac:dyDescent="0.3">
      <c r="A2559">
        <v>78349</v>
      </c>
      <c r="B2559" t="s">
        <v>265</v>
      </c>
      <c r="C2559" t="s">
        <v>4899</v>
      </c>
    </row>
    <row r="2560" spans="1:3" x14ac:dyDescent="0.3">
      <c r="A2560">
        <v>78353</v>
      </c>
      <c r="B2560" t="s">
        <v>265</v>
      </c>
      <c r="C2560" t="s">
        <v>4899</v>
      </c>
    </row>
    <row r="2561" spans="1:3" x14ac:dyDescent="0.3">
      <c r="A2561">
        <v>78354</v>
      </c>
      <c r="B2561" t="s">
        <v>265</v>
      </c>
      <c r="C2561" t="s">
        <v>4899</v>
      </c>
    </row>
    <row r="2562" spans="1:3" x14ac:dyDescent="0.3">
      <c r="A2562">
        <v>78355</v>
      </c>
      <c r="B2562" t="s">
        <v>265</v>
      </c>
      <c r="C2562" t="s">
        <v>4899</v>
      </c>
    </row>
    <row r="2563" spans="1:3" x14ac:dyDescent="0.3">
      <c r="A2563">
        <v>78356</v>
      </c>
      <c r="B2563" t="s">
        <v>265</v>
      </c>
      <c r="C2563" t="s">
        <v>4899</v>
      </c>
    </row>
    <row r="2564" spans="1:3" x14ac:dyDescent="0.3">
      <c r="A2564">
        <v>78357</v>
      </c>
      <c r="B2564" t="s">
        <v>265</v>
      </c>
      <c r="C2564" t="s">
        <v>4899</v>
      </c>
    </row>
    <row r="2565" spans="1:3" x14ac:dyDescent="0.3">
      <c r="A2565">
        <v>78361</v>
      </c>
      <c r="B2565" t="s">
        <v>265</v>
      </c>
      <c r="C2565" t="s">
        <v>4899</v>
      </c>
    </row>
    <row r="2566" spans="1:3" x14ac:dyDescent="0.3">
      <c r="A2566">
        <v>78365</v>
      </c>
      <c r="B2566" t="s">
        <v>265</v>
      </c>
      <c r="C2566" t="s">
        <v>4899</v>
      </c>
    </row>
    <row r="2567" spans="1:3" x14ac:dyDescent="0.3">
      <c r="A2567">
        <v>78372</v>
      </c>
      <c r="B2567" t="s">
        <v>265</v>
      </c>
      <c r="C2567" t="s">
        <v>4899</v>
      </c>
    </row>
    <row r="2568" spans="1:3" x14ac:dyDescent="0.3">
      <c r="A2568">
        <v>78373</v>
      </c>
      <c r="B2568" t="s">
        <v>265</v>
      </c>
      <c r="C2568" t="s">
        <v>4899</v>
      </c>
    </row>
    <row r="2569" spans="1:3" x14ac:dyDescent="0.3">
      <c r="A2569">
        <v>78375</v>
      </c>
      <c r="B2569" t="s">
        <v>265</v>
      </c>
      <c r="C2569" t="s">
        <v>4899</v>
      </c>
    </row>
    <row r="2570" spans="1:3" x14ac:dyDescent="0.3">
      <c r="A2570">
        <v>78383</v>
      </c>
      <c r="B2570" t="s">
        <v>265</v>
      </c>
      <c r="C2570" t="s">
        <v>4899</v>
      </c>
    </row>
    <row r="2571" spans="1:3" x14ac:dyDescent="0.3">
      <c r="A2571">
        <v>78385</v>
      </c>
      <c r="B2571" t="s">
        <v>265</v>
      </c>
      <c r="C2571" t="s">
        <v>4899</v>
      </c>
    </row>
    <row r="2572" spans="1:3" x14ac:dyDescent="0.3">
      <c r="A2572">
        <v>78386</v>
      </c>
      <c r="B2572" t="s">
        <v>698</v>
      </c>
      <c r="C2572" t="s">
        <v>4897</v>
      </c>
    </row>
    <row r="2573" spans="1:3" x14ac:dyDescent="0.3">
      <c r="A2573">
        <v>78391</v>
      </c>
      <c r="B2573" t="s">
        <v>265</v>
      </c>
      <c r="C2573" t="s">
        <v>4899</v>
      </c>
    </row>
    <row r="2574" spans="1:3" x14ac:dyDescent="0.3">
      <c r="A2574">
        <v>78396</v>
      </c>
      <c r="B2574" t="s">
        <v>265</v>
      </c>
      <c r="C2574" t="s">
        <v>4899</v>
      </c>
    </row>
    <row r="2575" spans="1:3" x14ac:dyDescent="0.3">
      <c r="A2575">
        <v>78397</v>
      </c>
      <c r="B2575" t="s">
        <v>265</v>
      </c>
      <c r="C2575" t="s">
        <v>4899</v>
      </c>
    </row>
    <row r="2576" spans="1:3" x14ac:dyDescent="0.3">
      <c r="A2576">
        <v>78401</v>
      </c>
      <c r="B2576" t="s">
        <v>265</v>
      </c>
      <c r="C2576" t="s">
        <v>4899</v>
      </c>
    </row>
    <row r="2577" spans="1:3" x14ac:dyDescent="0.3">
      <c r="A2577">
        <v>78501</v>
      </c>
      <c r="B2577" t="s">
        <v>265</v>
      </c>
      <c r="C2577" t="s">
        <v>4899</v>
      </c>
    </row>
    <row r="2578" spans="1:3" x14ac:dyDescent="0.3">
      <c r="A2578">
        <v>78701</v>
      </c>
      <c r="B2578" t="s">
        <v>261</v>
      </c>
      <c r="C2578" t="s">
        <v>4899</v>
      </c>
    </row>
    <row r="2579" spans="1:3" x14ac:dyDescent="0.3">
      <c r="A2579">
        <v>78801</v>
      </c>
      <c r="B2579" t="s">
        <v>261</v>
      </c>
      <c r="C2579" t="s">
        <v>4899</v>
      </c>
    </row>
    <row r="2580" spans="1:3" x14ac:dyDescent="0.3">
      <c r="A2580">
        <v>78803</v>
      </c>
      <c r="B2580" t="s">
        <v>261</v>
      </c>
      <c r="C2580" t="s">
        <v>4899</v>
      </c>
    </row>
    <row r="2581" spans="1:3" x14ac:dyDescent="0.3">
      <c r="A2581">
        <v>78804</v>
      </c>
      <c r="B2581" t="s">
        <v>261</v>
      </c>
      <c r="C2581" t="s">
        <v>4899</v>
      </c>
    </row>
    <row r="2582" spans="1:3" x14ac:dyDescent="0.3">
      <c r="A2582">
        <v>78805</v>
      </c>
      <c r="B2582" t="s">
        <v>261</v>
      </c>
      <c r="C2582" t="s">
        <v>4899</v>
      </c>
    </row>
    <row r="2583" spans="1:3" x14ac:dyDescent="0.3">
      <c r="A2583">
        <v>78811</v>
      </c>
      <c r="B2583" t="s">
        <v>261</v>
      </c>
      <c r="C2583" t="s">
        <v>4899</v>
      </c>
    </row>
    <row r="2584" spans="1:3" x14ac:dyDescent="0.3">
      <c r="A2584">
        <v>78813</v>
      </c>
      <c r="B2584" t="s">
        <v>261</v>
      </c>
      <c r="C2584" t="s">
        <v>4899</v>
      </c>
    </row>
    <row r="2585" spans="1:3" x14ac:dyDescent="0.3">
      <c r="A2585">
        <v>78814</v>
      </c>
      <c r="B2585" t="s">
        <v>261</v>
      </c>
      <c r="C2585" t="s">
        <v>4899</v>
      </c>
    </row>
    <row r="2586" spans="1:3" x14ac:dyDescent="0.3">
      <c r="A2586">
        <v>78815</v>
      </c>
      <c r="B2586" t="s">
        <v>261</v>
      </c>
      <c r="C2586" t="s">
        <v>4899</v>
      </c>
    </row>
    <row r="2587" spans="1:3" x14ac:dyDescent="0.3">
      <c r="A2587">
        <v>78816</v>
      </c>
      <c r="B2587" t="s">
        <v>261</v>
      </c>
      <c r="C2587" t="s">
        <v>4899</v>
      </c>
    </row>
    <row r="2588" spans="1:3" x14ac:dyDescent="0.3">
      <c r="A2588">
        <v>78820</v>
      </c>
      <c r="B2588" t="s">
        <v>261</v>
      </c>
      <c r="C2588" t="s">
        <v>4899</v>
      </c>
    </row>
    <row r="2589" spans="1:3" x14ac:dyDescent="0.3">
      <c r="A2589">
        <v>78821</v>
      </c>
      <c r="B2589" t="s">
        <v>261</v>
      </c>
      <c r="C2589" t="s">
        <v>4899</v>
      </c>
    </row>
    <row r="2590" spans="1:3" x14ac:dyDescent="0.3">
      <c r="A2590">
        <v>78823</v>
      </c>
      <c r="B2590" t="s">
        <v>261</v>
      </c>
      <c r="C2590" t="s">
        <v>4899</v>
      </c>
    </row>
    <row r="2591" spans="1:3" x14ac:dyDescent="0.3">
      <c r="A2591">
        <v>78825</v>
      </c>
      <c r="B2591" t="s">
        <v>261</v>
      </c>
      <c r="C2591" t="s">
        <v>4899</v>
      </c>
    </row>
    <row r="2592" spans="1:3" x14ac:dyDescent="0.3">
      <c r="A2592">
        <v>78832</v>
      </c>
      <c r="B2592" t="s">
        <v>261</v>
      </c>
      <c r="C2592" t="s">
        <v>4899</v>
      </c>
    </row>
    <row r="2593" spans="1:3" x14ac:dyDescent="0.3">
      <c r="A2593">
        <v>78833</v>
      </c>
      <c r="B2593" t="s">
        <v>261</v>
      </c>
      <c r="C2593" t="s">
        <v>4899</v>
      </c>
    </row>
    <row r="2594" spans="1:3" x14ac:dyDescent="0.3">
      <c r="A2594">
        <v>78901</v>
      </c>
      <c r="B2594" t="s">
        <v>261</v>
      </c>
      <c r="C2594" t="s">
        <v>4899</v>
      </c>
    </row>
    <row r="2595" spans="1:3" x14ac:dyDescent="0.3">
      <c r="A2595">
        <v>78961</v>
      </c>
      <c r="B2595" t="s">
        <v>261</v>
      </c>
      <c r="C2595" t="s">
        <v>4899</v>
      </c>
    </row>
    <row r="2596" spans="1:3" x14ac:dyDescent="0.3">
      <c r="A2596">
        <v>78962</v>
      </c>
      <c r="B2596" t="s">
        <v>261</v>
      </c>
      <c r="C2596" t="s">
        <v>4899</v>
      </c>
    </row>
    <row r="2597" spans="1:3" x14ac:dyDescent="0.3">
      <c r="A2597">
        <v>78963</v>
      </c>
      <c r="B2597" t="s">
        <v>261</v>
      </c>
      <c r="C2597" t="s">
        <v>4899</v>
      </c>
    </row>
    <row r="2598" spans="1:3" x14ac:dyDescent="0.3">
      <c r="A2598">
        <v>78964</v>
      </c>
      <c r="B2598" t="s">
        <v>261</v>
      </c>
      <c r="C2598" t="s">
        <v>4899</v>
      </c>
    </row>
    <row r="2599" spans="1:3" x14ac:dyDescent="0.3">
      <c r="A2599">
        <v>78969</v>
      </c>
      <c r="B2599" t="s">
        <v>261</v>
      </c>
      <c r="C2599" t="s">
        <v>4899</v>
      </c>
    </row>
    <row r="2600" spans="1:3" x14ac:dyDescent="0.3">
      <c r="A2600">
        <v>78971</v>
      </c>
      <c r="B2600" t="s">
        <v>261</v>
      </c>
      <c r="C2600" t="s">
        <v>4899</v>
      </c>
    </row>
    <row r="2601" spans="1:3" x14ac:dyDescent="0.3">
      <c r="A2601">
        <v>78972</v>
      </c>
      <c r="B2601" t="s">
        <v>261</v>
      </c>
      <c r="C2601" t="s">
        <v>4899</v>
      </c>
    </row>
    <row r="2602" spans="1:3" x14ac:dyDescent="0.3">
      <c r="A2602">
        <v>78973</v>
      </c>
      <c r="B2602" t="s">
        <v>261</v>
      </c>
      <c r="C2602" t="s">
        <v>4899</v>
      </c>
    </row>
    <row r="2603" spans="1:3" x14ac:dyDescent="0.3">
      <c r="A2603">
        <v>78974</v>
      </c>
      <c r="B2603" t="s">
        <v>261</v>
      </c>
      <c r="C2603" t="s">
        <v>4899</v>
      </c>
    </row>
    <row r="2604" spans="1:3" x14ac:dyDescent="0.3">
      <c r="A2604">
        <v>78975</v>
      </c>
      <c r="B2604" t="s">
        <v>261</v>
      </c>
      <c r="C2604" t="s">
        <v>4899</v>
      </c>
    </row>
    <row r="2605" spans="1:3" x14ac:dyDescent="0.3">
      <c r="A2605">
        <v>78982</v>
      </c>
      <c r="B2605" t="s">
        <v>261</v>
      </c>
      <c r="C2605" t="s">
        <v>4899</v>
      </c>
    </row>
    <row r="2606" spans="1:3" x14ac:dyDescent="0.3">
      <c r="A2606">
        <v>78983</v>
      </c>
      <c r="B2606" t="s">
        <v>261</v>
      </c>
      <c r="C2606" t="s">
        <v>4899</v>
      </c>
    </row>
    <row r="2607" spans="1:3" x14ac:dyDescent="0.3">
      <c r="A2607">
        <v>78985</v>
      </c>
      <c r="B2607" t="s">
        <v>261</v>
      </c>
      <c r="C2607" t="s">
        <v>4899</v>
      </c>
    </row>
    <row r="2608" spans="1:3" x14ac:dyDescent="0.3">
      <c r="A2608">
        <v>78991</v>
      </c>
      <c r="B2608" t="s">
        <v>261</v>
      </c>
      <c r="C2608" t="s">
        <v>4899</v>
      </c>
    </row>
    <row r="2609" spans="1:3" x14ac:dyDescent="0.3">
      <c r="A2609">
        <v>79001</v>
      </c>
      <c r="B2609" t="s">
        <v>511</v>
      </c>
      <c r="C2609" t="s">
        <v>4899</v>
      </c>
    </row>
    <row r="2610" spans="1:3" x14ac:dyDescent="0.3">
      <c r="A2610">
        <v>79051</v>
      </c>
      <c r="B2610" t="s">
        <v>511</v>
      </c>
      <c r="C2610" t="s">
        <v>4899</v>
      </c>
    </row>
    <row r="2611" spans="1:3" x14ac:dyDescent="0.3">
      <c r="A2611">
        <v>79052</v>
      </c>
      <c r="B2611" t="s">
        <v>511</v>
      </c>
      <c r="C2611" t="s">
        <v>4899</v>
      </c>
    </row>
    <row r="2612" spans="1:3" x14ac:dyDescent="0.3">
      <c r="A2612">
        <v>79053</v>
      </c>
      <c r="B2612" t="s">
        <v>511</v>
      </c>
      <c r="C2612" t="s">
        <v>4899</v>
      </c>
    </row>
    <row r="2613" spans="1:3" x14ac:dyDescent="0.3">
      <c r="A2613">
        <v>79054</v>
      </c>
      <c r="B2613" t="s">
        <v>511</v>
      </c>
      <c r="C2613" t="s">
        <v>4899</v>
      </c>
    </row>
    <row r="2614" spans="1:3" x14ac:dyDescent="0.3">
      <c r="A2614">
        <v>79055</v>
      </c>
      <c r="B2614" t="s">
        <v>511</v>
      </c>
      <c r="C2614" t="s">
        <v>4899</v>
      </c>
    </row>
    <row r="2615" spans="1:3" x14ac:dyDescent="0.3">
      <c r="A2615">
        <v>79057</v>
      </c>
      <c r="B2615" t="s">
        <v>511</v>
      </c>
      <c r="C2615" t="s">
        <v>4899</v>
      </c>
    </row>
    <row r="2616" spans="1:3" x14ac:dyDescent="0.3">
      <c r="A2616">
        <v>79058</v>
      </c>
      <c r="B2616" t="s">
        <v>511</v>
      </c>
      <c r="C2616" t="s">
        <v>4899</v>
      </c>
    </row>
    <row r="2617" spans="1:3" x14ac:dyDescent="0.3">
      <c r="A2617">
        <v>79061</v>
      </c>
      <c r="B2617" t="s">
        <v>511</v>
      </c>
      <c r="C2617" t="s">
        <v>4899</v>
      </c>
    </row>
    <row r="2618" spans="1:3" x14ac:dyDescent="0.3">
      <c r="A2618">
        <v>79063</v>
      </c>
      <c r="B2618" t="s">
        <v>511</v>
      </c>
      <c r="C2618" t="s">
        <v>4899</v>
      </c>
    </row>
    <row r="2619" spans="1:3" x14ac:dyDescent="0.3">
      <c r="A2619">
        <v>79064</v>
      </c>
      <c r="B2619" t="s">
        <v>511</v>
      </c>
      <c r="C2619" t="s">
        <v>4899</v>
      </c>
    </row>
    <row r="2620" spans="1:3" x14ac:dyDescent="0.3">
      <c r="A2620">
        <v>79065</v>
      </c>
      <c r="B2620" t="s">
        <v>511</v>
      </c>
      <c r="C2620" t="s">
        <v>4899</v>
      </c>
    </row>
    <row r="2621" spans="1:3" x14ac:dyDescent="0.3">
      <c r="A2621">
        <v>79066</v>
      </c>
      <c r="B2621" t="s">
        <v>511</v>
      </c>
      <c r="C2621" t="s">
        <v>4899</v>
      </c>
    </row>
    <row r="2622" spans="1:3" x14ac:dyDescent="0.3">
      <c r="A2622">
        <v>79069</v>
      </c>
      <c r="B2622" t="s">
        <v>511</v>
      </c>
      <c r="C2622" t="s">
        <v>4899</v>
      </c>
    </row>
    <row r="2623" spans="1:3" x14ac:dyDescent="0.3">
      <c r="A2623">
        <v>79070</v>
      </c>
      <c r="B2623" t="s">
        <v>511</v>
      </c>
      <c r="C2623" t="s">
        <v>4899</v>
      </c>
    </row>
    <row r="2624" spans="1:3" x14ac:dyDescent="0.3">
      <c r="A2624">
        <v>79081</v>
      </c>
      <c r="B2624" t="s">
        <v>511</v>
      </c>
      <c r="C2624" t="s">
        <v>4899</v>
      </c>
    </row>
    <row r="2625" spans="1:3" x14ac:dyDescent="0.3">
      <c r="A2625">
        <v>79082</v>
      </c>
      <c r="B2625" t="s">
        <v>511</v>
      </c>
      <c r="C2625" t="s">
        <v>4899</v>
      </c>
    </row>
    <row r="2626" spans="1:3" x14ac:dyDescent="0.3">
      <c r="A2626">
        <v>79084</v>
      </c>
      <c r="B2626" t="s">
        <v>511</v>
      </c>
      <c r="C2626" t="s">
        <v>4899</v>
      </c>
    </row>
    <row r="2627" spans="1:3" x14ac:dyDescent="0.3">
      <c r="A2627">
        <v>79201</v>
      </c>
      <c r="B2627" t="s">
        <v>698</v>
      </c>
      <c r="C2627" t="s">
        <v>4897</v>
      </c>
    </row>
    <row r="2628" spans="1:3" x14ac:dyDescent="0.3">
      <c r="A2628">
        <v>79302</v>
      </c>
      <c r="B2628" t="s">
        <v>698</v>
      </c>
      <c r="C2628" t="s">
        <v>4897</v>
      </c>
    </row>
    <row r="2629" spans="1:3" x14ac:dyDescent="0.3">
      <c r="A2629">
        <v>79303</v>
      </c>
      <c r="B2629" t="s">
        <v>698</v>
      </c>
      <c r="C2629" t="s">
        <v>4897</v>
      </c>
    </row>
    <row r="2630" spans="1:3" x14ac:dyDescent="0.3">
      <c r="A2630">
        <v>79305</v>
      </c>
      <c r="B2630" t="s">
        <v>698</v>
      </c>
      <c r="C2630" t="s">
        <v>4897</v>
      </c>
    </row>
    <row r="2631" spans="1:3" x14ac:dyDescent="0.3">
      <c r="A2631">
        <v>79312</v>
      </c>
      <c r="B2631" t="s">
        <v>698</v>
      </c>
      <c r="C2631" t="s">
        <v>4897</v>
      </c>
    </row>
    <row r="2632" spans="1:3" x14ac:dyDescent="0.3">
      <c r="A2632">
        <v>79313</v>
      </c>
      <c r="B2632" t="s">
        <v>698</v>
      </c>
      <c r="C2632" t="s">
        <v>4897</v>
      </c>
    </row>
    <row r="2633" spans="1:3" x14ac:dyDescent="0.3">
      <c r="A2633">
        <v>79315</v>
      </c>
      <c r="B2633" t="s">
        <v>698</v>
      </c>
      <c r="C2633" t="s">
        <v>4897</v>
      </c>
    </row>
    <row r="2634" spans="1:3" x14ac:dyDescent="0.3">
      <c r="A2634">
        <v>79316</v>
      </c>
      <c r="B2634" t="s">
        <v>698</v>
      </c>
      <c r="C2634" t="s">
        <v>4897</v>
      </c>
    </row>
    <row r="2635" spans="1:3" x14ac:dyDescent="0.3">
      <c r="A2635">
        <v>79323</v>
      </c>
      <c r="B2635" t="s">
        <v>698</v>
      </c>
      <c r="C2635" t="s">
        <v>4897</v>
      </c>
    </row>
    <row r="2636" spans="1:3" x14ac:dyDescent="0.3">
      <c r="A2636">
        <v>79324</v>
      </c>
      <c r="B2636" t="s">
        <v>698</v>
      </c>
      <c r="C2636" t="s">
        <v>4897</v>
      </c>
    </row>
    <row r="2637" spans="1:3" x14ac:dyDescent="0.3">
      <c r="A2637">
        <v>79326</v>
      </c>
      <c r="B2637" t="s">
        <v>698</v>
      </c>
      <c r="C2637" t="s">
        <v>4897</v>
      </c>
    </row>
    <row r="2638" spans="1:3" x14ac:dyDescent="0.3">
      <c r="A2638">
        <v>79331</v>
      </c>
      <c r="B2638" t="s">
        <v>698</v>
      </c>
      <c r="C2638" t="s">
        <v>4897</v>
      </c>
    </row>
    <row r="2639" spans="1:3" x14ac:dyDescent="0.3">
      <c r="A2639">
        <v>79333</v>
      </c>
      <c r="B2639" t="s">
        <v>698</v>
      </c>
      <c r="C2639" t="s">
        <v>4897</v>
      </c>
    </row>
    <row r="2640" spans="1:3" x14ac:dyDescent="0.3">
      <c r="A2640">
        <v>79336</v>
      </c>
      <c r="B2640" t="s">
        <v>698</v>
      </c>
      <c r="C2640" t="s">
        <v>4897</v>
      </c>
    </row>
    <row r="2641" spans="1:3" x14ac:dyDescent="0.3">
      <c r="A2641">
        <v>79342</v>
      </c>
      <c r="B2641" t="s">
        <v>698</v>
      </c>
      <c r="C2641" t="s">
        <v>4897</v>
      </c>
    </row>
    <row r="2642" spans="1:3" x14ac:dyDescent="0.3">
      <c r="A2642">
        <v>79344</v>
      </c>
      <c r="B2642" t="s">
        <v>698</v>
      </c>
      <c r="C2642" t="s">
        <v>4897</v>
      </c>
    </row>
    <row r="2643" spans="1:3" x14ac:dyDescent="0.3">
      <c r="A2643">
        <v>79351</v>
      </c>
      <c r="B2643" t="s">
        <v>698</v>
      </c>
      <c r="C2643" t="s">
        <v>4897</v>
      </c>
    </row>
    <row r="2644" spans="1:3" x14ac:dyDescent="0.3">
      <c r="A2644">
        <v>79356</v>
      </c>
      <c r="B2644" t="s">
        <v>698</v>
      </c>
      <c r="C2644" t="s">
        <v>4897</v>
      </c>
    </row>
    <row r="2645" spans="1:3" x14ac:dyDescent="0.3">
      <c r="A2645">
        <v>79368</v>
      </c>
      <c r="B2645" t="s">
        <v>698</v>
      </c>
      <c r="C2645" t="s">
        <v>4897</v>
      </c>
    </row>
    <row r="2646" spans="1:3" x14ac:dyDescent="0.3">
      <c r="A2646">
        <v>79371</v>
      </c>
      <c r="B2646" t="s">
        <v>698</v>
      </c>
      <c r="C2646" t="s">
        <v>4897</v>
      </c>
    </row>
    <row r="2647" spans="1:3" x14ac:dyDescent="0.3">
      <c r="A2647">
        <v>79374</v>
      </c>
      <c r="B2647" t="s">
        <v>698</v>
      </c>
      <c r="C2647" t="s">
        <v>4897</v>
      </c>
    </row>
    <row r="2648" spans="1:3" x14ac:dyDescent="0.3">
      <c r="A2648">
        <v>79376</v>
      </c>
      <c r="B2648" t="s">
        <v>511</v>
      </c>
      <c r="C2648" t="s">
        <v>4899</v>
      </c>
    </row>
    <row r="2649" spans="1:3" x14ac:dyDescent="0.3">
      <c r="A2649">
        <v>79382</v>
      </c>
      <c r="B2649" t="s">
        <v>698</v>
      </c>
      <c r="C2649" t="s">
        <v>4897</v>
      </c>
    </row>
    <row r="2650" spans="1:3" x14ac:dyDescent="0.3">
      <c r="A2650">
        <v>79383</v>
      </c>
      <c r="B2650" t="s">
        <v>698</v>
      </c>
      <c r="C2650" t="s">
        <v>4897</v>
      </c>
    </row>
    <row r="2651" spans="1:3" x14ac:dyDescent="0.3">
      <c r="A2651">
        <v>79384</v>
      </c>
      <c r="B2651" t="s">
        <v>698</v>
      </c>
      <c r="C2651" t="s">
        <v>4897</v>
      </c>
    </row>
    <row r="2652" spans="1:3" x14ac:dyDescent="0.3">
      <c r="A2652">
        <v>79391</v>
      </c>
      <c r="B2652" t="s">
        <v>698</v>
      </c>
      <c r="C2652" t="s">
        <v>4897</v>
      </c>
    </row>
    <row r="2653" spans="1:3" x14ac:dyDescent="0.3">
      <c r="A2653">
        <v>79393</v>
      </c>
      <c r="B2653" t="s">
        <v>698</v>
      </c>
      <c r="C2653" t="s">
        <v>4897</v>
      </c>
    </row>
    <row r="2654" spans="1:3" x14ac:dyDescent="0.3">
      <c r="A2654">
        <v>79395</v>
      </c>
      <c r="B2654" t="s">
        <v>698</v>
      </c>
      <c r="C2654" t="s">
        <v>4897</v>
      </c>
    </row>
    <row r="2655" spans="1:3" x14ac:dyDescent="0.3">
      <c r="A2655">
        <v>79397</v>
      </c>
      <c r="B2655" t="s">
        <v>698</v>
      </c>
      <c r="C2655" t="s">
        <v>4897</v>
      </c>
    </row>
    <row r="2656" spans="1:3" x14ac:dyDescent="0.3">
      <c r="A2656">
        <v>79399</v>
      </c>
      <c r="B2656" t="s">
        <v>698</v>
      </c>
      <c r="C2656" t="s">
        <v>4897</v>
      </c>
    </row>
    <row r="2657" spans="1:3" x14ac:dyDescent="0.3">
      <c r="A2657">
        <v>79401</v>
      </c>
      <c r="B2657" t="s">
        <v>698</v>
      </c>
      <c r="C2657" t="s">
        <v>4897</v>
      </c>
    </row>
    <row r="2658" spans="1:3" x14ac:dyDescent="0.3">
      <c r="A2658">
        <v>79501</v>
      </c>
      <c r="B2658" t="s">
        <v>698</v>
      </c>
      <c r="C2658" t="s">
        <v>4897</v>
      </c>
    </row>
    <row r="2659" spans="1:3" x14ac:dyDescent="0.3">
      <c r="A2659">
        <v>79601</v>
      </c>
      <c r="B2659" t="s">
        <v>1756</v>
      </c>
      <c r="C2659" t="s">
        <v>4899</v>
      </c>
    </row>
    <row r="2660" spans="1:3" x14ac:dyDescent="0.3">
      <c r="A2660">
        <v>79602</v>
      </c>
      <c r="B2660" t="s">
        <v>1756</v>
      </c>
      <c r="C2660" t="s">
        <v>4899</v>
      </c>
    </row>
    <row r="2661" spans="1:3" x14ac:dyDescent="0.3">
      <c r="A2661">
        <v>79603</v>
      </c>
      <c r="B2661" t="s">
        <v>1756</v>
      </c>
      <c r="C2661" t="s">
        <v>4899</v>
      </c>
    </row>
    <row r="2662" spans="1:3" x14ac:dyDescent="0.3">
      <c r="A2662">
        <v>79604</v>
      </c>
      <c r="B2662" t="s">
        <v>1756</v>
      </c>
      <c r="C2662" t="s">
        <v>4899</v>
      </c>
    </row>
    <row r="2663" spans="1:3" x14ac:dyDescent="0.3">
      <c r="A2663">
        <v>79607</v>
      </c>
      <c r="B2663" t="s">
        <v>1756</v>
      </c>
      <c r="C2663" t="s">
        <v>4899</v>
      </c>
    </row>
    <row r="2664" spans="1:3" x14ac:dyDescent="0.3">
      <c r="A2664">
        <v>79802</v>
      </c>
      <c r="B2664" t="s">
        <v>1756</v>
      </c>
      <c r="C2664" t="s">
        <v>4899</v>
      </c>
    </row>
    <row r="2665" spans="1:3" x14ac:dyDescent="0.3">
      <c r="A2665">
        <v>79803</v>
      </c>
      <c r="B2665" t="s">
        <v>1756</v>
      </c>
      <c r="C2665" t="s">
        <v>4899</v>
      </c>
    </row>
    <row r="2666" spans="1:3" x14ac:dyDescent="0.3">
      <c r="A2666">
        <v>79804</v>
      </c>
      <c r="B2666" t="s">
        <v>1756</v>
      </c>
      <c r="C2666" t="s">
        <v>4899</v>
      </c>
    </row>
    <row r="2667" spans="1:3" x14ac:dyDescent="0.3">
      <c r="A2667">
        <v>79805</v>
      </c>
      <c r="B2667" t="s">
        <v>3198</v>
      </c>
      <c r="C2667" t="s">
        <v>4892</v>
      </c>
    </row>
    <row r="2668" spans="1:3" x14ac:dyDescent="0.3">
      <c r="A2668">
        <v>79806</v>
      </c>
      <c r="B2668" t="s">
        <v>1756</v>
      </c>
      <c r="C2668" t="s">
        <v>4899</v>
      </c>
    </row>
    <row r="2669" spans="1:3" x14ac:dyDescent="0.3">
      <c r="A2669">
        <v>79807</v>
      </c>
      <c r="B2669" t="s">
        <v>1756</v>
      </c>
      <c r="C2669" t="s">
        <v>4899</v>
      </c>
    </row>
    <row r="2670" spans="1:3" x14ac:dyDescent="0.3">
      <c r="A2670">
        <v>79808</v>
      </c>
      <c r="B2670" t="s">
        <v>1756</v>
      </c>
      <c r="C2670" t="s">
        <v>4899</v>
      </c>
    </row>
    <row r="2671" spans="1:3" x14ac:dyDescent="0.3">
      <c r="A2671">
        <v>79809</v>
      </c>
      <c r="B2671" t="s">
        <v>1756</v>
      </c>
      <c r="C2671" t="s">
        <v>4899</v>
      </c>
    </row>
    <row r="2672" spans="1:3" x14ac:dyDescent="0.3">
      <c r="A2672">
        <v>79811</v>
      </c>
      <c r="B2672" t="s">
        <v>1756</v>
      </c>
      <c r="C2672" t="s">
        <v>4899</v>
      </c>
    </row>
    <row r="2673" spans="1:3" x14ac:dyDescent="0.3">
      <c r="A2673">
        <v>79812</v>
      </c>
      <c r="B2673" t="s">
        <v>1756</v>
      </c>
      <c r="C2673" t="s">
        <v>4899</v>
      </c>
    </row>
    <row r="2674" spans="1:3" x14ac:dyDescent="0.3">
      <c r="A2674">
        <v>79813</v>
      </c>
      <c r="B2674" t="s">
        <v>1756</v>
      </c>
      <c r="C2674" t="s">
        <v>4899</v>
      </c>
    </row>
    <row r="2675" spans="1:3" x14ac:dyDescent="0.3">
      <c r="A2675">
        <v>79814</v>
      </c>
      <c r="B2675" t="s">
        <v>1756</v>
      </c>
      <c r="C2675" t="s">
        <v>4899</v>
      </c>
    </row>
    <row r="2676" spans="1:3" x14ac:dyDescent="0.3">
      <c r="A2676">
        <v>79816</v>
      </c>
      <c r="B2676" t="s">
        <v>1756</v>
      </c>
      <c r="C2676" t="s">
        <v>4899</v>
      </c>
    </row>
    <row r="2677" spans="1:3" x14ac:dyDescent="0.3">
      <c r="A2677">
        <v>79817</v>
      </c>
      <c r="B2677" t="s">
        <v>1756</v>
      </c>
      <c r="C2677" t="s">
        <v>4899</v>
      </c>
    </row>
    <row r="2678" spans="1:3" x14ac:dyDescent="0.3">
      <c r="A2678">
        <v>79821</v>
      </c>
      <c r="B2678" t="s">
        <v>1756</v>
      </c>
      <c r="C2678" t="s">
        <v>4899</v>
      </c>
    </row>
    <row r="2679" spans="1:3" x14ac:dyDescent="0.3">
      <c r="A2679">
        <v>79823</v>
      </c>
      <c r="B2679" t="s">
        <v>1756</v>
      </c>
      <c r="C2679" t="s">
        <v>4899</v>
      </c>
    </row>
    <row r="2680" spans="1:3" x14ac:dyDescent="0.3">
      <c r="A2680">
        <v>79824</v>
      </c>
      <c r="B2680" t="s">
        <v>1756</v>
      </c>
      <c r="C2680" t="s">
        <v>4899</v>
      </c>
    </row>
    <row r="2681" spans="1:3" x14ac:dyDescent="0.3">
      <c r="A2681">
        <v>79825</v>
      </c>
      <c r="B2681" t="s">
        <v>1756</v>
      </c>
      <c r="C2681" t="s">
        <v>4899</v>
      </c>
    </row>
    <row r="2682" spans="1:3" x14ac:dyDescent="0.3">
      <c r="A2682">
        <v>79826</v>
      </c>
      <c r="B2682" t="s">
        <v>1756</v>
      </c>
      <c r="C2682" t="s">
        <v>4899</v>
      </c>
    </row>
    <row r="2683" spans="1:3" x14ac:dyDescent="0.3">
      <c r="A2683">
        <v>79827</v>
      </c>
      <c r="B2683" t="s">
        <v>1756</v>
      </c>
      <c r="C2683" t="s">
        <v>4899</v>
      </c>
    </row>
    <row r="2684" spans="1:3" x14ac:dyDescent="0.3">
      <c r="A2684">
        <v>79828</v>
      </c>
      <c r="B2684" t="s">
        <v>1756</v>
      </c>
      <c r="C2684" t="s">
        <v>4899</v>
      </c>
    </row>
    <row r="2685" spans="1:3" x14ac:dyDescent="0.3">
      <c r="A2685">
        <v>79829</v>
      </c>
      <c r="B2685" t="s">
        <v>1756</v>
      </c>
      <c r="C2685" t="s">
        <v>4899</v>
      </c>
    </row>
    <row r="2686" spans="1:3" x14ac:dyDescent="0.3">
      <c r="A2686">
        <v>79830</v>
      </c>
      <c r="B2686" t="s">
        <v>1756</v>
      </c>
      <c r="C2686" t="s">
        <v>4899</v>
      </c>
    </row>
    <row r="2687" spans="1:3" x14ac:dyDescent="0.3">
      <c r="A2687">
        <v>79841</v>
      </c>
      <c r="B2687" t="s">
        <v>1756</v>
      </c>
      <c r="C2687" t="s">
        <v>4899</v>
      </c>
    </row>
    <row r="2688" spans="1:3" x14ac:dyDescent="0.3">
      <c r="A2688">
        <v>79842</v>
      </c>
      <c r="B2688" t="s">
        <v>1756</v>
      </c>
      <c r="C2688" t="s">
        <v>4899</v>
      </c>
    </row>
    <row r="2689" spans="1:3" x14ac:dyDescent="0.3">
      <c r="A2689">
        <v>79843</v>
      </c>
      <c r="B2689" t="s">
        <v>1756</v>
      </c>
      <c r="C2689" t="s">
        <v>4899</v>
      </c>
    </row>
    <row r="2690" spans="1:3" x14ac:dyDescent="0.3">
      <c r="A2690">
        <v>79844</v>
      </c>
      <c r="B2690" t="s">
        <v>1756</v>
      </c>
      <c r="C2690" t="s">
        <v>4899</v>
      </c>
    </row>
    <row r="2691" spans="1:3" x14ac:dyDescent="0.3">
      <c r="A2691">
        <v>79845</v>
      </c>
      <c r="B2691" t="s">
        <v>1756</v>
      </c>
      <c r="C2691" t="s">
        <v>4899</v>
      </c>
    </row>
    <row r="2692" spans="1:3" x14ac:dyDescent="0.3">
      <c r="A2692">
        <v>79846</v>
      </c>
      <c r="B2692" t="s">
        <v>1756</v>
      </c>
      <c r="C2692" t="s">
        <v>4899</v>
      </c>
    </row>
    <row r="2693" spans="1:3" x14ac:dyDescent="0.3">
      <c r="A2693">
        <v>79847</v>
      </c>
      <c r="B2693" t="s">
        <v>1756</v>
      </c>
      <c r="C2693" t="s">
        <v>4899</v>
      </c>
    </row>
    <row r="2694" spans="1:3" x14ac:dyDescent="0.3">
      <c r="A2694">
        <v>79848</v>
      </c>
      <c r="B2694" t="s">
        <v>1756</v>
      </c>
      <c r="C2694" t="s">
        <v>4899</v>
      </c>
    </row>
    <row r="2695" spans="1:3" x14ac:dyDescent="0.3">
      <c r="A2695">
        <v>79849</v>
      </c>
      <c r="B2695" t="s">
        <v>1756</v>
      </c>
      <c r="C2695" t="s">
        <v>4899</v>
      </c>
    </row>
    <row r="2696" spans="1:3" x14ac:dyDescent="0.3">
      <c r="A2696">
        <v>79851</v>
      </c>
      <c r="B2696" t="s">
        <v>1756</v>
      </c>
      <c r="C2696" t="s">
        <v>4899</v>
      </c>
    </row>
    <row r="2697" spans="1:3" x14ac:dyDescent="0.3">
      <c r="A2697">
        <v>79852</v>
      </c>
      <c r="B2697" t="s">
        <v>1756</v>
      </c>
      <c r="C2697" t="s">
        <v>4899</v>
      </c>
    </row>
    <row r="2698" spans="1:3" x14ac:dyDescent="0.3">
      <c r="A2698">
        <v>79853</v>
      </c>
      <c r="B2698" t="s">
        <v>1756</v>
      </c>
      <c r="C2698" t="s">
        <v>4899</v>
      </c>
    </row>
    <row r="2699" spans="1:3" x14ac:dyDescent="0.3">
      <c r="A2699">
        <v>79854</v>
      </c>
      <c r="B2699" t="s">
        <v>1756</v>
      </c>
      <c r="C2699" t="s">
        <v>4899</v>
      </c>
    </row>
    <row r="2700" spans="1:3" x14ac:dyDescent="0.3">
      <c r="A2700">
        <v>79855</v>
      </c>
      <c r="B2700" t="s">
        <v>1756</v>
      </c>
      <c r="C2700" t="s">
        <v>4899</v>
      </c>
    </row>
    <row r="2701" spans="1:3" x14ac:dyDescent="0.3">
      <c r="A2701">
        <v>79856</v>
      </c>
      <c r="B2701" t="s">
        <v>1756</v>
      </c>
      <c r="C2701" t="s">
        <v>4899</v>
      </c>
    </row>
    <row r="2702" spans="1:3" x14ac:dyDescent="0.3">
      <c r="A2702">
        <v>79857</v>
      </c>
      <c r="B2702" t="s">
        <v>1756</v>
      </c>
      <c r="C2702" t="s">
        <v>4899</v>
      </c>
    </row>
    <row r="2703" spans="1:3" x14ac:dyDescent="0.3">
      <c r="A2703">
        <v>79858</v>
      </c>
      <c r="B2703" t="s">
        <v>1756</v>
      </c>
      <c r="C2703" t="s">
        <v>4899</v>
      </c>
    </row>
    <row r="2704" spans="1:3" x14ac:dyDescent="0.3">
      <c r="A2704">
        <v>79861</v>
      </c>
      <c r="B2704" t="s">
        <v>1756</v>
      </c>
      <c r="C2704" t="s">
        <v>4899</v>
      </c>
    </row>
    <row r="2705" spans="1:3" x14ac:dyDescent="0.3">
      <c r="A2705">
        <v>79862</v>
      </c>
      <c r="B2705" t="s">
        <v>1756</v>
      </c>
      <c r="C2705" t="s">
        <v>4899</v>
      </c>
    </row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</sheetData>
  <autoFilter ref="A1:C4160" xr:uid="{E826DBA0-2D0F-4E5F-B6EB-766E3E7A5D37}"/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00C3038543A5340A9C2F11005E33E17" ma:contentTypeVersion="12" ma:contentTypeDescription="Vytvoří nový dokument" ma:contentTypeScope="" ma:versionID="7b64a5becbfae2ef137749cf983573d0">
  <xsd:schema xmlns:xsd="http://www.w3.org/2001/XMLSchema" xmlns:xs="http://www.w3.org/2001/XMLSchema" xmlns:p="http://schemas.microsoft.com/office/2006/metadata/properties" xmlns:ns2="42f351b9-8eb4-47bf-9c89-c3194533ac63" xmlns:ns3="6c120197-dac8-42af-9442-8f142a4d504b" targetNamespace="http://schemas.microsoft.com/office/2006/metadata/properties" ma:root="true" ma:fieldsID="62fefa24ee90c402d7edfb5141c72cf0" ns2:_="" ns3:_="">
    <xsd:import namespace="42f351b9-8eb4-47bf-9c89-c3194533ac63"/>
    <xsd:import namespace="6c120197-dac8-42af-9442-8f142a4d50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f351b9-8eb4-47bf-9c89-c3194533ac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Značky obrázků" ma:readOnly="false" ma:fieldId="{5cf76f15-5ced-4ddc-b409-7134ff3c332f}" ma:taxonomyMulti="true" ma:sspId="3a77d7a1-74b3-40f6-8b07-f0cf23821e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120197-dac8-42af-9442-8f142a4d504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a413c19-029f-47ef-bd94-ff3c37e1b079}" ma:internalName="TaxCatchAll" ma:showField="CatchAllData" ma:web="6c120197-dac8-42af-9442-8f142a4d50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c120197-dac8-42af-9442-8f142a4d504b" xsi:nil="true"/>
    <lcf76f155ced4ddcb4097134ff3c332f xmlns="42f351b9-8eb4-47bf-9c89-c3194533ac6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94051A5-FA4B-4D7B-8FCC-FA1F447774C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2f351b9-8eb4-47bf-9c89-c3194533ac63"/>
    <ds:schemaRef ds:uri="6c120197-dac8-42af-9442-8f142a4d504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96C6C95-2C07-4D12-93A3-099F3C6C4A9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ACDC3C1-2063-4431-A8CB-615BAD3F5472}">
  <ds:schemaRefs>
    <ds:schemaRef ds:uri="6c120197-dac8-42af-9442-8f142a4d504b"/>
    <ds:schemaRef ds:uri="http://schemas.microsoft.com/office/2006/documentManagement/types"/>
    <ds:schemaRef ds:uri="http://purl.org/dc/elements/1.1/"/>
    <ds:schemaRef ds:uri="http://purl.org/dc/terms/"/>
    <ds:schemaRef ds:uri="http://www.w3.org/XML/1998/namespace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42f351b9-8eb4-47bf-9c89-c3194533ac63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List2</vt:lpstr>
      <vt:lpstr>seznampsc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Radek Urban</dc:creator>
  <cp:keywords/>
  <dc:description/>
  <cp:lastModifiedBy>Jindřich Stix</cp:lastModifiedBy>
  <cp:revision/>
  <dcterms:created xsi:type="dcterms:W3CDTF">2025-10-13T11:00:32Z</dcterms:created>
  <dcterms:modified xsi:type="dcterms:W3CDTF">2025-11-20T13:18:50Z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f90dfaf-3227-49c1-ac9e-e3a490b2dbb5_Enabled">
    <vt:lpwstr>true</vt:lpwstr>
  </property>
  <property fmtid="{D5CDD505-2E9C-101B-9397-08002B2CF9AE}" pid="3" name="MSIP_Label_2f90dfaf-3227-49c1-ac9e-e3a490b2dbb5_SetDate">
    <vt:lpwstr>2025-10-13T12:20:09Z</vt:lpwstr>
  </property>
  <property fmtid="{D5CDD505-2E9C-101B-9397-08002B2CF9AE}" pid="4" name="MSIP_Label_2f90dfaf-3227-49c1-ac9e-e3a490b2dbb5_Method">
    <vt:lpwstr>Standard</vt:lpwstr>
  </property>
  <property fmtid="{D5CDD505-2E9C-101B-9397-08002B2CF9AE}" pid="5" name="MSIP_Label_2f90dfaf-3227-49c1-ac9e-e3a490b2dbb5_Name">
    <vt:lpwstr>Interní</vt:lpwstr>
  </property>
  <property fmtid="{D5CDD505-2E9C-101B-9397-08002B2CF9AE}" pid="6" name="MSIP_Label_2f90dfaf-3227-49c1-ac9e-e3a490b2dbb5_SiteId">
    <vt:lpwstr>ebc0beb2-ea26-4367-a01b-0621b24bfc62</vt:lpwstr>
  </property>
  <property fmtid="{D5CDD505-2E9C-101B-9397-08002B2CF9AE}" pid="7" name="MSIP_Label_2f90dfaf-3227-49c1-ac9e-e3a490b2dbb5_ActionId">
    <vt:lpwstr>e4673868-9fba-47ea-9e65-2ad610896a69</vt:lpwstr>
  </property>
  <property fmtid="{D5CDD505-2E9C-101B-9397-08002B2CF9AE}" pid="8" name="MSIP_Label_2f90dfaf-3227-49c1-ac9e-e3a490b2dbb5_ContentBits">
    <vt:lpwstr>0</vt:lpwstr>
  </property>
  <property fmtid="{D5CDD505-2E9C-101B-9397-08002B2CF9AE}" pid="9" name="MSIP_Label_2f90dfaf-3227-49c1-ac9e-e3a490b2dbb5_Tag">
    <vt:lpwstr>10, 3, 0, 1</vt:lpwstr>
  </property>
  <property fmtid="{D5CDD505-2E9C-101B-9397-08002B2CF9AE}" pid="10" name="ContentTypeId">
    <vt:lpwstr>0x010100000C3038543A5340A9C2F11005E33E17</vt:lpwstr>
  </property>
  <property fmtid="{D5CDD505-2E9C-101B-9397-08002B2CF9AE}" pid="11" name="MediaServiceImageTags">
    <vt:lpwstr/>
  </property>
</Properties>
</file>